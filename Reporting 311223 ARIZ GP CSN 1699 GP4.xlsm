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C002193\Desktop\DDR\ARIZ DECEMBRE 23\"/>
    </mc:Choice>
  </mc:AlternateContent>
  <xr:revisionPtr revIDLastSave="0" documentId="13_ncr:1_{BA040451-02BC-4C84-9A87-0DE42DF80917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porting_ARIZ 1699-GP4" sheetId="2" r:id="rId1"/>
    <sheet name="Feuil2" sheetId="5" r:id="rId2"/>
    <sheet name="Feuil1" sheetId="3" r:id="rId3"/>
    <sheet name="Sheet1" sheetId="4" state="hidden" r:id="rId4"/>
  </sheets>
  <definedNames>
    <definedName name="_xlnm._FilterDatabase" localSheetId="0" hidden="1">'Reporting_ARIZ 1699-GP4'!$A$15:$AK$220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18" i="2" l="1"/>
  <c r="R218" i="2"/>
  <c r="Y217" i="2" l="1"/>
  <c r="R217" i="2"/>
  <c r="Y17" i="2" l="1"/>
  <c r="Y219" i="2" l="1"/>
  <c r="R219" i="2"/>
  <c r="Y216" i="2"/>
  <c r="R216" i="2"/>
  <c r="Y215" i="2"/>
  <c r="R215" i="2"/>
  <c r="Y214" i="2"/>
  <c r="R214" i="2"/>
  <c r="Y213" i="2"/>
  <c r="R213" i="2"/>
  <c r="Y212" i="2"/>
  <c r="R212" i="2"/>
  <c r="Y211" i="2"/>
  <c r="R211" i="2"/>
  <c r="Y210" i="2"/>
  <c r="R210" i="2"/>
  <c r="Y209" i="2"/>
  <c r="R209" i="2"/>
  <c r="Y208" i="2"/>
  <c r="R208" i="2"/>
  <c r="Y207" i="2"/>
  <c r="R207" i="2"/>
  <c r="Y206" i="2"/>
  <c r="R206" i="2"/>
  <c r="Y205" i="2"/>
  <c r="R205" i="2"/>
  <c r="Y204" i="2"/>
  <c r="R204" i="2"/>
  <c r="Y203" i="2"/>
  <c r="R203" i="2"/>
  <c r="Y202" i="2"/>
  <c r="R202" i="2"/>
  <c r="Y201" i="2"/>
  <c r="R201" i="2"/>
  <c r="Y200" i="2"/>
  <c r="R200" i="2"/>
  <c r="Y199" i="2"/>
  <c r="R199" i="2"/>
  <c r="Y198" i="2"/>
  <c r="R198" i="2"/>
  <c r="Y197" i="2"/>
  <c r="R197" i="2"/>
  <c r="Y196" i="2"/>
  <c r="R196" i="2"/>
  <c r="Y195" i="2"/>
  <c r="R195" i="2"/>
  <c r="Y194" i="2"/>
  <c r="R194" i="2"/>
  <c r="Y193" i="2"/>
  <c r="R193" i="2"/>
  <c r="Y192" i="2"/>
  <c r="R192" i="2"/>
  <c r="Y191" i="2"/>
  <c r="R191" i="2"/>
  <c r="Y190" i="2"/>
  <c r="R190" i="2"/>
  <c r="Y189" i="2"/>
  <c r="R189" i="2"/>
  <c r="Y188" i="2"/>
  <c r="R188" i="2"/>
  <c r="Y187" i="2"/>
  <c r="R187" i="2"/>
  <c r="Y186" i="2"/>
  <c r="R186" i="2"/>
  <c r="Y185" i="2"/>
  <c r="R185" i="2"/>
  <c r="Y184" i="2"/>
  <c r="R184" i="2"/>
  <c r="Y183" i="2"/>
  <c r="R183" i="2"/>
  <c r="Y182" i="2"/>
  <c r="R182" i="2"/>
  <c r="Y181" i="2"/>
  <c r="R181" i="2"/>
  <c r="Y180" i="2"/>
  <c r="R180" i="2"/>
  <c r="Y179" i="2"/>
  <c r="R179" i="2"/>
  <c r="Y178" i="2"/>
  <c r="R178" i="2"/>
  <c r="Y177" i="2"/>
  <c r="R177" i="2"/>
  <c r="Y176" i="2"/>
  <c r="R176" i="2"/>
  <c r="Y175" i="2"/>
  <c r="R175" i="2"/>
  <c r="Y174" i="2"/>
  <c r="R174" i="2"/>
  <c r="Y173" i="2"/>
  <c r="R173" i="2"/>
  <c r="Y172" i="2"/>
  <c r="R172" i="2"/>
  <c r="Y171" i="2"/>
  <c r="R171" i="2"/>
  <c r="Y170" i="2"/>
  <c r="R170" i="2"/>
  <c r="Y169" i="2"/>
  <c r="R169" i="2"/>
  <c r="Y168" i="2"/>
  <c r="R168" i="2"/>
  <c r="Y167" i="2"/>
  <c r="R167" i="2"/>
  <c r="Y166" i="2"/>
  <c r="R166" i="2"/>
  <c r="Y165" i="2"/>
  <c r="R165" i="2"/>
  <c r="Y164" i="2"/>
  <c r="R164" i="2"/>
  <c r="Y163" i="2"/>
  <c r="R163" i="2"/>
  <c r="Y162" i="2"/>
  <c r="R162" i="2"/>
  <c r="Y161" i="2"/>
  <c r="R161" i="2"/>
  <c r="Y160" i="2"/>
  <c r="R160" i="2"/>
  <c r="Y159" i="2"/>
  <c r="R159" i="2"/>
  <c r="Y158" i="2"/>
  <c r="R158" i="2"/>
  <c r="Y157" i="2"/>
  <c r="R157" i="2"/>
  <c r="Y156" i="2"/>
  <c r="R156" i="2"/>
  <c r="Y155" i="2"/>
  <c r="R155" i="2"/>
  <c r="Y154" i="2"/>
  <c r="R154" i="2"/>
  <c r="Y153" i="2"/>
  <c r="R153" i="2"/>
  <c r="Y152" i="2"/>
  <c r="R152" i="2"/>
  <c r="Y151" i="2"/>
  <c r="R151" i="2"/>
  <c r="Y150" i="2"/>
  <c r="R150" i="2"/>
  <c r="Y149" i="2"/>
  <c r="R149" i="2"/>
  <c r="Y148" i="2"/>
  <c r="R148" i="2"/>
  <c r="Y147" i="2"/>
  <c r="R147" i="2"/>
  <c r="Y146" i="2"/>
  <c r="R146" i="2"/>
  <c r="Y145" i="2"/>
  <c r="R145" i="2"/>
  <c r="Y144" i="2"/>
  <c r="R144" i="2"/>
  <c r="Y143" i="2"/>
  <c r="R143" i="2"/>
  <c r="Y142" i="2"/>
  <c r="R142" i="2"/>
  <c r="Y141" i="2"/>
  <c r="R141" i="2"/>
  <c r="Y140" i="2"/>
  <c r="R140" i="2"/>
  <c r="Y139" i="2"/>
  <c r="R139" i="2"/>
  <c r="Y138" i="2"/>
  <c r="R138" i="2"/>
  <c r="Y137" i="2"/>
  <c r="R137" i="2"/>
  <c r="Y136" i="2"/>
  <c r="R136" i="2"/>
  <c r="Y135" i="2"/>
  <c r="R135" i="2"/>
  <c r="Y134" i="2"/>
  <c r="R134" i="2"/>
  <c r="Y133" i="2"/>
  <c r="R133" i="2"/>
  <c r="Y132" i="2"/>
  <c r="R132" i="2"/>
  <c r="Y131" i="2"/>
  <c r="R131" i="2"/>
  <c r="Y130" i="2"/>
  <c r="R130" i="2"/>
  <c r="Y129" i="2"/>
  <c r="R129" i="2"/>
  <c r="Y128" i="2"/>
  <c r="R128" i="2"/>
  <c r="Y127" i="2"/>
  <c r="R127" i="2"/>
  <c r="Y126" i="2"/>
  <c r="R126" i="2"/>
  <c r="Y125" i="2"/>
  <c r="R125" i="2"/>
  <c r="Y124" i="2"/>
  <c r="R124" i="2"/>
  <c r="Y123" i="2"/>
  <c r="R123" i="2"/>
  <c r="Y122" i="2"/>
  <c r="R122" i="2"/>
  <c r="Y121" i="2"/>
  <c r="R121" i="2"/>
  <c r="Y120" i="2"/>
  <c r="R120" i="2"/>
  <c r="Y119" i="2"/>
  <c r="R119" i="2"/>
  <c r="Y118" i="2"/>
  <c r="R118" i="2"/>
  <c r="Y117" i="2"/>
  <c r="R117" i="2"/>
  <c r="Y116" i="2"/>
  <c r="R116" i="2"/>
  <c r="Y115" i="2"/>
  <c r="R115" i="2"/>
  <c r="Y114" i="2"/>
  <c r="R114" i="2"/>
  <c r="Y113" i="2"/>
  <c r="R113" i="2"/>
  <c r="Y112" i="2"/>
  <c r="R112" i="2"/>
  <c r="Y111" i="2"/>
  <c r="R111" i="2"/>
  <c r="Y110" i="2"/>
  <c r="R110" i="2"/>
  <c r="Y109" i="2"/>
  <c r="R109" i="2"/>
  <c r="Y108" i="2"/>
  <c r="R108" i="2"/>
  <c r="Y107" i="2"/>
  <c r="R107" i="2"/>
  <c r="Y106" i="2"/>
  <c r="R106" i="2"/>
  <c r="Y105" i="2"/>
  <c r="R105" i="2"/>
  <c r="Y104" i="2"/>
  <c r="R104" i="2"/>
  <c r="Y103" i="2"/>
  <c r="R103" i="2"/>
  <c r="Y102" i="2"/>
  <c r="R102" i="2"/>
  <c r="Y101" i="2"/>
  <c r="R101" i="2"/>
  <c r="Y100" i="2"/>
  <c r="R100" i="2"/>
  <c r="Y99" i="2"/>
  <c r="R99" i="2"/>
  <c r="Y98" i="2"/>
  <c r="R98" i="2"/>
  <c r="Y97" i="2"/>
  <c r="R97" i="2"/>
  <c r="Y96" i="2"/>
  <c r="R96" i="2"/>
  <c r="Y95" i="2"/>
  <c r="R95" i="2"/>
  <c r="Y94" i="2"/>
  <c r="R94" i="2"/>
  <c r="Y93" i="2"/>
  <c r="R93" i="2"/>
  <c r="Y92" i="2"/>
  <c r="R92" i="2"/>
  <c r="Y91" i="2"/>
  <c r="R91" i="2"/>
  <c r="Y90" i="2"/>
  <c r="R90" i="2"/>
  <c r="Y89" i="2"/>
  <c r="R89" i="2"/>
  <c r="Y88" i="2"/>
  <c r="R88" i="2"/>
  <c r="Y87" i="2"/>
  <c r="R87" i="2"/>
  <c r="Y86" i="2"/>
  <c r="R86" i="2"/>
  <c r="Y85" i="2"/>
  <c r="R85" i="2"/>
  <c r="Y84" i="2"/>
  <c r="R84" i="2"/>
  <c r="Y83" i="2"/>
  <c r="R83" i="2"/>
  <c r="Y82" i="2"/>
  <c r="R82" i="2"/>
  <c r="Y81" i="2"/>
  <c r="R81" i="2"/>
  <c r="Y80" i="2"/>
  <c r="R80" i="2"/>
  <c r="Y79" i="2"/>
  <c r="R79" i="2"/>
  <c r="Y78" i="2"/>
  <c r="R78" i="2"/>
  <c r="Y77" i="2"/>
  <c r="R77" i="2"/>
  <c r="Y76" i="2"/>
  <c r="R76" i="2"/>
  <c r="Y75" i="2"/>
  <c r="R75" i="2"/>
  <c r="Y74" i="2"/>
  <c r="R74" i="2"/>
  <c r="Y73" i="2"/>
  <c r="R73" i="2"/>
  <c r="Y72" i="2"/>
  <c r="R72" i="2"/>
  <c r="Y71" i="2"/>
  <c r="R71" i="2"/>
  <c r="Y70" i="2"/>
  <c r="R70" i="2"/>
  <c r="Y69" i="2"/>
  <c r="R69" i="2"/>
  <c r="Y68" i="2"/>
  <c r="R68" i="2"/>
  <c r="Y67" i="2"/>
  <c r="R67" i="2"/>
  <c r="Y66" i="2"/>
  <c r="R66" i="2"/>
  <c r="Y65" i="2"/>
  <c r="R65" i="2"/>
  <c r="Y64" i="2"/>
  <c r="R64" i="2"/>
  <c r="Y63" i="2"/>
  <c r="R63" i="2"/>
  <c r="Y62" i="2"/>
  <c r="R62" i="2"/>
  <c r="Y61" i="2"/>
  <c r="R61" i="2"/>
  <c r="Y60" i="2"/>
  <c r="R60" i="2"/>
  <c r="Y59" i="2"/>
  <c r="R59" i="2"/>
  <c r="Y58" i="2"/>
  <c r="R58" i="2"/>
  <c r="Y57" i="2"/>
  <c r="R57" i="2"/>
  <c r="Y56" i="2"/>
  <c r="R56" i="2"/>
  <c r="Y55" i="2"/>
  <c r="R55" i="2"/>
  <c r="Y54" i="2"/>
  <c r="R54" i="2"/>
  <c r="Y53" i="2"/>
  <c r="R53" i="2"/>
  <c r="Y52" i="2"/>
  <c r="R52" i="2"/>
  <c r="Y51" i="2"/>
  <c r="R51" i="2"/>
  <c r="Y50" i="2"/>
  <c r="R50" i="2"/>
  <c r="Y49" i="2"/>
  <c r="R49" i="2"/>
  <c r="Y48" i="2"/>
  <c r="R48" i="2"/>
  <c r="Y47" i="2"/>
  <c r="R47" i="2"/>
  <c r="Y46" i="2"/>
  <c r="R46" i="2"/>
  <c r="Y45" i="2"/>
  <c r="R45" i="2"/>
  <c r="Y44" i="2"/>
  <c r="R44" i="2"/>
  <c r="Y43" i="2"/>
  <c r="R43" i="2"/>
  <c r="Y42" i="2"/>
  <c r="R42" i="2"/>
  <c r="Y41" i="2"/>
  <c r="R41" i="2"/>
  <c r="Y40" i="2"/>
  <c r="R40" i="2"/>
  <c r="Y39" i="2"/>
  <c r="R39" i="2"/>
  <c r="Y38" i="2"/>
  <c r="R38" i="2"/>
  <c r="Y37" i="2"/>
  <c r="R37" i="2"/>
  <c r="Y36" i="2"/>
  <c r="R36" i="2"/>
  <c r="Y35" i="2"/>
  <c r="R35" i="2"/>
  <c r="Y34" i="2"/>
  <c r="R34" i="2"/>
  <c r="Y33" i="2"/>
  <c r="R33" i="2"/>
  <c r="Y32" i="2"/>
  <c r="R32" i="2"/>
  <c r="Y31" i="2"/>
  <c r="R31" i="2"/>
  <c r="Y30" i="2"/>
  <c r="R30" i="2"/>
  <c r="Y29" i="2"/>
  <c r="R29" i="2"/>
  <c r="Y28" i="2"/>
  <c r="R28" i="2"/>
  <c r="Y27" i="2"/>
  <c r="R27" i="2"/>
  <c r="Y26" i="2"/>
  <c r="R26" i="2"/>
  <c r="Y25" i="2"/>
  <c r="R25" i="2"/>
  <c r="Y24" i="2"/>
  <c r="R24" i="2"/>
  <c r="Y23" i="2"/>
  <c r="R23" i="2"/>
  <c r="Y22" i="2"/>
  <c r="R22" i="2"/>
  <c r="Y21" i="2"/>
  <c r="R21" i="2"/>
  <c r="Y20" i="2"/>
  <c r="R20" i="2"/>
  <c r="Y19" i="2"/>
  <c r="R19" i="2"/>
  <c r="Y18" i="2"/>
  <c r="R18" i="2"/>
  <c r="R17" i="2" l="1"/>
  <c r="L220" i="2" l="1"/>
  <c r="Y220" i="2" l="1"/>
  <c r="AJ220" i="2" l="1"/>
  <c r="AI220" i="2"/>
  <c r="AH220" i="2"/>
  <c r="U220" i="2"/>
  <c r="M220" i="2" l="1"/>
  <c r="W220" i="2" l="1"/>
  <c r="X220" i="2" l="1"/>
  <c r="AB220" i="2" l="1"/>
</calcChain>
</file>

<file path=xl/sharedStrings.xml><?xml version="1.0" encoding="utf-8"?>
<sst xmlns="http://schemas.openxmlformats.org/spreadsheetml/2006/main" count="797" uniqueCount="317">
  <si>
    <t>Capital constant</t>
  </si>
  <si>
    <t>Annuité constante</t>
  </si>
  <si>
    <t>In fine</t>
  </si>
  <si>
    <t>Différé</t>
  </si>
  <si>
    <t>Sous surveillance</t>
  </si>
  <si>
    <t>Douteux</t>
  </si>
  <si>
    <t>Défaillant</t>
  </si>
  <si>
    <t>Sain</t>
  </si>
  <si>
    <t xml:space="preserve">Petite et moyenne entreprise </t>
  </si>
  <si>
    <t xml:space="preserve">Institution de microfinance </t>
  </si>
  <si>
    <t>Profession libérale</t>
  </si>
  <si>
    <t>Association</t>
  </si>
  <si>
    <t>Autres</t>
  </si>
  <si>
    <t>Guide de remplissage</t>
  </si>
  <si>
    <t xml:space="preserve">Coopérative </t>
  </si>
  <si>
    <t>Entreprise individuelle</t>
  </si>
  <si>
    <t>Création ou acquisition d’actifs amortissables sur plus d’un an</t>
  </si>
  <si>
    <t>Agriculture, Sylviculture et Pêche</t>
  </si>
  <si>
    <t>Industries Extractives</t>
  </si>
  <si>
    <t>Industries Manufacturières</t>
  </si>
  <si>
    <t>Production et distribution d'eau, Assainissement, Gestion des déchets et Environnement</t>
  </si>
  <si>
    <t>Construction</t>
  </si>
  <si>
    <t>Commerce</t>
  </si>
  <si>
    <t>Transport</t>
  </si>
  <si>
    <t>Tourisme, Hébergement et Restauration</t>
  </si>
  <si>
    <t>Information et Communication</t>
  </si>
  <si>
    <t>Microfinance</t>
  </si>
  <si>
    <t>Professions Libérales</t>
  </si>
  <si>
    <t>Education</t>
  </si>
  <si>
    <t>Santé</t>
  </si>
  <si>
    <t>Autres activités de services</t>
  </si>
  <si>
    <t xml:space="preserve"> </t>
  </si>
  <si>
    <t>Numéro du Prêt</t>
  </si>
  <si>
    <t>Nom ou raison sociale</t>
  </si>
  <si>
    <t>Date immatriculation au RC ou autre registre</t>
  </si>
  <si>
    <t>Forme du client bénéficiaire</t>
  </si>
  <si>
    <t>Secteur d'activité</t>
  </si>
  <si>
    <t>Chiffre d'affaires (N-1) à la date de la signature</t>
  </si>
  <si>
    <t>Ratio de fonds propres du client bénéficiaire à la date de la signature (dépendance financière)</t>
  </si>
  <si>
    <t>Objet du prêt</t>
  </si>
  <si>
    <t>Destination du prêt (nature de l'investissement)</t>
  </si>
  <si>
    <t xml:space="preserve">Montant du prêt </t>
  </si>
  <si>
    <t>Montant total de l'opération/projet financé</t>
  </si>
  <si>
    <t>Date de transaction (date de signature du prêt)</t>
  </si>
  <si>
    <t>Date de déblocage du prêt</t>
  </si>
  <si>
    <t>Date première échéance</t>
  </si>
  <si>
    <t>Date dernière échéance</t>
  </si>
  <si>
    <t>Maturité du prêt</t>
  </si>
  <si>
    <t>Date de rééchelonnement du prêt
(Si applicable)</t>
  </si>
  <si>
    <t>Pourcentage cumulé de couverture du prêt avec d’autres fonds ou mécanismes de même nature</t>
  </si>
  <si>
    <t xml:space="preserve"> Montant des sûretés (réelles et personnelles) prises par la banque au titre du prêt</t>
  </si>
  <si>
    <t>Taux d'intérêt du prêt</t>
  </si>
  <si>
    <r>
      <t xml:space="preserve">Capital restant dû hors intérêts </t>
    </r>
    <r>
      <rPr>
        <b/>
        <sz val="11"/>
        <color rgb="FFFF0000"/>
        <rFont val="Calibri"/>
        <family val="2"/>
        <scheme val="minor"/>
      </rPr>
      <t>(capital non échu + capital échu  impayé)</t>
    </r>
  </si>
  <si>
    <t>Capital échu et impayé</t>
  </si>
  <si>
    <t>Encours sous-participé au titre du prêt</t>
  </si>
  <si>
    <t>Classification en risque du prêt</t>
  </si>
  <si>
    <t>Nombre de jours en impayés</t>
  </si>
  <si>
    <t xml:space="preserve">Intérêts échus et impayés </t>
  </si>
  <si>
    <t>Date du fait générateur de mise en jeu de la garantie de portefeuille ARIZ</t>
  </si>
  <si>
    <t>Date de notification du prêt défaillant à l'AFD</t>
  </si>
  <si>
    <t xml:space="preserve">Date d'appel de garantie ARIZ </t>
  </si>
  <si>
    <t>Nombre de salariés de l'entreprise (avant financement)</t>
  </si>
  <si>
    <t>Nombre d'emplois créés (par le financement sous-participé)</t>
  </si>
  <si>
    <t>dont nombre d'emplois créés bénéficiant à des femmes</t>
  </si>
  <si>
    <r>
      <t xml:space="preserve">Numéro interne alloué par la banque bénéficiaire au prêt sous-participé (attribué à l'ouverture du prêt et identique durant toute la durée du prêt) - </t>
    </r>
    <r>
      <rPr>
        <b/>
        <sz val="10"/>
        <color rgb="FFFF0000"/>
        <rFont val="Times New Roman"/>
        <family val="1"/>
      </rPr>
      <t>Le numéro de prêt doit etre unique. Dans le cas d'un prêt crédit bail, ajouter autant de lignes que de crédits baux décaisser</t>
    </r>
  </si>
  <si>
    <t>Nom ou raison sociale du client bénéficiaire (Conserver le nom à l'identique durant toute la durée du prêt)</t>
  </si>
  <si>
    <t xml:space="preserve">Date de l’acquisition de la personnalité morale par le client bénéficiaire
(Saisir la date sous format JJ/MM/AA).
</t>
  </si>
  <si>
    <t>(A choisir dans la liste déroulante)</t>
  </si>
  <si>
    <t xml:space="preserve">A choisir parmi les secteurs d'activités proposés dans la liste déroulante 
</t>
  </si>
  <si>
    <r>
      <t>Chiffre d’affaires du dernier exercice connu du client bénéficiaire à la date de la signature du contrat de prêt. 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>).
Alerte si le format n'est pas respecté.</t>
    </r>
  </si>
  <si>
    <r>
      <t xml:space="preserve">Fonds Propres / (Total bilan N-1 + ∑ prêts N)
avec :
• Total bilan N-1 : total bilan figurant sur le dernier bilan fiscal du client bénéficiaire
• ∑ prêts N :  montant en principal du prêt sous-participé + montant en principal des autres financements concourant au projet mis en place depuis la clôture du dernier exercice.
(Exprimé en pourcentage);
Les entités en cours de formation,  les entrepreneurs individuels sans liasse fiscale et les personnes physiques exerçant une profession libérale doivent justifier d'au moins 20% d'autofinancement :
Fonds Propres ≥ 20% (capital + dettes)
</t>
    </r>
    <r>
      <rPr>
        <sz val="10"/>
        <color rgb="FFFF0000"/>
        <rFont val="Times New Roman"/>
        <family val="1"/>
      </rPr>
      <t xml:space="preserve">
</t>
    </r>
    <r>
      <rPr>
        <b/>
        <sz val="10"/>
        <color rgb="FFFF0000"/>
        <rFont val="Times New Roman"/>
        <family val="1"/>
      </rPr>
      <t>Alerte :
'- si le format n'est pas respecté,
- et si le ratio est inférieur à 20%.</t>
    </r>
  </si>
  <si>
    <t>Nature de l'investissement financé par le prêt
(à choisir dans la liste déroulante).</t>
  </si>
  <si>
    <t>Opération financée (Acquisition immobilisation, construction atelier, rénovation locaux, etc.)
(Champs libre).</t>
  </si>
  <si>
    <r>
      <t>Montant du prêt accordé en principal 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 xml:space="preserve">).
</t>
    </r>
    <r>
      <rPr>
        <b/>
        <sz val="10"/>
        <color rgb="FFFF0000"/>
        <rFont val="Times New Roman"/>
        <family val="1"/>
      </rPr>
      <t>Alerte : si le montant du prêt n'est pas compris entre les bornes d'imputation</t>
    </r>
    <r>
      <rPr>
        <sz val="10"/>
        <rFont val="Times New Roman"/>
        <family val="1"/>
      </rPr>
      <t>.</t>
    </r>
  </si>
  <si>
    <r>
      <t>Montant total de l'opération/projet réalisé par le client bénéficiaire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 xml:space="preserve">).
</t>
    </r>
    <r>
      <rPr>
        <b/>
        <sz val="10"/>
        <color rgb="FFFF0000"/>
        <rFont val="Times New Roman"/>
        <family val="1"/>
      </rPr>
      <t>Alerte : si inférieur au montant du prêt</t>
    </r>
    <r>
      <rPr>
        <sz val="10"/>
        <rFont val="Times New Roman"/>
        <family val="1"/>
      </rPr>
      <t>.</t>
    </r>
  </si>
  <si>
    <r>
      <t>Date de</t>
    </r>
    <r>
      <rPr>
        <sz val="10"/>
        <color theme="1"/>
        <rFont val="Times New Roman"/>
        <family val="1"/>
      </rPr>
      <t xml:space="preserve"> signature</t>
    </r>
    <r>
      <rPr>
        <sz val="10"/>
        <color rgb="FFFF0000"/>
        <rFont val="Times New Roman"/>
        <family val="1"/>
      </rPr>
      <t xml:space="preserve"> </t>
    </r>
    <r>
      <rPr>
        <sz val="10"/>
        <rFont val="Times New Roman"/>
        <family val="1"/>
      </rPr>
      <t xml:space="preserve">de l’acte de prêt 
(Saisir la date sous format JJ/MM/AA).
</t>
    </r>
    <r>
      <rPr>
        <b/>
        <sz val="10"/>
        <color rgb="FFFF0000"/>
        <rFont val="Times New Roman"/>
        <family val="1"/>
      </rPr>
      <t>Alerte : 
'- si le format date n'est pas respecté.
- si la date de transaction est antérieure à la date de début d'imputation.
-si la date d'imputation est postérieur à la date d'imputation</t>
    </r>
  </si>
  <si>
    <r>
      <t xml:space="preserve">Date de décaissement du prêt
(Saisir la date sous format JJ/MM/AA)
</t>
    </r>
    <r>
      <rPr>
        <b/>
        <sz val="10"/>
        <color rgb="FFFF0000"/>
        <rFont val="Times New Roman"/>
        <family val="1"/>
      </rPr>
      <t>Alerte : 
'- si le format date n'est pas respecté,
- et si la date de déblocage est antérieure à la date de transaction.
- et si la date de déblocage intervient moins d'un an avant la date de fin de la garantie.</t>
    </r>
    <r>
      <rPr>
        <sz val="10"/>
        <rFont val="Times New Roman"/>
        <family val="1"/>
      </rPr>
      <t xml:space="preserve">
</t>
    </r>
  </si>
  <si>
    <r>
      <t xml:space="preserve">Date du 1er remboursement du prêt
(Saisir la date sous format JJ/MM/AA).
</t>
    </r>
    <r>
      <rPr>
        <b/>
        <sz val="10"/>
        <color rgb="FFFF0000"/>
        <rFont val="Times New Roman"/>
        <family val="1"/>
      </rPr>
      <t>Alerte : 
'- si le format date n'est pas respecté,
- et si la date de première échéance est antérieure à la date de déblocage du prêt.</t>
    </r>
    <r>
      <rPr>
        <sz val="10"/>
        <color rgb="FFFF0000"/>
        <rFont val="Times New Roman"/>
        <family val="1"/>
      </rPr>
      <t xml:space="preserve">
</t>
    </r>
  </si>
  <si>
    <r>
      <t xml:space="preserve">Date du dernier remboursement du prêt
(Saisir la date sous format JJ/MM/AA).
Alerte : 
</t>
    </r>
    <r>
      <rPr>
        <b/>
        <sz val="10"/>
        <color rgb="FFFF0000"/>
        <rFont val="Times New Roman"/>
        <family val="1"/>
      </rPr>
      <t>'- si le format date n'est pas respecté,
- et si la date de dernière échéance est antérieure à la date de première échéance.
- et si la date de dernière échéance est supérieure à la date de maturité de la sous participation.</t>
    </r>
  </si>
  <si>
    <r>
      <t xml:space="preserve">Durée du prêt exprimée en nombre d'année
(Calculée automatiquement)
</t>
    </r>
    <r>
      <rPr>
        <b/>
        <sz val="10"/>
        <color rgb="FFFF0000"/>
        <rFont val="Times New Roman"/>
        <family val="1"/>
      </rPr>
      <t xml:space="preserve">Alerte :
'- si le format n'est pas respecté, 
- et si la maturité est supérieure ou inférieure à la durée maximale et minimale autorisée du prêt </t>
    </r>
  </si>
  <si>
    <t>Date de décision de rééchelonnement prise par la banque bénéficiaire</t>
  </si>
  <si>
    <r>
      <rPr>
        <u/>
        <sz val="10"/>
        <rFont val="Times New Roman"/>
        <family val="1"/>
      </rPr>
      <t xml:space="preserve">Tenir compte de la garantie de portefeuille ARIZ (50%). </t>
    </r>
    <r>
      <rPr>
        <sz val="10"/>
        <rFont val="Times New Roman"/>
        <family val="1"/>
      </rPr>
      <t xml:space="preserve">
Ne pas tenir compte des autres sûretés réelles et personnelles fournies au titre du prêt.
(</t>
    </r>
    <r>
      <rPr>
        <u/>
        <sz val="10"/>
        <rFont val="Times New Roman"/>
        <family val="1"/>
      </rPr>
      <t>Exprimé en pourcentage</t>
    </r>
    <r>
      <rPr>
        <sz val="10"/>
        <rFont val="Times New Roman"/>
        <family val="1"/>
      </rPr>
      <t xml:space="preserve">).
</t>
    </r>
    <r>
      <rPr>
        <b/>
        <sz val="10"/>
        <color rgb="FFFF0000"/>
        <rFont val="Times New Roman"/>
        <family val="1"/>
      </rPr>
      <t>Alerte :
'- si le format n'est pas respecté, 
- et si le pourcentage est supérieur à 75%.</t>
    </r>
  </si>
  <si>
    <r>
      <t>Montant estimé à la date de conclusion du contrat de prêt, ou révisé le cas échéant, correspondant aux sûretés réelles (nantissement, hypothèque, gage) et personnelles (cautionnement)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>).
Alerte si le format n'est pas respecté.</t>
    </r>
  </si>
  <si>
    <r>
      <t>Si le taux d'intérêt est variable, mettre le taux ayant servi pour calculer les intérêts de la dernière échéance de prêt
(</t>
    </r>
    <r>
      <rPr>
        <u/>
        <sz val="10"/>
        <rFont val="Times New Roman"/>
        <family val="1"/>
      </rPr>
      <t>Exprimé en pourcentage</t>
    </r>
    <r>
      <rPr>
        <sz val="10"/>
        <rFont val="Times New Roman"/>
        <family val="1"/>
      </rPr>
      <t>)
Alerte si le format n'est pas respecté.</t>
    </r>
  </si>
  <si>
    <r>
      <t>Capital restant dû hors intérêts = capital non échu + capital échu impayé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 xml:space="preserve">)
</t>
    </r>
    <r>
      <rPr>
        <b/>
        <sz val="10"/>
        <color rgb="FFFF0000"/>
        <rFont val="Times New Roman"/>
        <family val="1"/>
      </rPr>
      <t>Alerte :
'- si le format n'est pas respecté, 
- et si le capital restant dû est supérieur au montant du prêt.
-et si le capital restant dû est inférieur au Capital échu et impayé</t>
    </r>
  </si>
  <si>
    <r>
      <t>Montant de capital (en principal) échu et impayé  au titre du prêt.
A renseigner si le nombre de jours en impayés est supérieure à 30j.
(</t>
    </r>
    <r>
      <rPr>
        <u/>
        <sz val="10"/>
        <rFont val="Times New Roman"/>
        <family val="1"/>
      </rPr>
      <t>Exprimé en monnaie locale</t>
    </r>
    <r>
      <rPr>
        <sz val="10"/>
        <rFont val="Times New Roman"/>
        <family val="1"/>
      </rPr>
      <t xml:space="preserve">)
</t>
    </r>
    <r>
      <rPr>
        <b/>
        <sz val="10"/>
        <color rgb="FFFF0000"/>
        <rFont val="Times New Roman"/>
        <family val="1"/>
      </rPr>
      <t>'- si le format n'est pas respecté, 
- et si le capital échu et impayé est supérieur au capital restant dû.
- et si le nombre de jours en impayés et supérieur à 30 sans capital échu et impayé renseigné</t>
    </r>
  </si>
  <si>
    <t>Engagement de garantie ARIZ relatif au prêt.
(50% × capital restant dû du prêt).
(Calculé automatiquement / exprimé en monnaie locale)</t>
  </si>
  <si>
    <r>
      <t xml:space="preserve">Risque à définir en se basant sur les critères suivants:
'- </t>
    </r>
    <r>
      <rPr>
        <b/>
        <sz val="10"/>
        <rFont val="Times New Roman"/>
        <family val="1"/>
      </rPr>
      <t>Sain</t>
    </r>
    <r>
      <rPr>
        <sz val="10"/>
        <rFont val="Times New Roman"/>
        <family val="1"/>
      </rPr>
      <t xml:space="preserve"> : Contrepartie honorant ses engagements, en termes d'échéances, à court terme, le risque de défaut n'est pas anticipé.
-</t>
    </r>
    <r>
      <rPr>
        <b/>
        <sz val="10"/>
        <rFont val="Times New Roman"/>
        <family val="1"/>
      </rPr>
      <t xml:space="preserve"> Sous surveillance</t>
    </r>
    <r>
      <rPr>
        <sz val="10"/>
        <rFont val="Times New Roman"/>
        <family val="1"/>
      </rPr>
      <t xml:space="preserve"> : Existence d'un risque avéré de non recouvrement du prêt(ex : la situation financière de la contrepartie est dégradée)
- </t>
    </r>
    <r>
      <rPr>
        <b/>
        <sz val="10"/>
        <rFont val="Times New Roman"/>
        <family val="1"/>
      </rPr>
      <t>Douteux</t>
    </r>
    <r>
      <rPr>
        <sz val="10"/>
        <rFont val="Times New Roman"/>
        <family val="1"/>
      </rPr>
      <t xml:space="preserve"> : Existence d'impayés supérieurs à 3 mois pour au moins un des concours de la contrepartie. 
- </t>
    </r>
    <r>
      <rPr>
        <b/>
        <sz val="10"/>
        <rFont val="Times New Roman"/>
        <family val="1"/>
      </rPr>
      <t>Défaillant</t>
    </r>
    <r>
      <rPr>
        <sz val="10"/>
        <rFont val="Times New Roman"/>
        <family val="1"/>
      </rPr>
      <t xml:space="preserve"> : Les perspectives de recouvrement sont fortement dégradées et le passage en perte de l'encours est envisagé ou existence de procédures collectives à l'encontre de la contrepartie. 
(à choisir dans la liste déroulante)
</t>
    </r>
  </si>
  <si>
    <r>
      <t xml:space="preserve">C'est la date qui correspond à:
'- l'ouverture d'une procédure judiciaire d’insolvabilité à l’encontre de l’emprunteur,
'- exigibilité anticipée du prêt prononcée par la banque
'- échéance finale du prêt impayée (client bénéficiaire en défaut de paiement)
(Saisir la date sous format JJ/MM/AA).
</t>
    </r>
    <r>
      <rPr>
        <b/>
        <sz val="10"/>
        <color rgb="FFFF0000"/>
        <rFont val="Times New Roman"/>
        <family val="1"/>
      </rPr>
      <t>Alerte :
'- si le format n'est pas respecté, 
- et si la date du fait générateur est antérieure à la date de première échéance.</t>
    </r>
    <r>
      <rPr>
        <sz val="10"/>
        <rFont val="Times New Roman"/>
        <family val="1"/>
      </rPr>
      <t xml:space="preserve">
</t>
    </r>
  </si>
  <si>
    <r>
      <t xml:space="preserve">Date de la lettre de notification du prêt défaillant adressée à l'AFD
(Saisir la date sous format JJ/MM/AA).
</t>
    </r>
    <r>
      <rPr>
        <b/>
        <sz val="10"/>
        <color rgb="FFFF0000"/>
        <rFont val="Times New Roman"/>
        <family val="1"/>
      </rPr>
      <t>Alerte :
'- si le format n'est pas respecté, 
- et si la date de notification du prêt défaillant est antérieure à la date du fait générateur.</t>
    </r>
  </si>
  <si>
    <r>
      <t xml:space="preserve">Date de la lettre de demande d'avance sur paiement adressée à l'AFD
(Saisir la date sous format JJ/MM/AA)
</t>
    </r>
    <r>
      <rPr>
        <b/>
        <sz val="10"/>
        <color rgb="FFFF0000"/>
        <rFont val="Times New Roman"/>
        <family val="1"/>
      </rPr>
      <t>Alerte :
'- si le format n'est pas respecté, 
- et si la date d'appel de garantie est antérieure à la date de notification du prêt défaillant.</t>
    </r>
  </si>
  <si>
    <t>Clients bénéficiaires</t>
  </si>
  <si>
    <t>Prêts inclus dans le portefeuille sous-participé</t>
  </si>
  <si>
    <t>Prêts défaillants inclus dans le portefeuille sous-participé</t>
  </si>
  <si>
    <t>Indicateurs sur la situation de l'emploi</t>
  </si>
  <si>
    <t>Nom de la banque bénéficiaire</t>
  </si>
  <si>
    <t>Numéro de la convention (ex. format : CSN135801)</t>
  </si>
  <si>
    <t>Date de signature (format : JJ/MM/AA)</t>
  </si>
  <si>
    <t>Date de début d'imputation (format : JJ/MM/AA)</t>
  </si>
  <si>
    <t>Montant total de l'enveloppe garantie (exprimé en monnaie locale)</t>
  </si>
  <si>
    <t>Montant contractuel minimal des prêts à inclure dans le portefeuille garanti (exprimé en monnaie locale)</t>
  </si>
  <si>
    <t>Montant contractuel maximal des prêts à inclure dans le portefeuille garanti (exprimé en monnaie locale)</t>
  </si>
  <si>
    <t>Durée minimum des prêts imputés</t>
  </si>
  <si>
    <t>Durée maximum des prêts imputés</t>
  </si>
  <si>
    <t>Quotité Garantie</t>
  </si>
  <si>
    <t>Date de fin d'imputation (format : JJ/MM/AA)</t>
  </si>
  <si>
    <t>Garantie de portefeuille ARIZ</t>
  </si>
  <si>
    <t>Tableau de reportings semestriel</t>
  </si>
  <si>
    <r>
      <t xml:space="preserve">Nombre de jours depuis la première échéance impayée. 
A renseigner si le nombre de jours est supérieure à 30j. Sinon mettre 0.
A saisir obligatoirement si le prêt est classé en "Douteux" ou "Défaillant".
</t>
    </r>
    <r>
      <rPr>
        <b/>
        <sz val="10"/>
        <color rgb="FFFF0000"/>
        <rFont val="Times New Roman"/>
        <family val="1"/>
      </rPr>
      <t>Alerte :
'- si le format n'est pas respecté, 
- si le prêt est classé en tant que "Douteux" ou "Défaillant" alors que le nombre de jour en impayés n'est pas renseigné ou inférieur à 30
- et si un capital échu et impayé est déclaré alors que le nombre de jour en impayés n'est pas renseigné ou inférieur à 30</t>
    </r>
  </si>
  <si>
    <r>
      <t xml:space="preserve">Montant des intérêt (hors intérêt de retard) échus et impayés au titre du prêt. 
</t>
    </r>
    <r>
      <rPr>
        <b/>
        <sz val="10"/>
        <color rgb="FFFF0000"/>
        <rFont val="Times New Roman"/>
        <family val="1"/>
      </rPr>
      <t>A renseigner si le nombre de jours en impayés est supérieure à 30j. Sinon mettre 0
(Exprimé en monnaie locale)</t>
    </r>
  </si>
  <si>
    <t>gd</t>
  </si>
  <si>
    <t>CSN169901T</t>
  </si>
  <si>
    <t>SGSN</t>
  </si>
  <si>
    <t>460169</t>
  </si>
  <si>
    <t>LA COURRONNE MANUFACTURE DE PRODUITS ALIMENTAIRES</t>
  </si>
  <si>
    <t>456005</t>
  </si>
  <si>
    <t>MADINATOUL SALAM/PAPE DOUDOU MBENGUE</t>
  </si>
  <si>
    <t>461697</t>
  </si>
  <si>
    <t>JEAN PAUL WALY NDONG</t>
  </si>
  <si>
    <t>462297</t>
  </si>
  <si>
    <t>MARGUERITE MARIE CRATO FEREIRA</t>
  </si>
  <si>
    <t>256572</t>
  </si>
  <si>
    <t xml:space="preserve">MD TRADING COMPANY </t>
  </si>
  <si>
    <t>460291</t>
  </si>
  <si>
    <t>ENTREPRISE BOROM DARADJI</t>
  </si>
  <si>
    <t>464247</t>
  </si>
  <si>
    <t>ILEMEL ENERGIE SOLUTIONS</t>
  </si>
  <si>
    <t>256590</t>
  </si>
  <si>
    <t>ETS MAHMOUD MEROUEH</t>
  </si>
  <si>
    <t>468917</t>
  </si>
  <si>
    <t>LEHARIEN'S BOUTIQUE LB</t>
  </si>
  <si>
    <t>471100</t>
  </si>
  <si>
    <t>471611</t>
  </si>
  <si>
    <t>TECHNOLOGIES SERVICES</t>
  </si>
  <si>
    <t>472872</t>
  </si>
  <si>
    <t>SORAM OUEST AFRICA</t>
  </si>
  <si>
    <t>473212</t>
  </si>
  <si>
    <t>MBAYE KANE "BOULANGERIE SOKHNA AIDA LO"</t>
  </si>
  <si>
    <t>471042</t>
  </si>
  <si>
    <t>ENTREPRISE BARRY ET FRERES</t>
  </si>
  <si>
    <t>474181</t>
  </si>
  <si>
    <t>PHARMACIE THIERNO AMADOU BARRO</t>
  </si>
  <si>
    <t>256639</t>
  </si>
  <si>
    <t>CLINIQUE DENTAIRE SALY</t>
  </si>
  <si>
    <t>474476</t>
  </si>
  <si>
    <t>ABOU DIAW "AVENIR CONSTRUCTION"</t>
  </si>
  <si>
    <t>476310</t>
  </si>
  <si>
    <t>CHEIKH NGUER</t>
  </si>
  <si>
    <t>478966</t>
  </si>
  <si>
    <t>RADIOLOGIE MOBILE ZATIFA</t>
  </si>
  <si>
    <t>476815</t>
  </si>
  <si>
    <t>MAMADOU DIA</t>
  </si>
  <si>
    <t>480372</t>
  </si>
  <si>
    <t>BOUBACAR DIALLO</t>
  </si>
  <si>
    <t>480497</t>
  </si>
  <si>
    <t>SPEEDEX SARL</t>
  </si>
  <si>
    <t>481916</t>
  </si>
  <si>
    <t>MANSOUR MARONE</t>
  </si>
  <si>
    <t>481928</t>
  </si>
  <si>
    <t>TRAVAUX DU SAHEL SARL</t>
  </si>
  <si>
    <t>256604</t>
  </si>
  <si>
    <t>SUNU KEUR SA</t>
  </si>
  <si>
    <t>256650/256659</t>
  </si>
  <si>
    <t>DAKAR AUTO PRESTATIONS SUARL</t>
  </si>
  <si>
    <t>renforcement trésorie</t>
  </si>
  <si>
    <t>acquisition CAMIONS</t>
  </si>
  <si>
    <t>acquisition CAMION</t>
  </si>
  <si>
    <t xml:space="preserve">renouvellement équipement et travaux aménagement </t>
  </si>
  <si>
    <t>équipement</t>
  </si>
  <si>
    <t>acquisition d'une batterie pondeuse</t>
  </si>
  <si>
    <t>acquisition véhicule</t>
  </si>
  <si>
    <t>acquisition matériel</t>
  </si>
  <si>
    <t>fabrication de panneaux solaires et renovation matériel</t>
  </si>
  <si>
    <t>acquisition d'un CAMION</t>
  </si>
  <si>
    <t>renovation et acquisition matériel</t>
  </si>
  <si>
    <t>construction</t>
  </si>
  <si>
    <t xml:space="preserve">equipement </t>
  </si>
  <si>
    <t>acquisition vehicule</t>
  </si>
  <si>
    <t>486500</t>
  </si>
  <si>
    <t>DIENABOU DAAYE</t>
  </si>
  <si>
    <t>DJIBY CISS</t>
  </si>
  <si>
    <t>FERME PASTORALE NDAME LO</t>
  </si>
  <si>
    <t>484758</t>
  </si>
  <si>
    <t>INSTITUT SUPERIEUR DE SANTE DE MBOUR</t>
  </si>
  <si>
    <t>CB 256661</t>
  </si>
  <si>
    <t>SAIDOU DIA</t>
  </si>
  <si>
    <t>GROUPE DELTA SARL</t>
  </si>
  <si>
    <t xml:space="preserve"> KAAWAR KHALED "EUROTEX DECOTEX"</t>
  </si>
  <si>
    <t>ABDOULAYE MBODJI</t>
  </si>
  <si>
    <t>CHEIBOU BAT</t>
  </si>
  <si>
    <t>DIENG BINETA</t>
  </si>
  <si>
    <t>ABDOULAYE DIENG "GROUPEMENT DE PRESTATIONS INDUSTRIELLES ABDOULAYE DIENG"</t>
  </si>
  <si>
    <t>XPERBM</t>
  </si>
  <si>
    <t>OBERTYS</t>
  </si>
  <si>
    <t>CBAIL-256709</t>
  </si>
  <si>
    <t>ENTREPRISE MALICK MBENGUE "SOULEYMANE MBENGUE"</t>
  </si>
  <si>
    <t>fiche d'éligibilité</t>
  </si>
  <si>
    <t>500560</t>
  </si>
  <si>
    <t xml:space="preserve">date d'immatriculation </t>
  </si>
  <si>
    <t>256710</t>
  </si>
  <si>
    <t>502380</t>
  </si>
  <si>
    <t>ALIOU DIOP</t>
  </si>
  <si>
    <t>CLINIQUE EL HADJI OMAR SUARL</t>
  </si>
  <si>
    <t>256717/256718/256719/256721/256724/256725</t>
  </si>
  <si>
    <t>USM</t>
  </si>
  <si>
    <t>256712</t>
  </si>
  <si>
    <t xml:space="preserve">DIOUF CONSTRUCTION </t>
  </si>
  <si>
    <t>AKATECH SERVICES</t>
  </si>
  <si>
    <t>HIJAB MASTOUR</t>
  </si>
  <si>
    <t>BOULANGERIE PATISSERIE NDAMLOR</t>
  </si>
  <si>
    <t>FABRICATION PRODUIT AlIMENTAIR</t>
  </si>
  <si>
    <t>DR ABDOU NDIAYE "CLINIQUE DAROU SALAM"</t>
  </si>
  <si>
    <t>CLINIQUE MEDICUS</t>
  </si>
  <si>
    <t>SCATY INDUSTRIE</t>
  </si>
  <si>
    <t>SITCOM</t>
  </si>
  <si>
    <t>ACCESS AUDIT CONSEIL</t>
  </si>
  <si>
    <t>ACTIVIT JURIDIQ ET COMPTABlES</t>
  </si>
  <si>
    <t>AMADOU NIANE</t>
  </si>
  <si>
    <t>IFANGMONDY</t>
  </si>
  <si>
    <t>BENOIT DIATTA "ABY TECHNOLOGIES CONS"</t>
  </si>
  <si>
    <t>AUT ACTIV PROF DE SERVIC SPEC</t>
  </si>
  <si>
    <t>IDEA MOBILIER</t>
  </si>
  <si>
    <t>TRAVX BOIS,FABRICATION D'ART</t>
  </si>
  <si>
    <t>au profil de son fourniseur</t>
  </si>
  <si>
    <t>acquisition véhicules</t>
  </si>
  <si>
    <t>réaménagement 2ème boutique</t>
  </si>
  <si>
    <t>extension de son cabinet</t>
  </si>
  <si>
    <t>renforcer sa trésorerie</t>
  </si>
  <si>
    <t>Credit bail</t>
  </si>
  <si>
    <t>acquisition foreuse</t>
  </si>
  <si>
    <t>crédit éqquipement</t>
  </si>
  <si>
    <t>constitution stock</t>
  </si>
  <si>
    <t>CBAIL1</t>
  </si>
  <si>
    <t>CBAIL2</t>
  </si>
  <si>
    <t>507426</t>
  </si>
  <si>
    <t>CLINIQUE ABSA GRAND MBAO</t>
  </si>
  <si>
    <t>acquisition d’un scanner + aménagement de la salle de scanner</t>
  </si>
  <si>
    <t>COMPLEXE SAPHIR SUARL</t>
  </si>
  <si>
    <t>CBAIL</t>
  </si>
  <si>
    <t>PRO AND SYS MARINE SERVICE</t>
  </si>
  <si>
    <t>N2M DKR TRANSPORT</t>
  </si>
  <si>
    <t>SICAS</t>
  </si>
  <si>
    <t>CLEANIC SARL</t>
  </si>
  <si>
    <t>CREDOCS/CREDIT BAIL</t>
  </si>
  <si>
    <t>SAREQ SARL</t>
  </si>
  <si>
    <t>PAPE MAMADOU THIAM "PLANETECOM EVENT</t>
  </si>
  <si>
    <t>BIOMEDICAL ENGENEERING</t>
  </si>
  <si>
    <t>DIGRAF</t>
  </si>
  <si>
    <t>MALICK CHERIF NDIAYE</t>
  </si>
  <si>
    <t>EREPCO SARL</t>
  </si>
  <si>
    <t>CLINIQUE DENTAIRE MAME ABDOU</t>
  </si>
  <si>
    <t>SAGAYE SERVICES SUARL</t>
  </si>
  <si>
    <t>CMD NEGOCE</t>
  </si>
  <si>
    <t>VIDAL GROUPE EXPERTISES ET SOLUTIONS INTERNATIONALES</t>
  </si>
  <si>
    <t>IMPRIMERIE HORIZON</t>
  </si>
  <si>
    <t>HIPPOCRATE SASU</t>
  </si>
  <si>
    <t>KHALED KAAWAR EUROTEX DECOTE</t>
  </si>
  <si>
    <t>PHARMACIE MARIE DIAW</t>
  </si>
  <si>
    <t>COSELOC</t>
  </si>
  <si>
    <t>MAMATH GAYE SUARL</t>
  </si>
  <si>
    <t>514001</t>
  </si>
  <si>
    <t xml:space="preserve"> CIDOP</t>
  </si>
  <si>
    <t>CBAIL 256740</t>
  </si>
  <si>
    <t>Crédit bail</t>
  </si>
  <si>
    <t>489045</t>
  </si>
  <si>
    <t>491479</t>
  </si>
  <si>
    <t>CB 256800</t>
  </si>
  <si>
    <t>SIMPLON AFRICA SAS</t>
  </si>
  <si>
    <t>GOLDEN AFRIK</t>
  </si>
  <si>
    <t>523803</t>
  </si>
  <si>
    <t>CLINIQUE MEDICALE KEUR MARIE</t>
  </si>
  <si>
    <t>527505</t>
  </si>
  <si>
    <t>LES COURS PRIVES "LES CRACKS"</t>
  </si>
  <si>
    <t>528792</t>
  </si>
  <si>
    <t>MOUSTAPHA NDIAYE</t>
  </si>
  <si>
    <t>BODY MEDICAL REPAIR</t>
  </si>
  <si>
    <t>530667</t>
  </si>
  <si>
    <t>MEDICS SARL</t>
  </si>
  <si>
    <t>519956</t>
  </si>
  <si>
    <t>DOCTEUR DIOUMA DIARRA</t>
  </si>
  <si>
    <t>521043</t>
  </si>
  <si>
    <t>GROUPE SCOLAIRE LES PEDAGOGUES</t>
  </si>
  <si>
    <t>518213</t>
  </si>
  <si>
    <t>AFRICAINE DE PRODUCTION AGRICOLE APA</t>
  </si>
  <si>
    <t>505855</t>
  </si>
  <si>
    <t>CBAIL/1261386</t>
  </si>
  <si>
    <t>126056</t>
  </si>
  <si>
    <t>TRESAUDIT CMD SARL</t>
  </si>
  <si>
    <t>515103</t>
  </si>
  <si>
    <t>MOUSSE DU SENEGAL</t>
  </si>
  <si>
    <t>512087</t>
  </si>
  <si>
    <t>SARR MOR MATY</t>
  </si>
  <si>
    <t>SILCAR</t>
  </si>
  <si>
    <t>DIENG CO ENGINEERING</t>
  </si>
  <si>
    <t>498345</t>
  </si>
  <si>
    <t>505255</t>
  </si>
  <si>
    <t>TOUBA PRO CONSTRUCTION SENEGAL</t>
  </si>
  <si>
    <t>YEEG SAS</t>
  </si>
  <si>
    <t>508950</t>
  </si>
  <si>
    <t>ENTREPRISE DA ROSA</t>
  </si>
  <si>
    <t>TRANSPORT DJIBRIL AGNE</t>
  </si>
  <si>
    <t>PHARMACIE ALIOU BALDE</t>
  </si>
  <si>
    <t>SOCIETE DE DISTRIBUTION ET DE COMMERCE</t>
  </si>
  <si>
    <t>SOCIETE D'EMBOUTEILLAGE CASAMA</t>
  </si>
  <si>
    <t>519020</t>
  </si>
  <si>
    <t>509057</t>
  </si>
  <si>
    <t>511924</t>
  </si>
  <si>
    <t>512423</t>
  </si>
  <si>
    <t>515827</t>
  </si>
  <si>
    <t>256707</t>
  </si>
  <si>
    <t>CBAIL 256825/256827</t>
  </si>
  <si>
    <t>CBAIL3</t>
  </si>
  <si>
    <t>CBAIL5</t>
  </si>
  <si>
    <t>CBAIL6</t>
  </si>
  <si>
    <t>CBAIL7</t>
  </si>
  <si>
    <t>CBAIL8</t>
  </si>
  <si>
    <t>CBAIL 256806/256816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</si>
</sst>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_€_-;\-* #,##0.00\ _€_-;_-* &quot;-&quot;??\ _€_-;_-@_-"/>
    <numFmt numFmtId="165" formatCode="[$-40C]d\-mmm\-yyyy;@"/>
    <numFmt numFmtId="166" formatCode="[$-40C]d\ mmmm\ yyyy;@"/>
    <numFmt numFmtId="167" formatCode="#,##0.000000"/>
    <numFmt numFmtId="168" formatCode="_-* #,##0.00\ _C_F_A_-;\-* #,##0.00\ _C_F_A_-;_-* &quot;-&quot;??\ _C_F_A_-;_-@_-"/>
  </numFmts>
  <fonts count="17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b/>
      <sz val="10"/>
      <name val="Times New Roman"/>
      <family val="1"/>
    </font>
    <font>
      <sz val="10"/>
      <color indexed="8"/>
      <name val="Times New Roman"/>
      <family val="1"/>
    </font>
    <font>
      <sz val="10"/>
      <color indexed="9"/>
      <name val="Times New Roman"/>
      <family val="1"/>
    </font>
    <font>
      <b/>
      <sz val="14"/>
      <color indexed="9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8"/>
      <name val="Times New Roman"/>
      <family val="1"/>
    </font>
    <font>
      <sz val="12"/>
      <color indexed="8"/>
      <name val="Times New Roman"/>
      <family val="1"/>
    </font>
    <font>
      <sz val="8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Times New Roman"/>
      <family val="1"/>
    </font>
    <font>
      <u/>
      <sz val="10"/>
      <name val="Times New Roman"/>
      <family val="1"/>
    </font>
    <font>
      <sz val="10"/>
      <color rgb="FFFF0000"/>
      <name val="Times New Roman"/>
      <family val="1"/>
    </font>
    <font>
      <sz val="10"/>
      <color theme="1"/>
      <name val="Times New Roman"/>
      <family val="1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darkGrid">
        <bgColor indexed="26"/>
      </patternFill>
    </fill>
    <fill>
      <patternFill patternType="solid">
        <fgColor indexed="18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6" fontId="10" fillId="0" borderId="0"/>
    <xf numFmtId="168" fontId="10" fillId="0" borderId="0" applyFont="0" applyFill="0" applyBorder="0" applyAlignment="0" applyProtection="0"/>
    <xf numFmtId="0" fontId="16" fillId="0" borderId="0"/>
  </cellStyleXfs>
  <cellXfs count="137">
    <xf numFmtId="0" fontId="0" fillId="0" borderId="0" xfId="0"/>
    <xf numFmtId="0" fontId="8" fillId="0" borderId="0" xfId="0" applyFont="1" applyAlignment="1" applyProtection="1">
      <alignment horizontal="left" vertical="top" wrapText="1"/>
      <protection locked="0"/>
    </xf>
    <xf numFmtId="0" fontId="8" fillId="0" borderId="0" xfId="0" applyFont="1" applyAlignment="1" applyProtection="1">
      <alignment horizontal="justify"/>
      <protection locked="0"/>
    </xf>
    <xf numFmtId="0" fontId="3" fillId="0" borderId="0" xfId="0" applyFont="1" applyBorder="1" applyAlignment="1" applyProtection="1">
      <alignment wrapText="1"/>
      <protection locked="0"/>
    </xf>
    <xf numFmtId="0" fontId="1" fillId="2" borderId="0" xfId="0" applyFont="1" applyFill="1" applyAlignment="1" applyProtection="1">
      <alignment wrapText="1"/>
      <protection locked="0"/>
    </xf>
    <xf numFmtId="165" fontId="1" fillId="2" borderId="0" xfId="0" applyNumberFormat="1" applyFont="1" applyFill="1" applyAlignment="1" applyProtection="1">
      <alignment wrapText="1"/>
      <protection locked="0"/>
    </xf>
    <xf numFmtId="4" fontId="1" fillId="2" borderId="0" xfId="0" applyNumberFormat="1" applyFont="1" applyFill="1" applyAlignment="1" applyProtection="1">
      <alignment wrapText="1"/>
      <protection locked="0"/>
    </xf>
    <xf numFmtId="10" fontId="1" fillId="2" borderId="0" xfId="0" applyNumberFormat="1" applyFont="1" applyFill="1" applyAlignment="1" applyProtection="1">
      <alignment wrapText="1"/>
      <protection locked="0"/>
    </xf>
    <xf numFmtId="0" fontId="4" fillId="2" borderId="0" xfId="0" applyFont="1" applyFill="1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Border="1" applyAlignment="1" applyProtection="1">
      <alignment wrapText="1"/>
      <protection locked="0"/>
    </xf>
    <xf numFmtId="0" fontId="2" fillId="0" borderId="0" xfId="0" applyFont="1" applyBorder="1" applyAlignment="1" applyProtection="1">
      <alignment wrapText="1"/>
      <protection locked="0"/>
    </xf>
    <xf numFmtId="0" fontId="1" fillId="2" borderId="0" xfId="0" applyFont="1" applyFill="1" applyBorder="1" applyAlignment="1" applyProtection="1">
      <alignment wrapText="1"/>
      <protection locked="0"/>
    </xf>
    <xf numFmtId="0" fontId="3" fillId="2" borderId="0" xfId="0" applyFont="1" applyFill="1" applyBorder="1" applyAlignment="1" applyProtection="1">
      <alignment wrapText="1"/>
      <protection locked="0"/>
    </xf>
    <xf numFmtId="165" fontId="3" fillId="2" borderId="0" xfId="0" applyNumberFormat="1" applyFont="1" applyFill="1" applyBorder="1" applyAlignment="1" applyProtection="1">
      <alignment wrapText="1"/>
      <protection locked="0"/>
    </xf>
    <xf numFmtId="4" fontId="1" fillId="2" borderId="0" xfId="0" applyNumberFormat="1" applyFont="1" applyFill="1" applyBorder="1" applyAlignment="1" applyProtection="1">
      <alignment wrapText="1"/>
      <protection locked="0"/>
    </xf>
    <xf numFmtId="10" fontId="1" fillId="2" borderId="0" xfId="0" applyNumberFormat="1" applyFont="1" applyFill="1" applyBorder="1" applyAlignment="1" applyProtection="1">
      <alignment wrapText="1"/>
      <protection locked="0"/>
    </xf>
    <xf numFmtId="166" fontId="1" fillId="2" borderId="0" xfId="0" applyNumberFormat="1" applyFont="1" applyFill="1" applyBorder="1" applyAlignment="1" applyProtection="1">
      <alignment wrapText="1"/>
      <protection locked="0"/>
    </xf>
    <xf numFmtId="4" fontId="6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 wrapText="1"/>
      <protection locked="0"/>
    </xf>
    <xf numFmtId="4" fontId="4" fillId="2" borderId="0" xfId="0" applyNumberFormat="1" applyFont="1" applyFill="1" applyBorder="1" applyAlignment="1" applyProtection="1">
      <alignment horizontal="left" vertical="center" wrapText="1"/>
      <protection locked="0"/>
    </xf>
    <xf numFmtId="4" fontId="4" fillId="2" borderId="0" xfId="0" quotePrefix="1" applyNumberFormat="1" applyFont="1" applyFill="1" applyBorder="1" applyAlignment="1" applyProtection="1">
      <alignment horizontal="left" vertical="center" wrapText="1"/>
      <protection locked="0"/>
    </xf>
    <xf numFmtId="4" fontId="4" fillId="2" borderId="0" xfId="0" applyNumberFormat="1" applyFont="1" applyFill="1" applyBorder="1" applyAlignment="1" applyProtection="1">
      <alignment vertical="center" wrapText="1"/>
      <protection locked="0"/>
    </xf>
    <xf numFmtId="0" fontId="4" fillId="2" borderId="0" xfId="0" quotePrefix="1" applyFont="1" applyFill="1" applyBorder="1" applyAlignment="1" applyProtection="1">
      <alignment horizontal="left" vertical="center" wrapText="1"/>
      <protection locked="0"/>
    </xf>
    <xf numFmtId="4" fontId="6" fillId="2" borderId="0" xfId="0" applyNumberFormat="1" applyFont="1" applyFill="1" applyBorder="1" applyAlignment="1" applyProtection="1">
      <alignment wrapText="1"/>
      <protection locked="0"/>
    </xf>
    <xf numFmtId="10" fontId="6" fillId="2" borderId="0" xfId="0" applyNumberFormat="1" applyFont="1" applyFill="1" applyBorder="1" applyAlignment="1" applyProtection="1">
      <alignment wrapText="1"/>
      <protection locked="0"/>
    </xf>
    <xf numFmtId="165" fontId="3" fillId="0" borderId="0" xfId="0" applyNumberFormat="1" applyFont="1" applyBorder="1" applyAlignment="1" applyProtection="1">
      <alignment wrapText="1"/>
      <protection locked="0"/>
    </xf>
    <xf numFmtId="4" fontId="1" fillId="0" borderId="0" xfId="0" applyNumberFormat="1" applyFont="1" applyBorder="1" applyAlignment="1" applyProtection="1">
      <alignment wrapText="1"/>
      <protection locked="0"/>
    </xf>
    <xf numFmtId="10" fontId="1" fillId="0" borderId="0" xfId="0" applyNumberFormat="1" applyFont="1" applyBorder="1" applyAlignment="1" applyProtection="1">
      <alignment wrapText="1"/>
      <protection locked="0"/>
    </xf>
    <xf numFmtId="166" fontId="1" fillId="0" borderId="0" xfId="0" applyNumberFormat="1" applyFont="1" applyBorder="1" applyAlignment="1" applyProtection="1">
      <alignment wrapText="1"/>
      <protection locked="0"/>
    </xf>
    <xf numFmtId="0" fontId="3" fillId="0" borderId="0" xfId="0" applyFont="1" applyBorder="1" applyAlignment="1" applyProtection="1">
      <alignment vertical="top" wrapText="1"/>
      <protection locked="0"/>
    </xf>
    <xf numFmtId="0" fontId="4" fillId="0" borderId="0" xfId="0" applyFont="1" applyBorder="1" applyAlignment="1" applyProtection="1">
      <alignment wrapText="1"/>
      <protection locked="0"/>
    </xf>
    <xf numFmtId="0" fontId="3" fillId="0" borderId="0" xfId="0" applyFont="1" applyAlignment="1" applyProtection="1">
      <alignment wrapText="1"/>
      <protection locked="0"/>
    </xf>
    <xf numFmtId="165" fontId="3" fillId="0" borderId="0" xfId="0" applyNumberFormat="1" applyFont="1" applyAlignment="1" applyProtection="1">
      <alignment wrapText="1"/>
      <protection locked="0"/>
    </xf>
    <xf numFmtId="4" fontId="1" fillId="0" borderId="0" xfId="0" applyNumberFormat="1" applyFont="1" applyAlignment="1" applyProtection="1">
      <alignment wrapText="1"/>
      <protection locked="0"/>
    </xf>
    <xf numFmtId="10" fontId="1" fillId="0" borderId="0" xfId="0" applyNumberFormat="1" applyFont="1" applyAlignment="1" applyProtection="1">
      <alignment wrapText="1"/>
      <protection locked="0"/>
    </xf>
    <xf numFmtId="166" fontId="1" fillId="0" borderId="0" xfId="0" applyNumberFormat="1" applyFont="1" applyAlignment="1" applyProtection="1">
      <alignment wrapText="1"/>
      <protection locked="0"/>
    </xf>
    <xf numFmtId="165" fontId="1" fillId="0" borderId="0" xfId="0" applyNumberFormat="1" applyFont="1" applyAlignment="1" applyProtection="1">
      <alignment wrapText="1"/>
      <protection locked="0"/>
    </xf>
    <xf numFmtId="166" fontId="1" fillId="2" borderId="0" xfId="0" applyNumberFormat="1" applyFont="1" applyFill="1" applyAlignment="1" applyProtection="1">
      <alignment wrapText="1"/>
      <protection locked="0"/>
    </xf>
    <xf numFmtId="166" fontId="2" fillId="3" borderId="3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Fill="1" applyBorder="1" applyAlignment="1" applyProtection="1">
      <alignment wrapText="1"/>
    </xf>
    <xf numFmtId="166" fontId="2" fillId="3" borderId="3" xfId="0" applyNumberFormat="1" applyFont="1" applyFill="1" applyBorder="1" applyAlignment="1" applyProtection="1">
      <alignment horizontal="left" vertical="center" wrapText="1"/>
    </xf>
    <xf numFmtId="0" fontId="2" fillId="0" borderId="8" xfId="0" applyFont="1" applyFill="1" applyBorder="1" applyAlignment="1" applyProtection="1">
      <alignment horizontal="center" vertical="center" wrapText="1"/>
    </xf>
    <xf numFmtId="49" fontId="1" fillId="0" borderId="8" xfId="0" applyNumberFormat="1" applyFont="1" applyFill="1" applyBorder="1" applyAlignment="1" applyProtection="1">
      <alignment horizontal="left" vertical="center" wrapText="1"/>
    </xf>
    <xf numFmtId="49" fontId="1" fillId="0" borderId="9" xfId="0" applyNumberFormat="1" applyFont="1" applyFill="1" applyBorder="1" applyAlignment="1" applyProtection="1">
      <alignment horizontal="left" vertical="center" wrapText="1"/>
    </xf>
    <xf numFmtId="166" fontId="1" fillId="0" borderId="8" xfId="0" applyNumberFormat="1" applyFont="1" applyFill="1" applyBorder="1" applyAlignment="1" applyProtection="1">
      <alignment horizontal="left" vertical="center" wrapText="1"/>
    </xf>
    <xf numFmtId="0" fontId="1" fillId="0" borderId="9" xfId="0" applyFont="1" applyFill="1" applyBorder="1" applyAlignment="1" applyProtection="1">
      <alignment horizontal="left" vertical="center" wrapText="1"/>
    </xf>
    <xf numFmtId="0" fontId="1" fillId="0" borderId="8" xfId="0" applyFont="1" applyFill="1" applyBorder="1" applyAlignment="1" applyProtection="1">
      <alignment horizontal="left" vertical="center" wrapText="1"/>
    </xf>
    <xf numFmtId="164" fontId="1" fillId="0" borderId="9" xfId="2" applyFont="1" applyFill="1" applyBorder="1" applyAlignment="1" applyProtection="1">
      <alignment horizontal="right" vertical="center" wrapText="1"/>
    </xf>
    <xf numFmtId="0" fontId="3" fillId="0" borderId="10" xfId="0" applyFont="1" applyFill="1" applyBorder="1" applyAlignment="1" applyProtection="1">
      <alignment horizontal="left" vertical="center" wrapText="1"/>
    </xf>
    <xf numFmtId="4" fontId="1" fillId="0" borderId="9" xfId="0" applyNumberFormat="1" applyFont="1" applyFill="1" applyBorder="1" applyAlignment="1" applyProtection="1">
      <alignment horizontal="left" vertical="center" wrapText="1"/>
    </xf>
    <xf numFmtId="4" fontId="1" fillId="0" borderId="8" xfId="0" applyNumberFormat="1" applyFont="1" applyFill="1" applyBorder="1" applyAlignment="1" applyProtection="1">
      <alignment horizontal="left" vertical="center" wrapText="1"/>
    </xf>
    <xf numFmtId="166" fontId="1" fillId="0" borderId="9" xfId="0" applyNumberFormat="1" applyFont="1" applyFill="1" applyBorder="1" applyAlignment="1" applyProtection="1">
      <alignment horizontal="left" vertical="center" wrapText="1"/>
    </xf>
    <xf numFmtId="2" fontId="1" fillId="2" borderId="8" xfId="0" applyNumberFormat="1" applyFont="1" applyFill="1" applyBorder="1" applyAlignment="1" applyProtection="1">
      <alignment vertical="top" wrapText="1"/>
    </xf>
    <xf numFmtId="10" fontId="1" fillId="0" borderId="8" xfId="0" applyNumberFormat="1" applyFont="1" applyFill="1" applyBorder="1" applyAlignment="1" applyProtection="1">
      <alignment horizontal="left" vertical="center" wrapText="1"/>
    </xf>
    <xf numFmtId="3" fontId="1" fillId="0" borderId="8" xfId="0" applyNumberFormat="1" applyFont="1" applyFill="1" applyBorder="1" applyAlignment="1" applyProtection="1">
      <alignment horizontal="right" vertical="center" wrapText="1"/>
    </xf>
    <xf numFmtId="3" fontId="1" fillId="0" borderId="11" xfId="0" applyNumberFormat="1" applyFont="1" applyFill="1" applyBorder="1" applyAlignment="1" applyProtection="1">
      <alignment horizontal="right" vertical="center" wrapText="1"/>
    </xf>
    <xf numFmtId="166" fontId="2" fillId="3" borderId="6" xfId="0" applyNumberFormat="1" applyFont="1" applyFill="1" applyBorder="1" applyAlignment="1" applyProtection="1">
      <alignment horizontal="left" vertical="center" wrapText="1"/>
      <protection locked="0"/>
    </xf>
    <xf numFmtId="166" fontId="2" fillId="3" borderId="1" xfId="0" applyNumberFormat="1" applyFont="1" applyFill="1" applyBorder="1" applyAlignment="1" applyProtection="1">
      <alignment horizontal="left" vertical="center" wrapText="1"/>
      <protection locked="0"/>
    </xf>
    <xf numFmtId="4" fontId="2" fillId="0" borderId="6" xfId="0" applyNumberFormat="1" applyFont="1" applyFill="1" applyBorder="1" applyAlignment="1" applyProtection="1">
      <alignment horizontal="left" vertical="center" wrapText="1"/>
    </xf>
    <xf numFmtId="4" fontId="2" fillId="0" borderId="3" xfId="0" applyNumberFormat="1" applyFont="1" applyFill="1" applyBorder="1" applyAlignment="1" applyProtection="1">
      <alignment horizontal="left" vertical="center" wrapText="1"/>
    </xf>
    <xf numFmtId="166" fontId="2" fillId="3" borderId="6" xfId="0" applyNumberFormat="1" applyFont="1" applyFill="1" applyBorder="1" applyAlignment="1" applyProtection="1">
      <alignment horizontal="left" vertical="center" wrapText="1"/>
    </xf>
    <xf numFmtId="4" fontId="2" fillId="0" borderId="4" xfId="0" applyNumberFormat="1" applyFont="1" applyFill="1" applyBorder="1" applyAlignment="1" applyProtection="1">
      <alignment horizontal="left" vertical="center" wrapText="1"/>
    </xf>
    <xf numFmtId="4" fontId="2" fillId="3" borderId="3" xfId="0" applyNumberFormat="1" applyFont="1" applyFill="1" applyBorder="1" applyAlignment="1" applyProtection="1">
      <alignment horizontal="left" vertical="center" wrapText="1"/>
    </xf>
    <xf numFmtId="4" fontId="7" fillId="2" borderId="4" xfId="0" applyNumberFormat="1" applyFont="1" applyFill="1" applyBorder="1" applyAlignment="1" applyProtection="1">
      <alignment horizontal="left" vertical="center" wrapText="1"/>
    </xf>
    <xf numFmtId="4" fontId="2" fillId="0" borderId="1" xfId="0" applyNumberFormat="1" applyFont="1" applyFill="1" applyBorder="1" applyAlignment="1" applyProtection="1">
      <alignment horizontal="left" vertical="center" wrapText="1"/>
    </xf>
    <xf numFmtId="49" fontId="1" fillId="0" borderId="8" xfId="0" applyNumberFormat="1" applyFont="1" applyFill="1" applyBorder="1" applyAlignment="1" applyProtection="1">
      <alignment horizontal="left" vertical="center" wrapText="1"/>
      <protection locked="0"/>
    </xf>
    <xf numFmtId="49" fontId="1" fillId="0" borderId="9" xfId="0" applyNumberFormat="1" applyFont="1" applyFill="1" applyBorder="1" applyAlignment="1" applyProtection="1">
      <alignment horizontal="left" vertical="center" wrapText="1"/>
      <protection locked="0"/>
    </xf>
    <xf numFmtId="0" fontId="1" fillId="0" borderId="8" xfId="0" applyFont="1" applyFill="1" applyBorder="1" applyAlignment="1" applyProtection="1">
      <alignment horizontal="left" vertical="center" wrapText="1"/>
      <protection locked="0"/>
    </xf>
    <xf numFmtId="164" fontId="1" fillId="0" borderId="9" xfId="2" applyFont="1" applyFill="1" applyBorder="1" applyAlignment="1" applyProtection="1">
      <alignment horizontal="right" vertical="center" wrapText="1"/>
      <protection locked="0"/>
    </xf>
    <xf numFmtId="0" fontId="3" fillId="0" borderId="10" xfId="0" applyFont="1" applyFill="1" applyBorder="1" applyAlignment="1" applyProtection="1">
      <alignment horizontal="left" vertical="center" wrapText="1"/>
      <protection locked="0"/>
    </xf>
    <xf numFmtId="4" fontId="1" fillId="0" borderId="9" xfId="0" applyNumberFormat="1" applyFont="1" applyFill="1" applyBorder="1" applyAlignment="1" applyProtection="1">
      <alignment horizontal="left" vertical="center" wrapText="1"/>
      <protection locked="0"/>
    </xf>
    <xf numFmtId="166" fontId="1" fillId="0" borderId="9" xfId="0" applyNumberFormat="1" applyFont="1" applyFill="1" applyBorder="1" applyAlignment="1" applyProtection="1">
      <alignment horizontal="left" vertical="center" wrapText="1"/>
      <protection locked="0"/>
    </xf>
    <xf numFmtId="10" fontId="1" fillId="0" borderId="8" xfId="0" applyNumberFormat="1" applyFont="1" applyFill="1" applyBorder="1" applyAlignment="1" applyProtection="1">
      <alignment horizontal="left" vertical="center" wrapText="1"/>
      <protection locked="0"/>
    </xf>
    <xf numFmtId="3" fontId="1" fillId="0" borderId="8" xfId="0" applyNumberFormat="1" applyFont="1" applyFill="1" applyBorder="1" applyAlignment="1" applyProtection="1">
      <alignment horizontal="right" vertical="center" wrapText="1"/>
      <protection locked="0"/>
    </xf>
    <xf numFmtId="3" fontId="1" fillId="0" borderId="11" xfId="0" applyNumberFormat="1" applyFont="1" applyFill="1" applyBorder="1" applyAlignment="1" applyProtection="1">
      <alignment horizontal="right" vertical="center" wrapText="1"/>
      <protection locked="0"/>
    </xf>
    <xf numFmtId="166" fontId="2" fillId="3" borderId="5" xfId="0" applyNumberFormat="1" applyFont="1" applyFill="1" applyBorder="1" applyAlignment="1" applyProtection="1">
      <alignment horizontal="left" vertical="center" wrapText="1"/>
    </xf>
    <xf numFmtId="166" fontId="2" fillId="3" borderId="15" xfId="0" applyNumberFormat="1" applyFont="1" applyFill="1" applyBorder="1" applyAlignment="1" applyProtection="1">
      <alignment horizontal="left" vertical="center" wrapText="1"/>
    </xf>
    <xf numFmtId="166" fontId="2" fillId="3" borderId="7" xfId="0" applyNumberFormat="1" applyFont="1" applyFill="1" applyBorder="1" applyAlignment="1" applyProtection="1">
      <alignment horizontal="left" vertical="center" wrapText="1"/>
    </xf>
    <xf numFmtId="3" fontId="1" fillId="0" borderId="9" xfId="0" applyNumberFormat="1" applyFont="1" applyFill="1" applyBorder="1" applyAlignment="1" applyProtection="1">
      <alignment horizontal="right" vertical="center" wrapText="1"/>
      <protection locked="0"/>
    </xf>
    <xf numFmtId="3" fontId="1" fillId="0" borderId="9" xfId="0" applyNumberFormat="1" applyFont="1" applyFill="1" applyBorder="1" applyAlignment="1" applyProtection="1">
      <alignment horizontal="right" vertical="center" wrapText="1"/>
    </xf>
    <xf numFmtId="166" fontId="1" fillId="0" borderId="13" xfId="0" applyNumberFormat="1" applyFont="1" applyFill="1" applyBorder="1" applyAlignment="1" applyProtection="1">
      <alignment horizontal="left" vertical="center" wrapText="1"/>
      <protection locked="0"/>
    </xf>
    <xf numFmtId="166" fontId="1" fillId="0" borderId="16" xfId="0" applyNumberFormat="1" applyFont="1" applyFill="1" applyBorder="1" applyAlignment="1" applyProtection="1">
      <alignment horizontal="left" vertical="center" wrapText="1"/>
      <protection locked="0"/>
    </xf>
    <xf numFmtId="166" fontId="1" fillId="0" borderId="14" xfId="0" applyNumberFormat="1" applyFont="1" applyFill="1" applyBorder="1" applyAlignment="1" applyProtection="1">
      <alignment horizontal="left" vertical="center" wrapText="1"/>
      <protection locked="0"/>
    </xf>
    <xf numFmtId="166" fontId="1" fillId="0" borderId="13" xfId="0" applyNumberFormat="1" applyFont="1" applyFill="1" applyBorder="1" applyAlignment="1" applyProtection="1">
      <alignment horizontal="left" vertical="center" wrapText="1"/>
    </xf>
    <xf numFmtId="166" fontId="1" fillId="0" borderId="14" xfId="0" applyNumberFormat="1" applyFont="1" applyFill="1" applyBorder="1" applyAlignment="1" applyProtection="1">
      <alignment horizontal="left" vertical="center" wrapText="1"/>
    </xf>
    <xf numFmtId="166" fontId="1" fillId="0" borderId="16" xfId="0" applyNumberFormat="1" applyFont="1" applyFill="1" applyBorder="1" applyAlignment="1" applyProtection="1">
      <alignment horizontal="left" vertical="center" wrapText="1"/>
    </xf>
    <xf numFmtId="0" fontId="0" fillId="0" borderId="0" xfId="0"/>
    <xf numFmtId="0" fontId="8" fillId="0" borderId="0" xfId="0" applyFont="1" applyAlignment="1" applyProtection="1">
      <alignment horizontal="left" vertical="top" wrapText="1"/>
      <protection locked="0"/>
    </xf>
    <xf numFmtId="0" fontId="8" fillId="0" borderId="0" xfId="0" applyFont="1" applyAlignment="1" applyProtection="1">
      <alignment horizontal="justify"/>
      <protection locked="0"/>
    </xf>
    <xf numFmtId="0" fontId="1" fillId="0" borderId="9" xfId="0" applyFont="1" applyFill="1" applyBorder="1" applyAlignment="1" applyProtection="1">
      <alignment horizontal="left" vertical="center" wrapText="1"/>
      <protection locked="0"/>
    </xf>
    <xf numFmtId="166" fontId="1" fillId="0" borderId="8" xfId="0" applyNumberFormat="1" applyFont="1" applyFill="1" applyBorder="1" applyAlignment="1" applyProtection="1">
      <alignment horizontal="left" vertical="center" wrapText="1"/>
      <protection locked="0"/>
    </xf>
    <xf numFmtId="4" fontId="1" fillId="0" borderId="8" xfId="0" applyNumberFormat="1" applyFont="1" applyFill="1" applyBorder="1" applyAlignment="1" applyProtection="1">
      <alignment horizontal="left" vertical="center" wrapText="1"/>
      <protection locked="0"/>
    </xf>
    <xf numFmtId="167" fontId="1" fillId="0" borderId="0" xfId="0" applyNumberFormat="1" applyFont="1" applyBorder="1" applyAlignment="1" applyProtection="1">
      <alignment wrapText="1"/>
      <protection locked="0"/>
    </xf>
    <xf numFmtId="10" fontId="1" fillId="2" borderId="17" xfId="1" applyNumberFormat="1" applyFont="1" applyFill="1" applyBorder="1" applyAlignment="1" applyProtection="1">
      <alignment horizontal="left" vertical="center" wrapText="1"/>
      <protection locked="0"/>
    </xf>
    <xf numFmtId="10" fontId="1" fillId="2" borderId="17" xfId="1" applyNumberFormat="1" applyFont="1" applyFill="1" applyBorder="1" applyAlignment="1" applyProtection="1">
      <alignment horizontal="left" vertical="center" wrapText="1"/>
    </xf>
    <xf numFmtId="166" fontId="2" fillId="3" borderId="1" xfId="0" applyNumberFormat="1" applyFont="1" applyFill="1" applyBorder="1" applyAlignment="1" applyProtection="1">
      <alignment horizontal="left" vertical="center" wrapText="1"/>
    </xf>
    <xf numFmtId="4" fontId="1" fillId="0" borderId="18" xfId="0" applyNumberFormat="1" applyFont="1" applyFill="1" applyBorder="1" applyAlignment="1" applyProtection="1">
      <alignment horizontal="left" vertical="center" wrapText="1"/>
      <protection locked="0"/>
    </xf>
    <xf numFmtId="4" fontId="1" fillId="0" borderId="18" xfId="0" applyNumberFormat="1" applyFont="1" applyFill="1" applyBorder="1" applyAlignment="1" applyProtection="1">
      <alignment horizontal="left" vertical="center" wrapText="1"/>
    </xf>
    <xf numFmtId="4" fontId="2" fillId="0" borderId="19" xfId="0" applyNumberFormat="1" applyFont="1" applyFill="1" applyBorder="1" applyAlignment="1" applyProtection="1">
      <alignment horizontal="left" vertical="center" wrapText="1"/>
    </xf>
    <xf numFmtId="0" fontId="1" fillId="0" borderId="20" xfId="0" applyFont="1" applyFill="1" applyBorder="1" applyAlignment="1" applyProtection="1">
      <alignment horizontal="left" vertical="center" wrapText="1"/>
      <protection locked="0"/>
    </xf>
    <xf numFmtId="4" fontId="1" fillId="0" borderId="21" xfId="0" applyNumberFormat="1" applyFont="1" applyFill="1" applyBorder="1" applyAlignment="1" applyProtection="1">
      <alignment horizontal="left" vertical="center" wrapText="1"/>
      <protection locked="0"/>
    </xf>
    <xf numFmtId="4" fontId="1" fillId="0" borderId="22" xfId="0" applyNumberFormat="1" applyFont="1" applyFill="1" applyBorder="1" applyAlignment="1" applyProtection="1">
      <alignment horizontal="left" vertical="center" wrapText="1"/>
      <protection locked="0"/>
    </xf>
    <xf numFmtId="4" fontId="1" fillId="0" borderId="22" xfId="0" applyNumberFormat="1" applyFont="1" applyFill="1" applyBorder="1" applyAlignment="1" applyProtection="1">
      <alignment horizontal="left" vertical="center" wrapText="1"/>
    </xf>
    <xf numFmtId="4" fontId="2" fillId="0" borderId="23" xfId="0" applyNumberFormat="1" applyFont="1" applyFill="1" applyBorder="1" applyAlignment="1" applyProtection="1">
      <alignment horizontal="left" vertical="center" wrapText="1"/>
    </xf>
    <xf numFmtId="166" fontId="2" fillId="3" borderId="24" xfId="0" applyNumberFormat="1" applyFont="1" applyFill="1" applyBorder="1" applyAlignment="1" applyProtection="1">
      <alignment horizontal="left" vertical="center" wrapText="1"/>
    </xf>
    <xf numFmtId="4" fontId="1" fillId="0" borderId="21" xfId="0" applyNumberFormat="1" applyFont="1" applyFill="1" applyBorder="1" applyAlignment="1" applyProtection="1">
      <alignment horizontal="left" vertical="center" wrapText="1"/>
    </xf>
    <xf numFmtId="0" fontId="1" fillId="0" borderId="20" xfId="0" applyFont="1" applyFill="1" applyBorder="1" applyAlignment="1" applyProtection="1">
      <alignment horizontal="left" vertical="center" wrapText="1"/>
    </xf>
    <xf numFmtId="49" fontId="1" fillId="0" borderId="8" xfId="1" applyNumberFormat="1" applyFont="1" applyFill="1" applyBorder="1" applyAlignment="1" applyProtection="1">
      <alignment horizontal="right" vertical="center" wrapText="1"/>
      <protection locked="0"/>
    </xf>
    <xf numFmtId="49" fontId="2" fillId="3" borderId="4" xfId="0" applyNumberFormat="1" applyFont="1" applyFill="1" applyBorder="1" applyAlignment="1" applyProtection="1">
      <alignment vertical="center" wrapText="1"/>
      <protection locked="0"/>
    </xf>
    <xf numFmtId="49" fontId="1" fillId="0" borderId="8" xfId="1" applyNumberFormat="1" applyFont="1" applyFill="1" applyBorder="1" applyAlignment="1" applyProtection="1">
      <alignment horizontal="right" vertical="center" wrapText="1"/>
    </xf>
    <xf numFmtId="49" fontId="2" fillId="3" borderId="4" xfId="0" applyNumberFormat="1" applyFont="1" applyFill="1" applyBorder="1" applyAlignment="1" applyProtection="1">
      <alignment vertical="center" wrapText="1"/>
    </xf>
    <xf numFmtId="49" fontId="2" fillId="3" borderId="3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0" xfId="0" applyNumberFormat="1" applyFont="1" applyFill="1" applyAlignment="1" applyProtection="1">
      <alignment wrapText="1"/>
      <protection locked="0"/>
    </xf>
    <xf numFmtId="49" fontId="2" fillId="3" borderId="0" xfId="0" applyNumberFormat="1" applyFont="1" applyFill="1" applyBorder="1" applyAlignment="1" applyProtection="1">
      <alignment vertical="center" wrapText="1"/>
      <protection locked="0"/>
    </xf>
    <xf numFmtId="49" fontId="2" fillId="3" borderId="0" xfId="0" applyNumberFormat="1" applyFont="1" applyFill="1" applyBorder="1" applyAlignment="1" applyProtection="1">
      <alignment vertical="center" wrapText="1"/>
    </xf>
    <xf numFmtId="49" fontId="1" fillId="2" borderId="0" xfId="0" applyNumberFormat="1" applyFont="1" applyFill="1" applyBorder="1" applyAlignment="1" applyProtection="1">
      <alignment wrapText="1"/>
      <protection locked="0"/>
    </xf>
    <xf numFmtId="49" fontId="1" fillId="0" borderId="0" xfId="0" applyNumberFormat="1" applyFont="1" applyBorder="1" applyAlignment="1" applyProtection="1">
      <alignment wrapText="1"/>
      <protection locked="0"/>
    </xf>
    <xf numFmtId="49" fontId="1" fillId="0" borderId="0" xfId="0" applyNumberFormat="1" applyFont="1" applyAlignment="1" applyProtection="1">
      <alignment wrapText="1"/>
      <protection locked="0"/>
    </xf>
    <xf numFmtId="49" fontId="2" fillId="3" borderId="12" xfId="0" applyNumberFormat="1" applyFont="1" applyFill="1" applyBorder="1" applyAlignment="1" applyProtection="1">
      <alignment vertical="center" wrapText="1"/>
      <protection locked="0"/>
    </xf>
    <xf numFmtId="49" fontId="2" fillId="3" borderId="12" xfId="0" applyNumberFormat="1" applyFont="1" applyFill="1" applyBorder="1" applyAlignment="1" applyProtection="1">
      <alignment vertical="center" wrapText="1"/>
    </xf>
    <xf numFmtId="49" fontId="2" fillId="3" borderId="15" xfId="0" applyNumberFormat="1" applyFont="1" applyFill="1" applyBorder="1" applyAlignment="1" applyProtection="1">
      <alignment vertical="center" wrapText="1"/>
    </xf>
    <xf numFmtId="49" fontId="4" fillId="2" borderId="0" xfId="0" applyNumberFormat="1" applyFont="1" applyFill="1" applyAlignment="1" applyProtection="1">
      <alignment wrapText="1"/>
      <protection locked="0"/>
    </xf>
    <xf numFmtId="49" fontId="2" fillId="3" borderId="2" xfId="0" applyNumberFormat="1" applyFont="1" applyFill="1" applyBorder="1" applyAlignment="1" applyProtection="1">
      <alignment vertical="center" wrapText="1"/>
    </xf>
    <xf numFmtId="49" fontId="1" fillId="0" borderId="0" xfId="0" applyNumberFormat="1" applyFont="1" applyFill="1" applyBorder="1" applyAlignment="1" applyProtection="1">
      <alignment wrapText="1"/>
      <protection locked="0"/>
    </xf>
    <xf numFmtId="49" fontId="1" fillId="0" borderId="0" xfId="0" applyNumberFormat="1" applyFont="1" applyFill="1" applyBorder="1" applyAlignment="1" applyProtection="1">
      <alignment wrapText="1"/>
    </xf>
    <xf numFmtId="49" fontId="2" fillId="0" borderId="0" xfId="0" applyNumberFormat="1" applyFont="1" applyBorder="1" applyAlignment="1" applyProtection="1">
      <alignment wrapText="1"/>
      <protection locked="0"/>
    </xf>
    <xf numFmtId="0" fontId="5" fillId="4" borderId="0" xfId="0" applyFont="1" applyFill="1" applyAlignment="1" applyProtection="1">
      <alignment horizontal="center" vertical="center" wrapText="1"/>
      <protection locked="0"/>
    </xf>
    <xf numFmtId="0" fontId="1" fillId="2" borderId="0" xfId="0" applyFont="1" applyFill="1" applyAlignment="1" applyProtection="1">
      <alignment wrapText="1"/>
    </xf>
    <xf numFmtId="166" fontId="1" fillId="2" borderId="0" xfId="0" applyNumberFormat="1" applyFont="1" applyFill="1" applyAlignment="1" applyProtection="1">
      <alignment wrapText="1"/>
    </xf>
    <xf numFmtId="4" fontId="1" fillId="2" borderId="0" xfId="0" applyNumberFormat="1" applyFont="1" applyFill="1" applyAlignment="1" applyProtection="1">
      <alignment wrapText="1"/>
    </xf>
    <xf numFmtId="165" fontId="1" fillId="2" borderId="0" xfId="0" applyNumberFormat="1" applyFont="1" applyFill="1" applyAlignment="1" applyProtection="1">
      <alignment wrapText="1"/>
    </xf>
    <xf numFmtId="0" fontId="5" fillId="4" borderId="0" xfId="0" applyFont="1" applyFill="1" applyAlignment="1" applyProtection="1">
      <alignment horizontal="center" vertical="center" wrapText="1"/>
    </xf>
    <xf numFmtId="0" fontId="4" fillId="2" borderId="0" xfId="0" applyFont="1" applyFill="1" applyAlignment="1" applyProtection="1">
      <alignment wrapText="1"/>
    </xf>
    <xf numFmtId="10" fontId="1" fillId="2" borderId="0" xfId="0" applyNumberFormat="1" applyFont="1" applyFill="1" applyAlignment="1" applyProtection="1">
      <alignment wrapText="1"/>
    </xf>
    <xf numFmtId="49" fontId="1" fillId="2" borderId="0" xfId="0" applyNumberFormat="1" applyFont="1" applyFill="1" applyAlignment="1" applyProtection="1">
      <alignment wrapText="1"/>
    </xf>
    <xf numFmtId="14" fontId="5" fillId="4" borderId="0" xfId="0" applyNumberFormat="1" applyFont="1" applyFill="1" applyAlignment="1" applyProtection="1">
      <alignment horizontal="center" vertical="center" wrapText="1"/>
      <protection locked="0"/>
    </xf>
  </cellXfs>
  <cellStyles count="6">
    <cellStyle name="Milliers" xfId="2" builtinId="3"/>
    <cellStyle name="Milliers 2" xfId="4" xr:uid="{00000000-0005-0000-0000-000001000000}"/>
    <cellStyle name="Normal" xfId="0" builtinId="0"/>
    <cellStyle name="Normal 2" xfId="5" xr:uid="{00000000-0005-0000-0000-000003000000}"/>
    <cellStyle name="Normal 4" xfId="3" xr:uid="{00000000-0005-0000-0000-000004000000}"/>
    <cellStyle name="Pourcentage" xfId="1" builtinId="5"/>
  </cellStyles>
  <dxfs count="124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 patternType="none"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CCCCFF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9966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theme="0"/>
        </patternFill>
      </fill>
    </dxf>
    <dxf>
      <fill>
        <patternFill patternType="solid"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 patternType="none">
          <bgColor indexed="65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 patternType="solid"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</dxfs>
  <tableStyles count="0" defaultTableStyle="TableStyleMedium9" defaultPivotStyle="PivotStyleLight16"/>
  <colors>
    <mruColors>
      <color rgb="FFFF9966"/>
      <color rgb="FFCC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131668</xdr:colOff>
      <xdr:row>0</xdr:row>
      <xdr:rowOff>0</xdr:rowOff>
    </xdr:from>
    <xdr:to>
      <xdr:col>1</xdr:col>
      <xdr:colOff>1344705</xdr:colOff>
      <xdr:row>3</xdr:row>
      <xdr:rowOff>162013</xdr:rowOff>
    </xdr:to>
    <xdr:pic>
      <xdr:nvPicPr>
        <xdr:cNvPr id="3" name="Image 1" descr="cid:image001.png@01D254A6.E98AFCB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668" y="0"/>
          <a:ext cx="2389655" cy="11929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130970</xdr:colOff>
      <xdr:row>220</xdr:row>
      <xdr:rowOff>107155</xdr:rowOff>
    </xdr:from>
    <xdr:to>
      <xdr:col>1</xdr:col>
      <xdr:colOff>1</xdr:colOff>
      <xdr:row>227</xdr:row>
      <xdr:rowOff>21279</xdr:rowOff>
    </xdr:to>
    <xdr:pic macro="[0]!nouvelleligne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0" y="41433749"/>
          <a:ext cx="1047750" cy="10809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X351"/>
  <sheetViews>
    <sheetView showGridLines="0" tabSelected="1" topLeftCell="A13" zoomScale="84" zoomScaleNormal="84" workbookViewId="0">
      <pane xSplit="5" ySplit="4" topLeftCell="F17" activePane="bottomRight" state="frozen"/>
      <selection activeCell="A13" sqref="A13"/>
      <selection pane="topRight" activeCell="F13" sqref="F13"/>
      <selection pane="bottomLeft" activeCell="A17" sqref="A17"/>
      <selection pane="bottomRight" activeCell="AL219" sqref="AL219"/>
    </sheetView>
  </sheetViews>
  <sheetFormatPr baseColWidth="10" defaultColWidth="11.453125" defaultRowHeight="13" outlineLevelCol="1" x14ac:dyDescent="0.3"/>
  <cols>
    <col min="1" max="1" width="17.7265625" style="9" customWidth="1"/>
    <col min="2" max="2" width="25.54296875" style="9" customWidth="1"/>
    <col min="3" max="3" width="25.1796875" style="9" customWidth="1"/>
    <col min="4" max="4" width="21.453125" style="37" customWidth="1"/>
    <col min="5" max="5" width="18.453125" style="9" customWidth="1" outlineLevel="1"/>
    <col min="6" max="6" width="24.453125" style="9" customWidth="1" outlineLevel="1"/>
    <col min="7" max="7" width="24.1796875" style="34" customWidth="1" outlineLevel="1"/>
    <col min="8" max="8" width="42.81640625" style="35" customWidth="1" outlineLevel="1"/>
    <col min="9" max="9" width="0.7265625" style="35" customWidth="1" outlineLevel="1"/>
    <col min="10" max="10" width="24.54296875" style="9" customWidth="1" outlineLevel="1"/>
    <col min="11" max="11" width="22.453125" style="9" customWidth="1" outlineLevel="1"/>
    <col min="12" max="12" width="23.26953125" style="34" customWidth="1"/>
    <col min="13" max="13" width="24.7265625" style="34" customWidth="1" outlineLevel="1"/>
    <col min="14" max="14" width="29.54296875" style="36" customWidth="1" outlineLevel="1"/>
    <col min="15" max="15" width="21.81640625" style="36" customWidth="1" outlineLevel="1"/>
    <col min="16" max="16" width="21" style="36" customWidth="1" outlineLevel="1"/>
    <col min="17" max="17" width="24.7265625" style="36" customWidth="1"/>
    <col min="18" max="18" width="21.1796875" style="36" customWidth="1"/>
    <col min="19" max="19" width="20.1796875" style="34" customWidth="1"/>
    <col min="20" max="20" width="28.7265625" style="35" customWidth="1" outlineLevel="1"/>
    <col min="21" max="21" width="30.1796875" style="34" customWidth="1" outlineLevel="1"/>
    <col min="22" max="22" width="20.7265625" style="35" customWidth="1" outlineLevel="1"/>
    <col min="23" max="23" width="19.1796875" style="34" customWidth="1"/>
    <col min="24" max="24" width="25" style="9" customWidth="1"/>
    <col min="25" max="25" width="24.26953125" style="34" customWidth="1"/>
    <col min="26" max="26" width="50.7265625" style="9" customWidth="1"/>
    <col min="27" max="27" width="30.81640625" style="34" customWidth="1"/>
    <col min="28" max="28" width="20.453125" style="9" customWidth="1"/>
    <col min="29" max="29" width="1.54296875" style="118" customWidth="1" outlineLevel="1"/>
    <col min="30" max="30" width="37.1796875" style="36" customWidth="1" outlineLevel="1"/>
    <col min="31" max="31" width="21.7265625" style="36" customWidth="1" outlineLevel="1"/>
    <col min="32" max="32" width="23" style="36" customWidth="1" outlineLevel="1"/>
    <col min="33" max="33" width="2.26953125" style="118" customWidth="1"/>
    <col min="34" max="34" width="18.54296875" style="34" customWidth="1"/>
    <col min="35" max="35" width="20.7265625" style="34" customWidth="1"/>
    <col min="36" max="36" width="27.26953125" style="34" customWidth="1"/>
    <col min="37" max="37" width="1.453125" style="118" customWidth="1"/>
    <col min="38" max="50" width="11.453125" style="118"/>
    <col min="51" max="16384" width="11.453125" style="9"/>
  </cols>
  <sheetData>
    <row r="1" spans="1:40" ht="36" customHeight="1" x14ac:dyDescent="0.3">
      <c r="A1" s="128"/>
      <c r="B1" s="4"/>
      <c r="C1" s="4"/>
      <c r="D1" s="5"/>
      <c r="E1" s="4"/>
      <c r="F1" s="4"/>
      <c r="G1" s="127"/>
      <c r="H1" s="127"/>
      <c r="I1" s="127"/>
      <c r="J1" s="8"/>
      <c r="K1" s="4"/>
      <c r="L1" s="6"/>
      <c r="M1" s="6"/>
      <c r="N1" s="38"/>
      <c r="O1" s="38"/>
      <c r="P1" s="38"/>
      <c r="Q1" s="38"/>
      <c r="R1" s="129"/>
      <c r="S1" s="6"/>
      <c r="T1" s="7"/>
      <c r="U1" s="6"/>
      <c r="V1" s="7"/>
      <c r="W1" s="6"/>
      <c r="X1" s="4"/>
      <c r="Y1" s="130"/>
      <c r="Z1" s="4"/>
      <c r="AA1" s="6"/>
      <c r="AB1" s="4"/>
      <c r="AC1" s="113"/>
      <c r="AD1" s="38"/>
      <c r="AE1" s="38"/>
      <c r="AF1" s="38"/>
      <c r="AG1" s="113"/>
      <c r="AH1" s="6"/>
      <c r="AI1" s="6"/>
      <c r="AJ1" s="6"/>
      <c r="AK1" s="122"/>
    </row>
    <row r="2" spans="1:40" ht="36" customHeight="1" x14ac:dyDescent="0.3">
      <c r="A2" s="128"/>
      <c r="B2" s="128"/>
      <c r="C2" s="128"/>
      <c r="D2" s="131"/>
      <c r="E2" s="128"/>
      <c r="F2" s="128"/>
      <c r="G2" s="132" t="s">
        <v>106</v>
      </c>
      <c r="H2" s="132"/>
      <c r="I2" s="132"/>
      <c r="J2" s="133"/>
      <c r="K2" s="128"/>
      <c r="L2" s="130"/>
      <c r="M2" s="130"/>
      <c r="N2" s="129"/>
      <c r="O2" s="129"/>
      <c r="P2" s="129"/>
      <c r="Q2" s="129"/>
      <c r="R2" s="129"/>
      <c r="S2" s="130"/>
      <c r="T2" s="134"/>
      <c r="U2" s="130"/>
      <c r="V2" s="134"/>
      <c r="W2" s="130"/>
      <c r="X2" s="128"/>
      <c r="Y2" s="130"/>
      <c r="Z2" s="128"/>
      <c r="AA2" s="130"/>
      <c r="AB2" s="128"/>
      <c r="AC2" s="135"/>
      <c r="AD2" s="129"/>
      <c r="AE2" s="129"/>
      <c r="AF2" s="129"/>
      <c r="AG2" s="135"/>
      <c r="AH2" s="130"/>
      <c r="AI2" s="130"/>
      <c r="AJ2" s="130"/>
      <c r="AK2" s="122"/>
    </row>
    <row r="3" spans="1:40" ht="36" customHeight="1" x14ac:dyDescent="0.3">
      <c r="A3" s="128"/>
      <c r="B3" s="4"/>
      <c r="C3" s="4"/>
      <c r="D3" s="5"/>
      <c r="E3" s="4"/>
      <c r="F3" s="4"/>
      <c r="G3" s="127" t="s">
        <v>107</v>
      </c>
      <c r="H3" s="127"/>
      <c r="I3" s="127"/>
      <c r="J3" s="8"/>
      <c r="K3" s="4"/>
      <c r="L3" s="6"/>
      <c r="M3" s="6"/>
      <c r="N3" s="38"/>
      <c r="O3" s="38"/>
      <c r="P3" s="38"/>
      <c r="Q3" s="38"/>
      <c r="R3" s="129"/>
      <c r="S3" s="6"/>
      <c r="T3" s="7"/>
      <c r="U3" s="6"/>
      <c r="V3" s="7"/>
      <c r="W3" s="6"/>
      <c r="X3" s="4"/>
      <c r="Y3" s="130"/>
      <c r="Z3" s="4"/>
      <c r="AA3" s="6"/>
      <c r="AB3" s="4"/>
      <c r="AC3" s="113"/>
      <c r="AD3" s="38"/>
      <c r="AE3" s="38"/>
      <c r="AF3" s="38"/>
      <c r="AG3" s="113"/>
      <c r="AH3" s="6"/>
      <c r="AI3" s="6"/>
      <c r="AJ3" s="6"/>
      <c r="AK3" s="122"/>
    </row>
    <row r="4" spans="1:40" ht="36" customHeight="1" x14ac:dyDescent="0.3">
      <c r="A4" s="128"/>
      <c r="B4" s="4"/>
      <c r="C4" s="4"/>
      <c r="D4" s="5"/>
      <c r="E4" s="4"/>
      <c r="F4" s="4"/>
      <c r="G4" s="127"/>
      <c r="H4" s="127"/>
      <c r="I4" s="127"/>
      <c r="J4" s="8"/>
      <c r="K4" s="4"/>
      <c r="L4" s="6"/>
      <c r="M4" s="6"/>
      <c r="N4" s="38"/>
      <c r="O4" s="38"/>
      <c r="P4" s="38"/>
      <c r="Q4" s="38"/>
      <c r="R4" s="129"/>
      <c r="S4" s="6"/>
      <c r="T4" s="7"/>
      <c r="U4" s="6"/>
      <c r="V4" s="7"/>
      <c r="W4" s="6"/>
      <c r="X4" s="4"/>
      <c r="Y4" s="130"/>
      <c r="Z4" s="4"/>
      <c r="AA4" s="6"/>
      <c r="AB4" s="4"/>
      <c r="AC4" s="113"/>
      <c r="AD4" s="38"/>
      <c r="AE4" s="38"/>
      <c r="AF4" s="38"/>
      <c r="AG4" s="113"/>
      <c r="AH4" s="6"/>
      <c r="AI4" s="6"/>
      <c r="AJ4" s="6"/>
      <c r="AK4" s="122"/>
    </row>
    <row r="5" spans="1:40" ht="36" customHeight="1" x14ac:dyDescent="0.3">
      <c r="A5" s="128"/>
      <c r="B5" s="4" t="s">
        <v>95</v>
      </c>
      <c r="C5" s="4"/>
      <c r="D5" s="5" t="s">
        <v>112</v>
      </c>
      <c r="E5" s="4"/>
      <c r="F5" s="4"/>
      <c r="G5" s="127" t="s">
        <v>102</v>
      </c>
      <c r="H5" s="127"/>
      <c r="I5" s="127">
        <v>1</v>
      </c>
      <c r="J5" s="8"/>
      <c r="K5" s="4"/>
      <c r="L5" s="6"/>
      <c r="M5" s="6"/>
      <c r="N5" s="38"/>
      <c r="O5" s="38"/>
      <c r="P5" s="38"/>
      <c r="Q5" s="38"/>
      <c r="R5" s="129"/>
      <c r="S5" s="6"/>
      <c r="T5" s="7"/>
      <c r="U5" s="6"/>
      <c r="V5" s="7"/>
      <c r="W5" s="6"/>
      <c r="X5" s="4"/>
      <c r="Y5" s="130"/>
      <c r="Z5" s="4"/>
      <c r="AA5" s="6"/>
      <c r="AB5" s="4"/>
      <c r="AC5" s="113"/>
      <c r="AD5" s="38"/>
      <c r="AE5" s="38"/>
      <c r="AF5" s="38"/>
      <c r="AG5" s="113"/>
      <c r="AH5" s="6"/>
      <c r="AI5" s="6"/>
      <c r="AJ5" s="6"/>
      <c r="AK5" s="122"/>
    </row>
    <row r="6" spans="1:40" ht="36" customHeight="1" x14ac:dyDescent="0.3">
      <c r="A6" s="128"/>
      <c r="B6" s="4" t="s">
        <v>96</v>
      </c>
      <c r="C6" s="4"/>
      <c r="D6" s="5" t="s">
        <v>111</v>
      </c>
      <c r="E6" s="4"/>
      <c r="F6" s="4"/>
      <c r="G6" s="127" t="s">
        <v>103</v>
      </c>
      <c r="H6" s="127"/>
      <c r="I6" s="127">
        <v>7</v>
      </c>
      <c r="J6" s="8"/>
      <c r="K6" s="4"/>
      <c r="L6" s="6"/>
      <c r="M6" s="6"/>
      <c r="N6" s="38"/>
      <c r="O6" s="38"/>
      <c r="P6" s="38"/>
      <c r="Q6" s="38"/>
      <c r="R6" s="129"/>
      <c r="S6" s="6"/>
      <c r="T6" s="7"/>
      <c r="U6" s="6"/>
      <c r="V6" s="7"/>
      <c r="W6" s="6"/>
      <c r="X6" s="4"/>
      <c r="Y6" s="130"/>
      <c r="Z6" s="4"/>
      <c r="AA6" s="6"/>
      <c r="AB6" s="4"/>
      <c r="AC6" s="113"/>
      <c r="AD6" s="38"/>
      <c r="AE6" s="38"/>
      <c r="AF6" s="38"/>
      <c r="AG6" s="113"/>
      <c r="AH6" s="6"/>
      <c r="AI6" s="6"/>
      <c r="AJ6" s="6"/>
      <c r="AK6" s="122"/>
    </row>
    <row r="7" spans="1:40" ht="36" customHeight="1" x14ac:dyDescent="0.3">
      <c r="A7" s="128"/>
      <c r="B7" s="4" t="s">
        <v>97</v>
      </c>
      <c r="C7" s="4"/>
      <c r="D7" s="5">
        <v>44239</v>
      </c>
      <c r="E7" s="4"/>
      <c r="F7" s="4"/>
      <c r="G7" s="127" t="s">
        <v>104</v>
      </c>
      <c r="H7" s="127"/>
      <c r="I7" s="127">
        <v>0.5</v>
      </c>
      <c r="J7" s="8"/>
      <c r="K7" s="4"/>
      <c r="L7" s="6"/>
      <c r="M7" s="6"/>
      <c r="N7" s="38"/>
      <c r="O7" s="38"/>
      <c r="P7" s="38"/>
      <c r="Q7" s="38"/>
      <c r="R7" s="129"/>
      <c r="S7" s="6"/>
      <c r="T7" s="7"/>
      <c r="U7" s="6"/>
      <c r="V7" s="7"/>
      <c r="W7" s="6"/>
      <c r="X7" s="4"/>
      <c r="Y7" s="130"/>
      <c r="Z7" s="4"/>
      <c r="AA7" s="6"/>
      <c r="AB7" s="4"/>
      <c r="AC7" s="113"/>
      <c r="AD7" s="38"/>
      <c r="AE7" s="38"/>
      <c r="AF7" s="38"/>
      <c r="AG7" s="113"/>
      <c r="AH7" s="6"/>
      <c r="AI7" s="6"/>
      <c r="AJ7" s="6"/>
      <c r="AK7" s="122"/>
    </row>
    <row r="8" spans="1:40" ht="36" customHeight="1" x14ac:dyDescent="0.3">
      <c r="A8" s="128"/>
      <c r="B8" s="4" t="s">
        <v>98</v>
      </c>
      <c r="C8" s="4"/>
      <c r="D8" s="5">
        <v>43831</v>
      </c>
      <c r="E8" s="4"/>
      <c r="F8" s="4"/>
      <c r="G8" s="127" t="s">
        <v>105</v>
      </c>
      <c r="H8" s="127"/>
      <c r="I8" s="136">
        <v>44561</v>
      </c>
      <c r="J8" s="8"/>
      <c r="K8" s="4"/>
      <c r="L8" s="6"/>
      <c r="M8" s="6"/>
      <c r="N8" s="38"/>
      <c r="O8" s="38"/>
      <c r="P8" s="38"/>
      <c r="Q8" s="38"/>
      <c r="R8" s="129"/>
      <c r="S8" s="6"/>
      <c r="T8" s="7"/>
      <c r="U8" s="6"/>
      <c r="V8" s="7"/>
      <c r="W8" s="6"/>
      <c r="X8" s="4"/>
      <c r="Y8" s="130"/>
      <c r="Z8" s="4"/>
      <c r="AA8" s="6"/>
      <c r="AB8" s="4"/>
      <c r="AC8" s="113"/>
      <c r="AD8" s="38"/>
      <c r="AE8" s="38"/>
      <c r="AF8" s="38"/>
      <c r="AG8" s="113"/>
      <c r="AH8" s="6"/>
      <c r="AI8" s="6"/>
      <c r="AJ8" s="6"/>
      <c r="AK8" s="122"/>
    </row>
    <row r="9" spans="1:40" ht="36" customHeight="1" x14ac:dyDescent="0.3">
      <c r="A9" s="128"/>
      <c r="B9" s="4" t="s">
        <v>99</v>
      </c>
      <c r="C9" s="4"/>
      <c r="D9" s="5">
        <v>1967871000</v>
      </c>
      <c r="E9" s="4"/>
      <c r="F9" s="4"/>
      <c r="G9" s="127"/>
      <c r="H9" s="127"/>
      <c r="I9" s="127"/>
      <c r="J9" s="8"/>
      <c r="K9" s="4"/>
      <c r="L9" s="6"/>
      <c r="M9" s="6"/>
      <c r="N9" s="38"/>
      <c r="O9" s="38"/>
      <c r="P9" s="38"/>
      <c r="Q9" s="38"/>
      <c r="R9" s="129"/>
      <c r="S9" s="6"/>
      <c r="T9" s="7"/>
      <c r="U9" s="6"/>
      <c r="V9" s="7"/>
      <c r="W9" s="6"/>
      <c r="X9" s="4"/>
      <c r="Y9" s="130"/>
      <c r="Z9" s="4"/>
      <c r="AA9" s="6"/>
      <c r="AB9" s="4"/>
      <c r="AC9" s="113"/>
      <c r="AD9" s="38"/>
      <c r="AE9" s="38"/>
      <c r="AF9" s="38"/>
      <c r="AG9" s="113"/>
      <c r="AH9" s="6"/>
      <c r="AI9" s="6"/>
      <c r="AJ9" s="6"/>
      <c r="AK9" s="122"/>
    </row>
    <row r="10" spans="1:40" ht="36" customHeight="1" x14ac:dyDescent="0.3">
      <c r="A10" s="128"/>
      <c r="B10" s="4" t="s">
        <v>100</v>
      </c>
      <c r="C10" s="4"/>
      <c r="D10" s="5">
        <v>3279785</v>
      </c>
      <c r="E10" s="4"/>
      <c r="F10" s="4"/>
      <c r="G10" s="127"/>
      <c r="H10" s="127"/>
      <c r="I10" s="127"/>
      <c r="J10" s="8"/>
      <c r="K10" s="4"/>
      <c r="L10" s="6"/>
      <c r="M10" s="6"/>
      <c r="N10" s="38"/>
      <c r="O10" s="38"/>
      <c r="P10" s="38"/>
      <c r="Q10" s="38"/>
      <c r="R10" s="129"/>
      <c r="S10" s="6"/>
      <c r="T10" s="7"/>
      <c r="U10" s="6"/>
      <c r="V10" s="7"/>
      <c r="W10" s="6"/>
      <c r="X10" s="4"/>
      <c r="Y10" s="130"/>
      <c r="Z10" s="4"/>
      <c r="AA10" s="6"/>
      <c r="AB10" s="4"/>
      <c r="AC10" s="113"/>
      <c r="AD10" s="38"/>
      <c r="AE10" s="38"/>
      <c r="AF10" s="38"/>
      <c r="AG10" s="113"/>
      <c r="AH10" s="6"/>
      <c r="AI10" s="6"/>
      <c r="AJ10" s="6"/>
      <c r="AK10" s="122"/>
    </row>
    <row r="11" spans="1:40" ht="36" customHeight="1" x14ac:dyDescent="0.3">
      <c r="A11" s="128"/>
      <c r="B11" s="4" t="s">
        <v>101</v>
      </c>
      <c r="C11" s="4"/>
      <c r="D11" s="5">
        <v>196787100</v>
      </c>
      <c r="E11" s="4"/>
      <c r="F11" s="4"/>
      <c r="G11" s="127"/>
      <c r="H11" s="127"/>
      <c r="I11" s="127"/>
      <c r="J11" s="8"/>
      <c r="K11" s="4"/>
      <c r="L11" s="6"/>
      <c r="M11" s="6"/>
      <c r="N11" s="38"/>
      <c r="O11" s="38"/>
      <c r="P11" s="38"/>
      <c r="Q11" s="38"/>
      <c r="R11" s="129"/>
      <c r="S11" s="6"/>
      <c r="T11" s="7"/>
      <c r="U11" s="6"/>
      <c r="V11" s="7"/>
      <c r="W11" s="6"/>
      <c r="X11" s="4"/>
      <c r="Y11" s="130"/>
      <c r="Z11" s="4"/>
      <c r="AA11" s="6"/>
      <c r="AB11" s="4"/>
      <c r="AC11" s="113"/>
      <c r="AD11" s="38"/>
      <c r="AE11" s="38"/>
      <c r="AF11" s="38"/>
      <c r="AG11" s="113"/>
      <c r="AH11" s="6"/>
      <c r="AI11" s="6"/>
      <c r="AJ11" s="6"/>
      <c r="AK11" s="122"/>
    </row>
    <row r="12" spans="1:40" ht="36" customHeight="1" x14ac:dyDescent="0.3">
      <c r="A12" s="128"/>
      <c r="B12" s="4"/>
      <c r="C12" s="4"/>
      <c r="D12" s="5"/>
      <c r="E12" s="4"/>
      <c r="F12" s="4"/>
      <c r="G12" s="127"/>
      <c r="H12" s="127"/>
      <c r="I12" s="127"/>
      <c r="J12" s="8"/>
      <c r="K12" s="4"/>
      <c r="L12" s="6"/>
      <c r="M12" s="6"/>
      <c r="N12" s="38"/>
      <c r="O12" s="38"/>
      <c r="P12" s="38"/>
      <c r="Q12" s="38"/>
      <c r="R12" s="129"/>
      <c r="S12" s="6"/>
      <c r="T12" s="7"/>
      <c r="U12" s="6"/>
      <c r="V12" s="7"/>
      <c r="W12" s="6"/>
      <c r="X12" s="4"/>
      <c r="Y12" s="130"/>
      <c r="Z12" s="4"/>
      <c r="AA12" s="6"/>
      <c r="AB12" s="4"/>
      <c r="AC12" s="113"/>
      <c r="AD12" s="38"/>
      <c r="AE12" s="38"/>
      <c r="AF12" s="38"/>
      <c r="AG12" s="113"/>
      <c r="AH12" s="6"/>
      <c r="AI12" s="6"/>
      <c r="AJ12" s="6"/>
      <c r="AK12" s="122"/>
    </row>
    <row r="13" spans="1:40" ht="36" customHeight="1" x14ac:dyDescent="0.3">
      <c r="A13" s="128"/>
      <c r="B13" s="4"/>
      <c r="C13" s="4"/>
      <c r="D13" s="5"/>
      <c r="E13" s="4"/>
      <c r="F13" s="4"/>
      <c r="G13" s="127"/>
      <c r="H13" s="127"/>
      <c r="I13" s="127"/>
      <c r="J13" s="8"/>
      <c r="K13" s="4"/>
      <c r="L13" s="6"/>
      <c r="M13" s="6"/>
      <c r="N13" s="38"/>
      <c r="O13" s="38"/>
      <c r="P13" s="38"/>
      <c r="Q13" s="38"/>
      <c r="R13" s="129"/>
      <c r="S13" s="6"/>
      <c r="T13" s="7"/>
      <c r="U13" s="6"/>
      <c r="V13" s="7"/>
      <c r="W13" s="6"/>
      <c r="X13" s="4"/>
      <c r="Y13" s="130"/>
      <c r="Z13" s="4"/>
      <c r="AA13" s="6"/>
      <c r="AB13" s="4"/>
      <c r="AC13" s="113"/>
      <c r="AD13" s="38"/>
      <c r="AE13" s="38"/>
      <c r="AF13" s="38"/>
      <c r="AG13" s="113"/>
      <c r="AH13" s="6"/>
      <c r="AI13" s="6"/>
      <c r="AJ13" s="6"/>
      <c r="AK13" s="122"/>
    </row>
    <row r="14" spans="1:40" ht="36" customHeight="1" x14ac:dyDescent="0.3">
      <c r="A14" s="128"/>
      <c r="B14" s="4" t="s">
        <v>91</v>
      </c>
      <c r="C14" s="4"/>
      <c r="D14" s="5"/>
      <c r="E14" s="4"/>
      <c r="F14" s="4"/>
      <c r="G14" s="127"/>
      <c r="H14" s="127"/>
      <c r="I14" s="127" t="s">
        <v>92</v>
      </c>
      <c r="J14" s="8"/>
      <c r="K14" s="4"/>
      <c r="L14" s="6"/>
      <c r="M14" s="6"/>
      <c r="N14" s="38"/>
      <c r="O14" s="38"/>
      <c r="P14" s="38"/>
      <c r="Q14" s="38"/>
      <c r="R14" s="129"/>
      <c r="S14" s="6"/>
      <c r="T14" s="7"/>
      <c r="U14" s="6"/>
      <c r="V14" s="7"/>
      <c r="W14" s="6"/>
      <c r="X14" s="4"/>
      <c r="Y14" s="130"/>
      <c r="Z14" s="4"/>
      <c r="AA14" s="6"/>
      <c r="AB14" s="4"/>
      <c r="AC14" s="113"/>
      <c r="AD14" s="38" t="s">
        <v>93</v>
      </c>
      <c r="AE14" s="38"/>
      <c r="AF14" s="38"/>
      <c r="AG14" s="113"/>
      <c r="AH14" s="6" t="s">
        <v>94</v>
      </c>
      <c r="AI14" s="6"/>
      <c r="AJ14" s="6"/>
      <c r="AK14" s="122"/>
    </row>
    <row r="15" spans="1:40" ht="36" customHeight="1" thickBot="1" x14ac:dyDescent="0.4">
      <c r="A15" s="128"/>
      <c r="B15" s="4" t="s">
        <v>32</v>
      </c>
      <c r="C15" s="4" t="s">
        <v>33</v>
      </c>
      <c r="D15" s="5" t="s">
        <v>34</v>
      </c>
      <c r="E15" s="4" t="s">
        <v>35</v>
      </c>
      <c r="F15" s="4" t="s">
        <v>36</v>
      </c>
      <c r="G15" s="127" t="s">
        <v>37</v>
      </c>
      <c r="H15" s="127" t="s">
        <v>38</v>
      </c>
      <c r="I15" s="127"/>
      <c r="J15" s="8" t="s">
        <v>39</v>
      </c>
      <c r="K15" s="4" t="s">
        <v>40</v>
      </c>
      <c r="L15" s="6" t="s">
        <v>41</v>
      </c>
      <c r="M15" s="6" t="s">
        <v>42</v>
      </c>
      <c r="N15" s="38" t="s">
        <v>43</v>
      </c>
      <c r="O15" s="38" t="s">
        <v>44</v>
      </c>
      <c r="P15" s="38" t="s">
        <v>45</v>
      </c>
      <c r="Q15" s="38" t="s">
        <v>46</v>
      </c>
      <c r="R15" s="129" t="s">
        <v>47</v>
      </c>
      <c r="S15" s="6" t="s">
        <v>48</v>
      </c>
      <c r="T15" s="7" t="s">
        <v>49</v>
      </c>
      <c r="U15" s="6" t="s">
        <v>50</v>
      </c>
      <c r="V15" s="7" t="s">
        <v>51</v>
      </c>
      <c r="W15" s="6" t="s">
        <v>52</v>
      </c>
      <c r="X15" s="4" t="s">
        <v>53</v>
      </c>
      <c r="Y15" s="130" t="s">
        <v>54</v>
      </c>
      <c r="Z15" s="4" t="s">
        <v>55</v>
      </c>
      <c r="AA15" s="6" t="s">
        <v>56</v>
      </c>
      <c r="AB15" s="4" t="s">
        <v>57</v>
      </c>
      <c r="AC15" s="113"/>
      <c r="AD15" s="38" t="s">
        <v>58</v>
      </c>
      <c r="AE15" s="38" t="s">
        <v>59</v>
      </c>
      <c r="AF15" s="38" t="s">
        <v>60</v>
      </c>
      <c r="AG15" s="113"/>
      <c r="AH15" s="6" t="s">
        <v>61</v>
      </c>
      <c r="AI15" s="6" t="s">
        <v>62</v>
      </c>
      <c r="AJ15" s="6" t="s">
        <v>63</v>
      </c>
      <c r="AK15" s="122"/>
      <c r="AN15" s="118" t="s">
        <v>110</v>
      </c>
    </row>
    <row r="16" spans="1:40" ht="36" hidden="1" customHeight="1" thickBot="1" x14ac:dyDescent="0.35">
      <c r="A16" s="128" t="s">
        <v>13</v>
      </c>
      <c r="B16" s="4" t="s">
        <v>64</v>
      </c>
      <c r="C16" s="4" t="s">
        <v>65</v>
      </c>
      <c r="D16" s="5" t="s">
        <v>66</v>
      </c>
      <c r="E16" s="4" t="s">
        <v>67</v>
      </c>
      <c r="F16" s="4" t="s">
        <v>68</v>
      </c>
      <c r="G16" s="127" t="s">
        <v>69</v>
      </c>
      <c r="H16" s="127" t="s">
        <v>70</v>
      </c>
      <c r="I16" s="127"/>
      <c r="J16" s="8" t="s">
        <v>71</v>
      </c>
      <c r="K16" s="4" t="s">
        <v>72</v>
      </c>
      <c r="L16" s="6" t="s">
        <v>73</v>
      </c>
      <c r="M16" s="6" t="s">
        <v>74</v>
      </c>
      <c r="N16" s="38" t="s">
        <v>75</v>
      </c>
      <c r="O16" s="38" t="s">
        <v>76</v>
      </c>
      <c r="P16" s="38" t="s">
        <v>77</v>
      </c>
      <c r="Q16" s="38" t="s">
        <v>78</v>
      </c>
      <c r="R16" s="129" t="s">
        <v>79</v>
      </c>
      <c r="S16" s="6" t="s">
        <v>80</v>
      </c>
      <c r="T16" s="7" t="s">
        <v>81</v>
      </c>
      <c r="U16" s="6" t="s">
        <v>82</v>
      </c>
      <c r="V16" s="7" t="s">
        <v>83</v>
      </c>
      <c r="W16" s="6" t="s">
        <v>84</v>
      </c>
      <c r="X16" s="4" t="s">
        <v>85</v>
      </c>
      <c r="Y16" s="130" t="s">
        <v>86</v>
      </c>
      <c r="Z16" s="4" t="s">
        <v>87</v>
      </c>
      <c r="AA16" s="6" t="s">
        <v>108</v>
      </c>
      <c r="AB16" s="4" t="s">
        <v>109</v>
      </c>
      <c r="AC16" s="113"/>
      <c r="AD16" s="38" t="s">
        <v>88</v>
      </c>
      <c r="AE16" s="38" t="s">
        <v>89</v>
      </c>
      <c r="AF16" s="38" t="s">
        <v>90</v>
      </c>
      <c r="AG16" s="113"/>
      <c r="AH16" s="6"/>
      <c r="AI16" s="6"/>
      <c r="AJ16" s="6"/>
      <c r="AK16" s="122"/>
    </row>
    <row r="17" spans="1:50" s="40" customFormat="1" ht="25" customHeight="1" thickBot="1" x14ac:dyDescent="0.35">
      <c r="A17" s="42">
        <v>1</v>
      </c>
      <c r="B17" s="66" t="s">
        <v>113</v>
      </c>
      <c r="C17" s="67" t="s">
        <v>114</v>
      </c>
      <c r="D17" s="91">
        <v>42313</v>
      </c>
      <c r="E17" s="90" t="s">
        <v>15</v>
      </c>
      <c r="F17" s="68" t="s">
        <v>19</v>
      </c>
      <c r="G17" s="69">
        <v>562000000</v>
      </c>
      <c r="H17" s="108"/>
      <c r="I17" s="109"/>
      <c r="J17" s="70" t="s">
        <v>12</v>
      </c>
      <c r="K17" s="66" t="s">
        <v>164</v>
      </c>
      <c r="L17" s="71">
        <v>29000000</v>
      </c>
      <c r="M17" s="92">
        <v>29000000</v>
      </c>
      <c r="N17" s="72">
        <v>43843</v>
      </c>
      <c r="O17" s="91">
        <v>43843</v>
      </c>
      <c r="P17" s="72">
        <v>43874</v>
      </c>
      <c r="Q17" s="91">
        <v>45304</v>
      </c>
      <c r="R17" s="53">
        <f>IF(Q17="","",DATEDIF(O17,Q17,"d")/365)</f>
        <v>4.0027397260273974</v>
      </c>
      <c r="S17" s="72"/>
      <c r="T17" s="73">
        <v>0.5</v>
      </c>
      <c r="U17" s="71">
        <v>29000000</v>
      </c>
      <c r="V17" s="94">
        <v>0.1</v>
      </c>
      <c r="W17" s="97">
        <v>761499</v>
      </c>
      <c r="X17" s="101">
        <v>0</v>
      </c>
      <c r="Y17" s="98">
        <f>IF(W17="","",W17*$I$7)</f>
        <v>380749.5</v>
      </c>
      <c r="Z17" s="100" t="s">
        <v>7</v>
      </c>
      <c r="AA17" s="92">
        <v>0</v>
      </c>
      <c r="AB17" s="102">
        <v>0</v>
      </c>
      <c r="AC17" s="114"/>
      <c r="AD17" s="81"/>
      <c r="AE17" s="83"/>
      <c r="AF17" s="82"/>
      <c r="AG17" s="119"/>
      <c r="AH17" s="79">
        <v>60</v>
      </c>
      <c r="AI17" s="74">
        <v>15</v>
      </c>
      <c r="AJ17" s="75">
        <v>10</v>
      </c>
      <c r="AK17" s="123"/>
      <c r="AL17" s="124"/>
      <c r="AM17" s="124"/>
      <c r="AN17" s="124"/>
      <c r="AO17" s="124"/>
      <c r="AP17" s="124"/>
      <c r="AQ17" s="124"/>
      <c r="AR17" s="124"/>
      <c r="AS17" s="124"/>
      <c r="AT17" s="124"/>
      <c r="AU17" s="124"/>
      <c r="AV17" s="124"/>
      <c r="AW17" s="124"/>
      <c r="AX17" s="125"/>
    </row>
    <row r="18" spans="1:50" s="40" customFormat="1" ht="25" customHeight="1" thickBot="1" x14ac:dyDescent="0.35">
      <c r="A18" s="42">
        <v>2</v>
      </c>
      <c r="B18" s="66" t="s">
        <v>115</v>
      </c>
      <c r="C18" s="67" t="s">
        <v>116</v>
      </c>
      <c r="D18" s="91">
        <v>39902</v>
      </c>
      <c r="E18" s="90" t="s">
        <v>15</v>
      </c>
      <c r="F18" s="68" t="s">
        <v>24</v>
      </c>
      <c r="G18" s="69">
        <v>93000000</v>
      </c>
      <c r="H18" s="108"/>
      <c r="I18" s="109"/>
      <c r="J18" s="70" t="s">
        <v>16</v>
      </c>
      <c r="K18" s="66" t="s">
        <v>165</v>
      </c>
      <c r="L18" s="71">
        <v>36000000</v>
      </c>
      <c r="M18" s="92">
        <v>36000000</v>
      </c>
      <c r="N18" s="72">
        <v>43847</v>
      </c>
      <c r="O18" s="91">
        <v>43847</v>
      </c>
      <c r="P18" s="72">
        <v>43877</v>
      </c>
      <c r="Q18" s="91">
        <v>45673</v>
      </c>
      <c r="R18" s="53">
        <f t="shared" ref="R18:R81" si="0">IF(Q18="","",DATEDIF(O18,Q18,"d")/365)</f>
        <v>5.0027397260273974</v>
      </c>
      <c r="S18" s="72"/>
      <c r="T18" s="73">
        <v>0.5</v>
      </c>
      <c r="U18" s="71">
        <v>36000000</v>
      </c>
      <c r="V18" s="94">
        <v>9.5000000000000001E-2</v>
      </c>
      <c r="W18" s="97">
        <v>9685863</v>
      </c>
      <c r="X18" s="101">
        <v>0</v>
      </c>
      <c r="Y18" s="98">
        <f>IF(W18="","",W18*$I$7)</f>
        <v>4842931.5</v>
      </c>
      <c r="Z18" s="100" t="s">
        <v>7</v>
      </c>
      <c r="AA18" s="92">
        <v>0</v>
      </c>
      <c r="AB18" s="102">
        <v>0</v>
      </c>
      <c r="AC18" s="114"/>
      <c r="AD18" s="81"/>
      <c r="AE18" s="83"/>
      <c r="AF18" s="82"/>
      <c r="AG18" s="119"/>
      <c r="AH18" s="79">
        <v>6</v>
      </c>
      <c r="AI18" s="74">
        <v>6</v>
      </c>
      <c r="AJ18" s="75">
        <v>0</v>
      </c>
      <c r="AK18" s="123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5"/>
    </row>
    <row r="19" spans="1:50" s="40" customFormat="1" ht="25" customHeight="1" thickBot="1" x14ac:dyDescent="0.35">
      <c r="A19" s="42">
        <v>3</v>
      </c>
      <c r="B19" s="66" t="s">
        <v>117</v>
      </c>
      <c r="C19" s="67" t="s">
        <v>118</v>
      </c>
      <c r="D19" s="91">
        <v>41101</v>
      </c>
      <c r="E19" s="90" t="s">
        <v>15</v>
      </c>
      <c r="F19" s="68" t="s">
        <v>22</v>
      </c>
      <c r="G19" s="69">
        <v>635000000</v>
      </c>
      <c r="H19" s="108"/>
      <c r="I19" s="109"/>
      <c r="J19" s="70" t="s">
        <v>16</v>
      </c>
      <c r="K19" s="66" t="s">
        <v>166</v>
      </c>
      <c r="L19" s="71">
        <v>20000000</v>
      </c>
      <c r="M19" s="92">
        <v>20000000</v>
      </c>
      <c r="N19" s="72">
        <v>43875</v>
      </c>
      <c r="O19" s="91">
        <v>43875</v>
      </c>
      <c r="P19" s="72">
        <v>43903</v>
      </c>
      <c r="Q19" s="91">
        <v>44970</v>
      </c>
      <c r="R19" s="53">
        <f t="shared" si="0"/>
        <v>3</v>
      </c>
      <c r="S19" s="72"/>
      <c r="T19" s="73">
        <v>0.5</v>
      </c>
      <c r="U19" s="71">
        <v>20000000</v>
      </c>
      <c r="V19" s="94">
        <v>8.8999999999999996E-2</v>
      </c>
      <c r="W19" s="97">
        <v>0</v>
      </c>
      <c r="X19" s="101">
        <v>0</v>
      </c>
      <c r="Y19" s="98">
        <f t="shared" ref="Y19:Y81" si="1">IF(W19="","",W19*$I$7)</f>
        <v>0</v>
      </c>
      <c r="Z19" s="100" t="s">
        <v>7</v>
      </c>
      <c r="AA19" s="92">
        <v>0</v>
      </c>
      <c r="AB19" s="102">
        <v>0</v>
      </c>
      <c r="AC19" s="114"/>
      <c r="AD19" s="81"/>
      <c r="AE19" s="83"/>
      <c r="AF19" s="82"/>
      <c r="AG19" s="119"/>
      <c r="AH19" s="79">
        <v>2</v>
      </c>
      <c r="AI19" s="74">
        <v>2</v>
      </c>
      <c r="AJ19" s="75">
        <v>0</v>
      </c>
      <c r="AK19" s="123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AX19" s="125"/>
    </row>
    <row r="20" spans="1:50" s="40" customFormat="1" ht="25" customHeight="1" thickBot="1" x14ac:dyDescent="0.35">
      <c r="A20" s="42">
        <v>4</v>
      </c>
      <c r="B20" s="66" t="s">
        <v>119</v>
      </c>
      <c r="C20" s="67" t="s">
        <v>120</v>
      </c>
      <c r="D20" s="91">
        <v>38062</v>
      </c>
      <c r="E20" s="90" t="s">
        <v>10</v>
      </c>
      <c r="F20" s="68" t="s">
        <v>29</v>
      </c>
      <c r="G20" s="69">
        <v>489000000</v>
      </c>
      <c r="H20" s="108"/>
      <c r="I20" s="109"/>
      <c r="J20" s="70" t="s">
        <v>12</v>
      </c>
      <c r="K20" s="66" t="s">
        <v>167</v>
      </c>
      <c r="L20" s="71">
        <v>8100000</v>
      </c>
      <c r="M20" s="92">
        <v>8100000</v>
      </c>
      <c r="N20" s="72">
        <v>43887</v>
      </c>
      <c r="O20" s="91">
        <v>43887</v>
      </c>
      <c r="P20" s="72">
        <v>43916</v>
      </c>
      <c r="Q20" s="91">
        <v>45714</v>
      </c>
      <c r="R20" s="53">
        <f t="shared" si="0"/>
        <v>5.0054794520547947</v>
      </c>
      <c r="S20" s="72"/>
      <c r="T20" s="73">
        <v>0.5</v>
      </c>
      <c r="U20" s="71">
        <v>8100000</v>
      </c>
      <c r="V20" s="94">
        <v>0.08</v>
      </c>
      <c r="W20" s="97">
        <v>2267590</v>
      </c>
      <c r="X20" s="101">
        <v>0</v>
      </c>
      <c r="Y20" s="98">
        <f t="shared" si="1"/>
        <v>1133795</v>
      </c>
      <c r="Z20" s="100" t="s">
        <v>7</v>
      </c>
      <c r="AA20" s="92">
        <v>0</v>
      </c>
      <c r="AB20" s="102">
        <v>0</v>
      </c>
      <c r="AC20" s="114"/>
      <c r="AD20" s="81"/>
      <c r="AE20" s="83"/>
      <c r="AF20" s="82"/>
      <c r="AG20" s="119"/>
      <c r="AH20" s="79">
        <v>4</v>
      </c>
      <c r="AI20" s="74">
        <v>0</v>
      </c>
      <c r="AJ20" s="75">
        <v>0</v>
      </c>
      <c r="AK20" s="123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24"/>
      <c r="AW20" s="124"/>
      <c r="AX20" s="125"/>
    </row>
    <row r="21" spans="1:50" s="40" customFormat="1" ht="25" customHeight="1" thickBot="1" x14ac:dyDescent="0.35">
      <c r="A21" s="42">
        <v>5</v>
      </c>
      <c r="B21" s="66" t="s">
        <v>121</v>
      </c>
      <c r="C21" s="67" t="s">
        <v>122</v>
      </c>
      <c r="D21" s="91">
        <v>43344</v>
      </c>
      <c r="E21" s="90" t="s">
        <v>8</v>
      </c>
      <c r="F21" s="68" t="s">
        <v>30</v>
      </c>
      <c r="G21" s="69">
        <v>8126000000</v>
      </c>
      <c r="H21" s="108"/>
      <c r="I21" s="109"/>
      <c r="J21" s="70" t="s">
        <v>16</v>
      </c>
      <c r="K21" s="66" t="s">
        <v>168</v>
      </c>
      <c r="L21" s="71">
        <v>60000000</v>
      </c>
      <c r="M21" s="92">
        <v>60000000</v>
      </c>
      <c r="N21" s="72">
        <v>43905</v>
      </c>
      <c r="O21" s="91">
        <v>43905</v>
      </c>
      <c r="P21" s="72">
        <v>43905</v>
      </c>
      <c r="Q21" s="91">
        <v>46006</v>
      </c>
      <c r="R21" s="53">
        <f t="shared" si="0"/>
        <v>5.7561643835616438</v>
      </c>
      <c r="S21" s="72"/>
      <c r="T21" s="73">
        <v>0.5</v>
      </c>
      <c r="U21" s="71">
        <v>60000000</v>
      </c>
      <c r="V21" s="94">
        <v>0.08</v>
      </c>
      <c r="W21" s="97">
        <v>19807626</v>
      </c>
      <c r="X21" s="101">
        <v>19807625</v>
      </c>
      <c r="Y21" s="98">
        <f t="shared" si="1"/>
        <v>9903813</v>
      </c>
      <c r="Z21" s="100" t="s">
        <v>6</v>
      </c>
      <c r="AA21" s="92">
        <v>1264</v>
      </c>
      <c r="AB21" s="102">
        <v>19807625</v>
      </c>
      <c r="AC21" s="114"/>
      <c r="AD21" s="81"/>
      <c r="AE21" s="83"/>
      <c r="AF21" s="82"/>
      <c r="AG21" s="119"/>
      <c r="AH21" s="79">
        <v>12</v>
      </c>
      <c r="AI21" s="74">
        <v>4</v>
      </c>
      <c r="AJ21" s="75">
        <v>1</v>
      </c>
      <c r="AK21" s="123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5"/>
    </row>
    <row r="22" spans="1:50" s="40" customFormat="1" ht="25" customHeight="1" thickBot="1" x14ac:dyDescent="0.35">
      <c r="A22" s="42">
        <v>6</v>
      </c>
      <c r="B22" s="66" t="s">
        <v>123</v>
      </c>
      <c r="C22" s="67" t="s">
        <v>124</v>
      </c>
      <c r="D22" s="91">
        <v>41858</v>
      </c>
      <c r="E22" s="90" t="s">
        <v>15</v>
      </c>
      <c r="F22" s="68" t="s">
        <v>22</v>
      </c>
      <c r="G22" s="69">
        <v>681000000</v>
      </c>
      <c r="H22" s="108"/>
      <c r="I22" s="109"/>
      <c r="J22" s="70" t="s">
        <v>16</v>
      </c>
      <c r="K22" s="66" t="s">
        <v>169</v>
      </c>
      <c r="L22" s="71">
        <v>25000000</v>
      </c>
      <c r="M22" s="92">
        <v>25000000</v>
      </c>
      <c r="N22" s="72">
        <v>43936</v>
      </c>
      <c r="O22" s="91">
        <v>43936</v>
      </c>
      <c r="P22" s="72">
        <v>44058</v>
      </c>
      <c r="Q22" s="91">
        <v>45031</v>
      </c>
      <c r="R22" s="53">
        <f t="shared" si="0"/>
        <v>3</v>
      </c>
      <c r="S22" s="72"/>
      <c r="T22" s="73">
        <v>0.5</v>
      </c>
      <c r="U22" s="71">
        <v>25000000</v>
      </c>
      <c r="V22" s="94">
        <v>0.1</v>
      </c>
      <c r="W22" s="97">
        <v>4045633</v>
      </c>
      <c r="X22" s="101">
        <v>4045633</v>
      </c>
      <c r="Y22" s="98">
        <f t="shared" si="1"/>
        <v>2022816.5</v>
      </c>
      <c r="Z22" s="100" t="s">
        <v>6</v>
      </c>
      <c r="AA22" s="92">
        <v>534</v>
      </c>
      <c r="AB22" s="102">
        <v>8969977</v>
      </c>
      <c r="AC22" s="114"/>
      <c r="AD22" s="81"/>
      <c r="AE22" s="83"/>
      <c r="AF22" s="82"/>
      <c r="AG22" s="119"/>
      <c r="AH22" s="79">
        <v>8</v>
      </c>
      <c r="AI22" s="74">
        <v>3</v>
      </c>
      <c r="AJ22" s="75">
        <v>0</v>
      </c>
      <c r="AK22" s="123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24"/>
      <c r="AX22" s="125"/>
    </row>
    <row r="23" spans="1:50" s="40" customFormat="1" ht="25" customHeight="1" thickBot="1" x14ac:dyDescent="0.35">
      <c r="A23" s="42">
        <v>7</v>
      </c>
      <c r="B23" s="66" t="s">
        <v>125</v>
      </c>
      <c r="C23" s="67" t="s">
        <v>126</v>
      </c>
      <c r="D23" s="91">
        <v>42040</v>
      </c>
      <c r="E23" s="90" t="s">
        <v>8</v>
      </c>
      <c r="F23" s="68" t="s">
        <v>30</v>
      </c>
      <c r="G23" s="69">
        <v>110000000</v>
      </c>
      <c r="H23" s="108"/>
      <c r="I23" s="109"/>
      <c r="J23" s="70" t="s">
        <v>16</v>
      </c>
      <c r="K23" s="66" t="s">
        <v>170</v>
      </c>
      <c r="L23" s="71">
        <v>14000000</v>
      </c>
      <c r="M23" s="92">
        <v>14000000</v>
      </c>
      <c r="N23" s="72">
        <v>43942</v>
      </c>
      <c r="O23" s="91">
        <v>43942</v>
      </c>
      <c r="P23" s="72">
        <v>43972</v>
      </c>
      <c r="Q23" s="91">
        <v>45768</v>
      </c>
      <c r="R23" s="53">
        <f t="shared" si="0"/>
        <v>5.0027397260273974</v>
      </c>
      <c r="S23" s="72"/>
      <c r="T23" s="73">
        <v>0.5</v>
      </c>
      <c r="U23" s="71">
        <v>14000000</v>
      </c>
      <c r="V23" s="94">
        <v>9.5000000000000001E-2</v>
      </c>
      <c r="W23" s="97">
        <v>4519180</v>
      </c>
      <c r="X23" s="101">
        <v>0</v>
      </c>
      <c r="Y23" s="98">
        <f t="shared" si="1"/>
        <v>2259590</v>
      </c>
      <c r="Z23" s="100" t="s">
        <v>7</v>
      </c>
      <c r="AA23" s="92">
        <v>0</v>
      </c>
      <c r="AB23" s="102">
        <v>0</v>
      </c>
      <c r="AC23" s="114"/>
      <c r="AD23" s="81"/>
      <c r="AE23" s="83"/>
      <c r="AF23" s="82"/>
      <c r="AG23" s="119"/>
      <c r="AH23" s="79">
        <v>43</v>
      </c>
      <c r="AI23" s="74">
        <v>7</v>
      </c>
      <c r="AJ23" s="75">
        <v>2</v>
      </c>
      <c r="AK23" s="123"/>
      <c r="AL23" s="124"/>
      <c r="AM23" s="124"/>
      <c r="AN23" s="124"/>
      <c r="AO23" s="124"/>
      <c r="AP23" s="124"/>
      <c r="AQ23" s="124"/>
      <c r="AR23" s="124"/>
      <c r="AS23" s="124"/>
      <c r="AT23" s="124"/>
      <c r="AU23" s="124"/>
      <c r="AV23" s="124"/>
      <c r="AW23" s="124"/>
      <c r="AX23" s="125"/>
    </row>
    <row r="24" spans="1:50" s="40" customFormat="1" ht="25" customHeight="1" thickBot="1" x14ac:dyDescent="0.35">
      <c r="A24" s="42">
        <v>8</v>
      </c>
      <c r="B24" s="66" t="s">
        <v>127</v>
      </c>
      <c r="C24" s="67" t="s">
        <v>128</v>
      </c>
      <c r="D24" s="91">
        <v>41982</v>
      </c>
      <c r="E24" s="90" t="s">
        <v>8</v>
      </c>
      <c r="F24" s="68" t="s">
        <v>19</v>
      </c>
      <c r="G24" s="69">
        <v>1690000000</v>
      </c>
      <c r="H24" s="108"/>
      <c r="I24" s="109"/>
      <c r="J24" s="70" t="s">
        <v>16</v>
      </c>
      <c r="K24" s="66" t="s">
        <v>168</v>
      </c>
      <c r="L24" s="71">
        <v>150000000</v>
      </c>
      <c r="M24" s="92">
        <v>150000000</v>
      </c>
      <c r="N24" s="72">
        <v>43966</v>
      </c>
      <c r="O24" s="91">
        <v>43966</v>
      </c>
      <c r="P24" s="72">
        <v>43966</v>
      </c>
      <c r="Q24" s="91">
        <v>45031</v>
      </c>
      <c r="R24" s="53">
        <f t="shared" si="0"/>
        <v>2.9178082191780823</v>
      </c>
      <c r="S24" s="72"/>
      <c r="T24" s="73">
        <v>0.5</v>
      </c>
      <c r="U24" s="71">
        <v>150000000</v>
      </c>
      <c r="V24" s="94">
        <v>0.09</v>
      </c>
      <c r="W24" s="97">
        <v>3229063</v>
      </c>
      <c r="X24" s="101">
        <v>0</v>
      </c>
      <c r="Y24" s="98">
        <f t="shared" si="1"/>
        <v>1614531.5</v>
      </c>
      <c r="Z24" s="100" t="s">
        <v>7</v>
      </c>
      <c r="AA24" s="92">
        <v>0</v>
      </c>
      <c r="AB24" s="102">
        <v>0</v>
      </c>
      <c r="AC24" s="114"/>
      <c r="AD24" s="81"/>
      <c r="AE24" s="83"/>
      <c r="AF24" s="82"/>
      <c r="AG24" s="119"/>
      <c r="AH24" s="79">
        <v>37</v>
      </c>
      <c r="AI24" s="74">
        <v>0</v>
      </c>
      <c r="AJ24" s="75">
        <v>0</v>
      </c>
      <c r="AK24" s="123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24"/>
      <c r="AW24" s="124"/>
      <c r="AX24" s="125"/>
    </row>
    <row r="25" spans="1:50" s="40" customFormat="1" ht="25" customHeight="1" thickBot="1" x14ac:dyDescent="0.35">
      <c r="A25" s="42">
        <v>9</v>
      </c>
      <c r="B25" s="66" t="s">
        <v>129</v>
      </c>
      <c r="C25" s="67" t="s">
        <v>130</v>
      </c>
      <c r="D25" s="91">
        <v>37361</v>
      </c>
      <c r="E25" s="90" t="s">
        <v>12</v>
      </c>
      <c r="F25" s="68" t="s">
        <v>22</v>
      </c>
      <c r="G25" s="69">
        <v>153900743</v>
      </c>
      <c r="H25" s="108"/>
      <c r="I25" s="109"/>
      <c r="J25" s="70" t="s">
        <v>16</v>
      </c>
      <c r="K25" s="66" t="s">
        <v>171</v>
      </c>
      <c r="L25" s="71">
        <v>30000000</v>
      </c>
      <c r="M25" s="92">
        <v>30000000</v>
      </c>
      <c r="N25" s="72">
        <v>44057</v>
      </c>
      <c r="O25" s="91">
        <v>44057</v>
      </c>
      <c r="P25" s="72">
        <v>44088</v>
      </c>
      <c r="Q25" s="91">
        <v>45883</v>
      </c>
      <c r="R25" s="53">
        <f t="shared" si="0"/>
        <v>5.0027397260273974</v>
      </c>
      <c r="S25" s="72"/>
      <c r="T25" s="73">
        <v>0.5</v>
      </c>
      <c r="U25" s="71">
        <v>30000000</v>
      </c>
      <c r="V25" s="94">
        <v>9.9900000000000003E-2</v>
      </c>
      <c r="W25" s="97">
        <v>15282888</v>
      </c>
      <c r="X25" s="101">
        <v>0</v>
      </c>
      <c r="Y25" s="98">
        <f t="shared" si="1"/>
        <v>7641444</v>
      </c>
      <c r="Z25" s="100" t="s">
        <v>7</v>
      </c>
      <c r="AA25" s="92">
        <v>0</v>
      </c>
      <c r="AB25" s="102">
        <v>0</v>
      </c>
      <c r="AC25" s="114"/>
      <c r="AD25" s="81"/>
      <c r="AE25" s="83"/>
      <c r="AF25" s="82"/>
      <c r="AG25" s="119"/>
      <c r="AH25" s="79">
        <v>5</v>
      </c>
      <c r="AI25" s="74">
        <v>5</v>
      </c>
      <c r="AJ25" s="75">
        <v>0</v>
      </c>
      <c r="AK25" s="123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24"/>
      <c r="AX25" s="125"/>
    </row>
    <row r="26" spans="1:50" s="40" customFormat="1" ht="25" customHeight="1" thickBot="1" x14ac:dyDescent="0.35">
      <c r="A26" s="42">
        <v>10</v>
      </c>
      <c r="B26" s="66" t="s">
        <v>131</v>
      </c>
      <c r="C26" s="67" t="s">
        <v>261</v>
      </c>
      <c r="D26" s="91">
        <v>29738</v>
      </c>
      <c r="E26" s="90" t="s">
        <v>8</v>
      </c>
      <c r="F26" s="68" t="s">
        <v>25</v>
      </c>
      <c r="G26" s="69">
        <v>593000000</v>
      </c>
      <c r="H26" s="108"/>
      <c r="I26" s="109"/>
      <c r="J26" s="70" t="s">
        <v>16</v>
      </c>
      <c r="K26" s="66" t="s">
        <v>172</v>
      </c>
      <c r="L26" s="71">
        <v>75000000</v>
      </c>
      <c r="M26" s="92">
        <v>75000000</v>
      </c>
      <c r="N26" s="72">
        <v>44091</v>
      </c>
      <c r="O26" s="91">
        <v>44091</v>
      </c>
      <c r="P26" s="72">
        <v>44119</v>
      </c>
      <c r="Q26" s="91">
        <v>45184</v>
      </c>
      <c r="R26" s="53">
        <f t="shared" si="0"/>
        <v>2.9945205479452053</v>
      </c>
      <c r="S26" s="72"/>
      <c r="T26" s="73">
        <v>0.5</v>
      </c>
      <c r="U26" s="71">
        <v>75000000</v>
      </c>
      <c r="V26" s="94">
        <v>7.2499999999999995E-2</v>
      </c>
      <c r="W26" s="97">
        <v>0</v>
      </c>
      <c r="X26" s="101">
        <v>0</v>
      </c>
      <c r="Y26" s="98">
        <f t="shared" si="1"/>
        <v>0</v>
      </c>
      <c r="Z26" s="100" t="s">
        <v>7</v>
      </c>
      <c r="AA26" s="92">
        <v>0</v>
      </c>
      <c r="AB26" s="102">
        <v>0</v>
      </c>
      <c r="AC26" s="114"/>
      <c r="AD26" s="81"/>
      <c r="AE26" s="83"/>
      <c r="AF26" s="82"/>
      <c r="AG26" s="119"/>
      <c r="AH26" s="79">
        <v>12</v>
      </c>
      <c r="AI26" s="74">
        <v>13</v>
      </c>
      <c r="AJ26" s="75">
        <v>0</v>
      </c>
      <c r="AK26" s="123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5"/>
    </row>
    <row r="27" spans="1:50" s="40" customFormat="1" ht="25" customHeight="1" thickBot="1" x14ac:dyDescent="0.35">
      <c r="A27" s="42">
        <v>11</v>
      </c>
      <c r="B27" s="66" t="s">
        <v>132</v>
      </c>
      <c r="C27" s="67" t="s">
        <v>133</v>
      </c>
      <c r="D27" s="91">
        <v>33151</v>
      </c>
      <c r="E27" s="90" t="s">
        <v>8</v>
      </c>
      <c r="F27" s="68" t="s">
        <v>29</v>
      </c>
      <c r="G27" s="69">
        <v>3683000000</v>
      </c>
      <c r="H27" s="108"/>
      <c r="I27" s="109"/>
      <c r="J27" s="70" t="s">
        <v>16</v>
      </c>
      <c r="K27" s="66" t="s">
        <v>171</v>
      </c>
      <c r="L27" s="71">
        <v>141000000</v>
      </c>
      <c r="M27" s="92">
        <v>141000000</v>
      </c>
      <c r="N27" s="72">
        <v>44112</v>
      </c>
      <c r="O27" s="91">
        <v>44112</v>
      </c>
      <c r="P27" s="72">
        <v>44143</v>
      </c>
      <c r="Q27" s="91">
        <v>45024</v>
      </c>
      <c r="R27" s="53">
        <f t="shared" si="0"/>
        <v>2.4986301369863013</v>
      </c>
      <c r="S27" s="72"/>
      <c r="T27" s="73">
        <v>0.5</v>
      </c>
      <c r="U27" s="71">
        <v>141000000</v>
      </c>
      <c r="V27" s="94">
        <v>8.5000000000000006E-2</v>
      </c>
      <c r="W27" s="97">
        <v>0</v>
      </c>
      <c r="X27" s="101">
        <v>0</v>
      </c>
      <c r="Y27" s="98">
        <f t="shared" si="1"/>
        <v>0</v>
      </c>
      <c r="Z27" s="100" t="s">
        <v>7</v>
      </c>
      <c r="AA27" s="92">
        <v>0</v>
      </c>
      <c r="AB27" s="102">
        <v>0</v>
      </c>
      <c r="AC27" s="114"/>
      <c r="AD27" s="81"/>
      <c r="AE27" s="83"/>
      <c r="AF27" s="82"/>
      <c r="AG27" s="119"/>
      <c r="AH27" s="79">
        <v>62</v>
      </c>
      <c r="AI27" s="74">
        <v>3</v>
      </c>
      <c r="AJ27" s="75">
        <v>1</v>
      </c>
      <c r="AK27" s="123"/>
      <c r="AL27" s="124"/>
      <c r="AM27" s="124"/>
      <c r="AN27" s="124"/>
      <c r="AO27" s="124"/>
      <c r="AP27" s="124"/>
      <c r="AQ27" s="124"/>
      <c r="AR27" s="124"/>
      <c r="AS27" s="124"/>
      <c r="AT27" s="124"/>
      <c r="AU27" s="124"/>
      <c r="AV27" s="124"/>
      <c r="AW27" s="124"/>
      <c r="AX27" s="125"/>
    </row>
    <row r="28" spans="1:50" s="40" customFormat="1" ht="25" customHeight="1" thickBot="1" x14ac:dyDescent="0.35">
      <c r="A28" s="42">
        <v>12</v>
      </c>
      <c r="B28" s="66"/>
      <c r="C28" s="67"/>
      <c r="D28" s="91"/>
      <c r="E28" s="90"/>
      <c r="F28" s="68"/>
      <c r="G28" s="69"/>
      <c r="H28" s="108"/>
      <c r="I28" s="109"/>
      <c r="J28" s="70"/>
      <c r="K28" s="66"/>
      <c r="L28" s="71"/>
      <c r="M28" s="92"/>
      <c r="N28" s="72"/>
      <c r="O28" s="91"/>
      <c r="P28" s="72"/>
      <c r="Q28" s="91"/>
      <c r="R28" s="53" t="str">
        <f t="shared" si="0"/>
        <v/>
      </c>
      <c r="S28" s="72"/>
      <c r="T28" s="73"/>
      <c r="U28" s="71"/>
      <c r="V28" s="94"/>
      <c r="W28" s="97"/>
      <c r="X28" s="101"/>
      <c r="Y28" s="98" t="str">
        <f t="shared" si="1"/>
        <v/>
      </c>
      <c r="Z28" s="100"/>
      <c r="AA28" s="92"/>
      <c r="AB28" s="102"/>
      <c r="AC28" s="114"/>
      <c r="AD28" s="81"/>
      <c r="AE28" s="83"/>
      <c r="AF28" s="82"/>
      <c r="AG28" s="119"/>
      <c r="AH28" s="79"/>
      <c r="AI28" s="74"/>
      <c r="AJ28" s="75"/>
      <c r="AK28" s="123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24"/>
      <c r="AW28" s="124"/>
      <c r="AX28" s="125"/>
    </row>
    <row r="29" spans="1:50" s="40" customFormat="1" ht="25" customHeight="1" thickBot="1" x14ac:dyDescent="0.35">
      <c r="A29" s="42">
        <v>13</v>
      </c>
      <c r="B29" s="66" t="s">
        <v>134</v>
      </c>
      <c r="C29" s="67" t="s">
        <v>135</v>
      </c>
      <c r="D29" s="91">
        <v>42193</v>
      </c>
      <c r="E29" s="90" t="s">
        <v>10</v>
      </c>
      <c r="F29" s="68" t="s">
        <v>25</v>
      </c>
      <c r="G29" s="69">
        <v>625000000</v>
      </c>
      <c r="H29" s="108"/>
      <c r="I29" s="109"/>
      <c r="J29" s="70" t="s">
        <v>16</v>
      </c>
      <c r="K29" s="66" t="s">
        <v>171</v>
      </c>
      <c r="L29" s="71">
        <v>28760000</v>
      </c>
      <c r="M29" s="92">
        <v>28760000</v>
      </c>
      <c r="N29" s="72">
        <v>44132</v>
      </c>
      <c r="O29" s="91">
        <v>44132</v>
      </c>
      <c r="P29" s="72">
        <v>44163</v>
      </c>
      <c r="Q29" s="91">
        <v>44497</v>
      </c>
      <c r="R29" s="53">
        <f t="shared" si="0"/>
        <v>1</v>
      </c>
      <c r="S29" s="72"/>
      <c r="T29" s="73">
        <v>0.5</v>
      </c>
      <c r="U29" s="71">
        <v>28760000</v>
      </c>
      <c r="V29" s="94">
        <v>0.11</v>
      </c>
      <c r="W29" s="97">
        <v>0</v>
      </c>
      <c r="X29" s="101">
        <v>0</v>
      </c>
      <c r="Y29" s="98">
        <f t="shared" si="1"/>
        <v>0</v>
      </c>
      <c r="Z29" s="100" t="s">
        <v>7</v>
      </c>
      <c r="AA29" s="92">
        <v>0</v>
      </c>
      <c r="AB29" s="102">
        <v>0</v>
      </c>
      <c r="AC29" s="114"/>
      <c r="AD29" s="81"/>
      <c r="AE29" s="83"/>
      <c r="AF29" s="82"/>
      <c r="AG29" s="119"/>
      <c r="AH29" s="79">
        <v>27</v>
      </c>
      <c r="AI29" s="74">
        <v>1</v>
      </c>
      <c r="AJ29" s="75">
        <v>0</v>
      </c>
      <c r="AK29" s="123"/>
      <c r="AL29" s="124"/>
      <c r="AM29" s="124"/>
      <c r="AN29" s="124"/>
      <c r="AO29" s="124"/>
      <c r="AP29" s="124"/>
      <c r="AQ29" s="124"/>
      <c r="AR29" s="124"/>
      <c r="AS29" s="124"/>
      <c r="AT29" s="124"/>
      <c r="AU29" s="124"/>
      <c r="AV29" s="124"/>
      <c r="AW29" s="124"/>
      <c r="AX29" s="125"/>
    </row>
    <row r="30" spans="1:50" s="40" customFormat="1" ht="25" customHeight="1" thickBot="1" x14ac:dyDescent="0.35">
      <c r="A30" s="42">
        <v>14</v>
      </c>
      <c r="B30" s="66" t="s">
        <v>136</v>
      </c>
      <c r="C30" s="67" t="s">
        <v>137</v>
      </c>
      <c r="D30" s="91">
        <v>38195</v>
      </c>
      <c r="E30" s="90" t="s">
        <v>15</v>
      </c>
      <c r="F30" s="68" t="s">
        <v>22</v>
      </c>
      <c r="G30" s="69">
        <v>265824885</v>
      </c>
      <c r="H30" s="108"/>
      <c r="I30" s="109"/>
      <c r="J30" s="70" t="s">
        <v>16</v>
      </c>
      <c r="K30" s="66" t="s">
        <v>171</v>
      </c>
      <c r="L30" s="71">
        <v>25000000</v>
      </c>
      <c r="M30" s="92">
        <v>25000000</v>
      </c>
      <c r="N30" s="72">
        <v>44148</v>
      </c>
      <c r="O30" s="91">
        <v>44148</v>
      </c>
      <c r="P30" s="72">
        <v>44178</v>
      </c>
      <c r="Q30" s="91">
        <v>45974</v>
      </c>
      <c r="R30" s="53">
        <f t="shared" si="0"/>
        <v>5.0027397260273974</v>
      </c>
      <c r="S30" s="72"/>
      <c r="T30" s="73">
        <v>0.5</v>
      </c>
      <c r="U30" s="71">
        <v>25000000</v>
      </c>
      <c r="V30" s="94">
        <v>9.9900000000000003E-2</v>
      </c>
      <c r="W30" s="97">
        <v>11433786</v>
      </c>
      <c r="X30" s="101">
        <v>0</v>
      </c>
      <c r="Y30" s="98">
        <f t="shared" si="1"/>
        <v>5716893</v>
      </c>
      <c r="Z30" s="100" t="s">
        <v>7</v>
      </c>
      <c r="AA30" s="92">
        <v>0</v>
      </c>
      <c r="AB30" s="102">
        <v>0</v>
      </c>
      <c r="AC30" s="114"/>
      <c r="AD30" s="81"/>
      <c r="AE30" s="83"/>
      <c r="AF30" s="82"/>
      <c r="AG30" s="119"/>
      <c r="AH30" s="79">
        <v>20</v>
      </c>
      <c r="AI30" s="74">
        <v>22</v>
      </c>
      <c r="AJ30" s="75">
        <v>0</v>
      </c>
      <c r="AK30" s="123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24"/>
      <c r="AW30" s="124"/>
      <c r="AX30" s="125"/>
    </row>
    <row r="31" spans="1:50" s="40" customFormat="1" ht="25" customHeight="1" thickBot="1" x14ac:dyDescent="0.35">
      <c r="A31" s="42">
        <v>15</v>
      </c>
      <c r="B31" s="66" t="s">
        <v>138</v>
      </c>
      <c r="C31" s="67" t="s">
        <v>139</v>
      </c>
      <c r="D31" s="91">
        <v>41635</v>
      </c>
      <c r="E31" s="90" t="s">
        <v>15</v>
      </c>
      <c r="F31" s="68" t="s">
        <v>22</v>
      </c>
      <c r="G31" s="69">
        <v>76436750</v>
      </c>
      <c r="H31" s="108"/>
      <c r="I31" s="109"/>
      <c r="J31" s="70" t="s">
        <v>16</v>
      </c>
      <c r="K31" s="66" t="s">
        <v>173</v>
      </c>
      <c r="L31" s="71">
        <v>20000000</v>
      </c>
      <c r="M31" s="92">
        <v>20000000</v>
      </c>
      <c r="N31" s="72">
        <v>44154</v>
      </c>
      <c r="O31" s="91">
        <v>44154</v>
      </c>
      <c r="P31" s="72">
        <v>44184</v>
      </c>
      <c r="Q31" s="91">
        <v>45249</v>
      </c>
      <c r="R31" s="53">
        <f t="shared" si="0"/>
        <v>3</v>
      </c>
      <c r="S31" s="72"/>
      <c r="T31" s="73">
        <v>0.5</v>
      </c>
      <c r="U31" s="71">
        <v>20000000</v>
      </c>
      <c r="V31" s="94">
        <v>9.9900000000000003E-2</v>
      </c>
      <c r="W31" s="97">
        <v>0</v>
      </c>
      <c r="X31" s="101">
        <v>0</v>
      </c>
      <c r="Y31" s="98">
        <f t="shared" si="1"/>
        <v>0</v>
      </c>
      <c r="Z31" s="100" t="s">
        <v>7</v>
      </c>
      <c r="AA31" s="92">
        <v>0</v>
      </c>
      <c r="AB31" s="102">
        <v>0</v>
      </c>
      <c r="AC31" s="114"/>
      <c r="AD31" s="81"/>
      <c r="AE31" s="83"/>
      <c r="AF31" s="82"/>
      <c r="AG31" s="119"/>
      <c r="AH31" s="79">
        <v>3</v>
      </c>
      <c r="AI31" s="74">
        <v>5</v>
      </c>
      <c r="AJ31" s="75">
        <v>0</v>
      </c>
      <c r="AK31" s="123"/>
      <c r="AL31" s="124"/>
      <c r="AM31" s="124"/>
      <c r="AN31" s="124"/>
      <c r="AO31" s="124"/>
      <c r="AP31" s="124"/>
      <c r="AQ31" s="124"/>
      <c r="AR31" s="124"/>
      <c r="AS31" s="124"/>
      <c r="AT31" s="124"/>
      <c r="AU31" s="124"/>
      <c r="AV31" s="124"/>
      <c r="AW31" s="124"/>
      <c r="AX31" s="125"/>
    </row>
    <row r="32" spans="1:50" s="40" customFormat="1" ht="25" customHeight="1" thickBot="1" x14ac:dyDescent="0.35">
      <c r="A32" s="42">
        <v>16</v>
      </c>
      <c r="B32" s="66" t="s">
        <v>140</v>
      </c>
      <c r="C32" s="67" t="s">
        <v>141</v>
      </c>
      <c r="D32" s="91">
        <v>37936</v>
      </c>
      <c r="E32" s="90" t="s">
        <v>10</v>
      </c>
      <c r="F32" s="68" t="s">
        <v>29</v>
      </c>
      <c r="G32" s="69">
        <v>140000000</v>
      </c>
      <c r="H32" s="108"/>
      <c r="I32" s="109"/>
      <c r="J32" s="70" t="s">
        <v>16</v>
      </c>
      <c r="K32" s="66" t="s">
        <v>174</v>
      </c>
      <c r="L32" s="71">
        <v>15000000</v>
      </c>
      <c r="M32" s="92">
        <v>15000000</v>
      </c>
      <c r="N32" s="72">
        <v>44169</v>
      </c>
      <c r="O32" s="91">
        <v>44169</v>
      </c>
      <c r="P32" s="72">
        <v>44200</v>
      </c>
      <c r="Q32" s="91">
        <v>45630</v>
      </c>
      <c r="R32" s="53">
        <f t="shared" si="0"/>
        <v>4.0027397260273974</v>
      </c>
      <c r="S32" s="72"/>
      <c r="T32" s="73">
        <v>0.5</v>
      </c>
      <c r="U32" s="71">
        <v>15000000</v>
      </c>
      <c r="V32" s="94">
        <v>9.9900000000000003E-2</v>
      </c>
      <c r="W32" s="97">
        <v>4468892</v>
      </c>
      <c r="X32" s="101">
        <v>0</v>
      </c>
      <c r="Y32" s="98">
        <f t="shared" si="1"/>
        <v>2234446</v>
      </c>
      <c r="Z32" s="100" t="s">
        <v>7</v>
      </c>
      <c r="AA32" s="92">
        <v>0</v>
      </c>
      <c r="AB32" s="102">
        <v>0</v>
      </c>
      <c r="AC32" s="114"/>
      <c r="AD32" s="81"/>
      <c r="AE32" s="83"/>
      <c r="AF32" s="82"/>
      <c r="AG32" s="119"/>
      <c r="AH32" s="79">
        <v>5</v>
      </c>
      <c r="AI32" s="74">
        <v>2</v>
      </c>
      <c r="AJ32" s="75">
        <v>2</v>
      </c>
      <c r="AK32" s="123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24"/>
      <c r="AW32" s="124"/>
      <c r="AX32" s="125"/>
    </row>
    <row r="33" spans="1:50" s="40" customFormat="1" ht="25" customHeight="1" thickBot="1" x14ac:dyDescent="0.35">
      <c r="A33" s="42">
        <v>17</v>
      </c>
      <c r="B33" s="66" t="s">
        <v>142</v>
      </c>
      <c r="C33" s="67" t="s">
        <v>143</v>
      </c>
      <c r="D33" s="91">
        <v>41794</v>
      </c>
      <c r="E33" s="90" t="s">
        <v>10</v>
      </c>
      <c r="F33" s="68" t="s">
        <v>29</v>
      </c>
      <c r="G33" s="69">
        <v>18667209</v>
      </c>
      <c r="H33" s="108"/>
      <c r="I33" s="109"/>
      <c r="J33" s="70" t="s">
        <v>16</v>
      </c>
      <c r="K33" s="66" t="s">
        <v>168</v>
      </c>
      <c r="L33" s="71">
        <v>16000000</v>
      </c>
      <c r="M33" s="92">
        <v>16000000</v>
      </c>
      <c r="N33" s="72">
        <v>44211</v>
      </c>
      <c r="O33" s="91">
        <v>44211</v>
      </c>
      <c r="P33" s="72">
        <v>44211</v>
      </c>
      <c r="Q33" s="91">
        <v>45641</v>
      </c>
      <c r="R33" s="53">
        <f t="shared" si="0"/>
        <v>3.9178082191780823</v>
      </c>
      <c r="S33" s="72"/>
      <c r="T33" s="73">
        <v>0.5</v>
      </c>
      <c r="U33" s="71">
        <v>16000000</v>
      </c>
      <c r="V33" s="94">
        <v>0.08</v>
      </c>
      <c r="W33" s="97">
        <v>3771431</v>
      </c>
      <c r="X33" s="101">
        <v>0</v>
      </c>
      <c r="Y33" s="98">
        <f t="shared" si="1"/>
        <v>1885715.5</v>
      </c>
      <c r="Z33" s="100" t="s">
        <v>7</v>
      </c>
      <c r="AA33" s="92">
        <v>0</v>
      </c>
      <c r="AB33" s="102">
        <v>0</v>
      </c>
      <c r="AC33" s="114"/>
      <c r="AD33" s="81"/>
      <c r="AE33" s="83"/>
      <c r="AF33" s="82"/>
      <c r="AG33" s="119"/>
      <c r="AH33" s="79">
        <v>2</v>
      </c>
      <c r="AI33" s="74">
        <v>4</v>
      </c>
      <c r="AJ33" s="75">
        <v>0</v>
      </c>
      <c r="AK33" s="123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5"/>
    </row>
    <row r="34" spans="1:50" s="40" customFormat="1" ht="25" customHeight="1" thickBot="1" x14ac:dyDescent="0.35">
      <c r="A34" s="42">
        <v>18</v>
      </c>
      <c r="B34" s="66" t="s">
        <v>144</v>
      </c>
      <c r="C34" s="67" t="s">
        <v>145</v>
      </c>
      <c r="D34" s="91">
        <v>41178</v>
      </c>
      <c r="E34" s="90" t="s">
        <v>15</v>
      </c>
      <c r="F34" s="68" t="s">
        <v>30</v>
      </c>
      <c r="G34" s="69">
        <v>188000000</v>
      </c>
      <c r="H34" s="108"/>
      <c r="I34" s="109"/>
      <c r="J34" s="70" t="s">
        <v>16</v>
      </c>
      <c r="K34" s="66" t="s">
        <v>175</v>
      </c>
      <c r="L34" s="71">
        <v>24800000</v>
      </c>
      <c r="M34" s="92">
        <v>24800000</v>
      </c>
      <c r="N34" s="72">
        <v>44245</v>
      </c>
      <c r="O34" s="91">
        <v>44245</v>
      </c>
      <c r="P34" s="72">
        <v>44273</v>
      </c>
      <c r="Q34" s="91">
        <v>46071</v>
      </c>
      <c r="R34" s="53">
        <f t="shared" si="0"/>
        <v>5.0027397260273974</v>
      </c>
      <c r="S34" s="72"/>
      <c r="T34" s="73">
        <v>0.5</v>
      </c>
      <c r="U34" s="71">
        <v>24800000</v>
      </c>
      <c r="V34" s="94">
        <v>0.09</v>
      </c>
      <c r="W34" s="97">
        <v>12458407</v>
      </c>
      <c r="X34" s="101">
        <v>0</v>
      </c>
      <c r="Y34" s="98">
        <f t="shared" si="1"/>
        <v>6229203.5</v>
      </c>
      <c r="Z34" s="100" t="s">
        <v>7</v>
      </c>
      <c r="AA34" s="92">
        <v>0</v>
      </c>
      <c r="AB34" s="102">
        <v>0</v>
      </c>
      <c r="AC34" s="114"/>
      <c r="AD34" s="81"/>
      <c r="AE34" s="83"/>
      <c r="AF34" s="82"/>
      <c r="AG34" s="119"/>
      <c r="AH34" s="79">
        <v>4</v>
      </c>
      <c r="AI34" s="74">
        <v>4</v>
      </c>
      <c r="AJ34" s="75">
        <v>0</v>
      </c>
      <c r="AK34" s="123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AX34" s="125"/>
    </row>
    <row r="35" spans="1:50" s="40" customFormat="1" ht="25" customHeight="1" thickBot="1" x14ac:dyDescent="0.35">
      <c r="A35" s="42">
        <v>19</v>
      </c>
      <c r="B35" s="66" t="s">
        <v>146</v>
      </c>
      <c r="C35" s="67" t="s">
        <v>147</v>
      </c>
      <c r="D35" s="91">
        <v>36525</v>
      </c>
      <c r="E35" s="90" t="s">
        <v>15</v>
      </c>
      <c r="F35" s="68" t="s">
        <v>27</v>
      </c>
      <c r="G35" s="69">
        <v>15599900</v>
      </c>
      <c r="H35" s="108"/>
      <c r="I35" s="109"/>
      <c r="J35" s="70" t="s">
        <v>16</v>
      </c>
      <c r="K35" s="66" t="s">
        <v>168</v>
      </c>
      <c r="L35" s="71">
        <v>25000000</v>
      </c>
      <c r="M35" s="92">
        <v>25000000</v>
      </c>
      <c r="N35" s="72">
        <v>44249</v>
      </c>
      <c r="O35" s="91">
        <v>44249</v>
      </c>
      <c r="P35" s="72">
        <v>44277</v>
      </c>
      <c r="Q35" s="91">
        <v>46075</v>
      </c>
      <c r="R35" s="53">
        <f t="shared" si="0"/>
        <v>5.0027397260273974</v>
      </c>
      <c r="S35" s="72"/>
      <c r="T35" s="73">
        <v>0.5</v>
      </c>
      <c r="U35" s="71">
        <v>25000000</v>
      </c>
      <c r="V35" s="94">
        <v>9.9900000000000003E-2</v>
      </c>
      <c r="W35" s="97">
        <v>12735779</v>
      </c>
      <c r="X35" s="101">
        <v>0</v>
      </c>
      <c r="Y35" s="98">
        <f t="shared" si="1"/>
        <v>6367889.5</v>
      </c>
      <c r="Z35" s="100" t="s">
        <v>7</v>
      </c>
      <c r="AA35" s="92">
        <v>0</v>
      </c>
      <c r="AB35" s="102">
        <v>0</v>
      </c>
      <c r="AC35" s="114"/>
      <c r="AD35" s="81"/>
      <c r="AE35" s="83"/>
      <c r="AF35" s="82"/>
      <c r="AG35" s="119"/>
      <c r="AH35" s="79">
        <v>3</v>
      </c>
      <c r="AI35" s="74">
        <v>5</v>
      </c>
      <c r="AJ35" s="75">
        <v>0</v>
      </c>
      <c r="AK35" s="123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24"/>
      <c r="AX35" s="125"/>
    </row>
    <row r="36" spans="1:50" s="40" customFormat="1" ht="25" customHeight="1" thickBot="1" x14ac:dyDescent="0.35">
      <c r="A36" s="42">
        <v>20</v>
      </c>
      <c r="B36" s="66" t="s">
        <v>148</v>
      </c>
      <c r="C36" s="67" t="s">
        <v>149</v>
      </c>
      <c r="D36" s="91">
        <v>43105</v>
      </c>
      <c r="E36" s="90" t="s">
        <v>15</v>
      </c>
      <c r="F36" s="68" t="s">
        <v>29</v>
      </c>
      <c r="G36" s="69">
        <v>63000000</v>
      </c>
      <c r="H36" s="108"/>
      <c r="I36" s="109"/>
      <c r="J36" s="70" t="s">
        <v>16</v>
      </c>
      <c r="K36" s="66" t="s">
        <v>176</v>
      </c>
      <c r="L36" s="71">
        <v>30000000</v>
      </c>
      <c r="M36" s="92">
        <v>30000000</v>
      </c>
      <c r="N36" s="72">
        <v>44293</v>
      </c>
      <c r="O36" s="91">
        <v>44293</v>
      </c>
      <c r="P36" s="72">
        <v>44323</v>
      </c>
      <c r="Q36" s="91">
        <v>45389</v>
      </c>
      <c r="R36" s="53">
        <f t="shared" si="0"/>
        <v>3.0027397260273974</v>
      </c>
      <c r="S36" s="72"/>
      <c r="T36" s="73">
        <v>0.5</v>
      </c>
      <c r="U36" s="71">
        <v>30000000</v>
      </c>
      <c r="V36" s="94">
        <v>0.09</v>
      </c>
      <c r="W36" s="97">
        <v>3851168</v>
      </c>
      <c r="X36" s="101">
        <v>0</v>
      </c>
      <c r="Y36" s="98">
        <f t="shared" si="1"/>
        <v>1925584</v>
      </c>
      <c r="Z36" s="100" t="s">
        <v>7</v>
      </c>
      <c r="AA36" s="92">
        <v>0</v>
      </c>
      <c r="AB36" s="102">
        <v>0</v>
      </c>
      <c r="AC36" s="114"/>
      <c r="AD36" s="81"/>
      <c r="AE36" s="83"/>
      <c r="AF36" s="82"/>
      <c r="AG36" s="119"/>
      <c r="AH36" s="79">
        <v>2</v>
      </c>
      <c r="AI36" s="74">
        <v>7</v>
      </c>
      <c r="AJ36" s="75">
        <v>4</v>
      </c>
      <c r="AK36" s="123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5"/>
    </row>
    <row r="37" spans="1:50" s="40" customFormat="1" ht="25" customHeight="1" thickBot="1" x14ac:dyDescent="0.35">
      <c r="A37" s="42">
        <v>21</v>
      </c>
      <c r="B37" s="66" t="s">
        <v>150</v>
      </c>
      <c r="C37" s="67" t="s">
        <v>151</v>
      </c>
      <c r="D37" s="91">
        <v>40059</v>
      </c>
      <c r="E37" s="90" t="s">
        <v>15</v>
      </c>
      <c r="F37" s="68" t="s">
        <v>22</v>
      </c>
      <c r="G37" s="69">
        <v>310984000</v>
      </c>
      <c r="H37" s="108"/>
      <c r="I37" s="109"/>
      <c r="J37" s="70" t="s">
        <v>16</v>
      </c>
      <c r="K37" s="66" t="s">
        <v>175</v>
      </c>
      <c r="L37" s="71">
        <v>178500000</v>
      </c>
      <c r="M37" s="92">
        <v>178500000</v>
      </c>
      <c r="N37" s="72">
        <v>44295</v>
      </c>
      <c r="O37" s="91">
        <v>44295</v>
      </c>
      <c r="P37" s="72">
        <v>44509</v>
      </c>
      <c r="Q37" s="91">
        <v>46121</v>
      </c>
      <c r="R37" s="53">
        <f t="shared" si="0"/>
        <v>5.0027397260273974</v>
      </c>
      <c r="S37" s="72"/>
      <c r="T37" s="73">
        <v>0.5</v>
      </c>
      <c r="U37" s="71">
        <v>178500000</v>
      </c>
      <c r="V37" s="94">
        <v>0.08</v>
      </c>
      <c r="W37" s="97">
        <v>101846112</v>
      </c>
      <c r="X37" s="101">
        <v>0</v>
      </c>
      <c r="Y37" s="98">
        <f t="shared" si="1"/>
        <v>50923056</v>
      </c>
      <c r="Z37" s="100" t="s">
        <v>7</v>
      </c>
      <c r="AA37" s="92">
        <v>0</v>
      </c>
      <c r="AB37" s="102">
        <v>0</v>
      </c>
      <c r="AC37" s="114"/>
      <c r="AD37" s="81"/>
      <c r="AE37" s="83"/>
      <c r="AF37" s="82"/>
      <c r="AG37" s="119"/>
      <c r="AH37" s="79">
        <v>6</v>
      </c>
      <c r="AI37" s="74">
        <v>6</v>
      </c>
      <c r="AJ37" s="75">
        <v>0</v>
      </c>
      <c r="AK37" s="123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5"/>
    </row>
    <row r="38" spans="1:50" s="40" customFormat="1" ht="25" customHeight="1" thickBot="1" x14ac:dyDescent="0.35">
      <c r="A38" s="42">
        <v>22</v>
      </c>
      <c r="B38" s="66" t="s">
        <v>152</v>
      </c>
      <c r="C38" s="67" t="s">
        <v>153</v>
      </c>
      <c r="D38" s="91">
        <v>43423</v>
      </c>
      <c r="E38" s="90" t="s">
        <v>15</v>
      </c>
      <c r="F38" s="68" t="s">
        <v>22</v>
      </c>
      <c r="G38" s="69">
        <v>46000000</v>
      </c>
      <c r="H38" s="108"/>
      <c r="I38" s="109"/>
      <c r="J38" s="70" t="s">
        <v>16</v>
      </c>
      <c r="K38" s="66" t="s">
        <v>176</v>
      </c>
      <c r="L38" s="71">
        <v>30000000</v>
      </c>
      <c r="M38" s="92">
        <v>30000000</v>
      </c>
      <c r="N38" s="72">
        <v>44305</v>
      </c>
      <c r="O38" s="91">
        <v>44305</v>
      </c>
      <c r="P38" s="72">
        <v>44331</v>
      </c>
      <c r="Q38" s="91">
        <v>45401</v>
      </c>
      <c r="R38" s="53">
        <f t="shared" si="0"/>
        <v>3.0027397260273974</v>
      </c>
      <c r="S38" s="72"/>
      <c r="T38" s="73">
        <v>0.5</v>
      </c>
      <c r="U38" s="71">
        <v>30000000</v>
      </c>
      <c r="V38" s="94">
        <v>9.9900000000000003E-2</v>
      </c>
      <c r="W38" s="97">
        <v>3906618</v>
      </c>
      <c r="X38" s="101">
        <v>0</v>
      </c>
      <c r="Y38" s="98">
        <f t="shared" si="1"/>
        <v>1953309</v>
      </c>
      <c r="Z38" s="100" t="s">
        <v>7</v>
      </c>
      <c r="AA38" s="92">
        <v>0</v>
      </c>
      <c r="AB38" s="102">
        <v>0</v>
      </c>
      <c r="AC38" s="114"/>
      <c r="AD38" s="81"/>
      <c r="AE38" s="83"/>
      <c r="AF38" s="82"/>
      <c r="AG38" s="119"/>
      <c r="AH38" s="79">
        <v>6</v>
      </c>
      <c r="AI38" s="74">
        <v>2</v>
      </c>
      <c r="AJ38" s="75">
        <v>0</v>
      </c>
      <c r="AK38" s="123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5"/>
    </row>
    <row r="39" spans="1:50" s="40" customFormat="1" ht="25" customHeight="1" thickBot="1" x14ac:dyDescent="0.35">
      <c r="A39" s="42">
        <v>23</v>
      </c>
      <c r="B39" s="66" t="s">
        <v>154</v>
      </c>
      <c r="C39" s="67" t="s">
        <v>155</v>
      </c>
      <c r="D39" s="91">
        <v>41424</v>
      </c>
      <c r="E39" s="90" t="s">
        <v>15</v>
      </c>
      <c r="F39" s="68" t="s">
        <v>30</v>
      </c>
      <c r="G39" s="69">
        <v>114000000</v>
      </c>
      <c r="H39" s="108"/>
      <c r="I39" s="109"/>
      <c r="J39" s="70" t="s">
        <v>16</v>
      </c>
      <c r="K39" s="66" t="s">
        <v>176</v>
      </c>
      <c r="L39" s="71">
        <v>5000000</v>
      </c>
      <c r="M39" s="92">
        <v>5000000</v>
      </c>
      <c r="N39" s="72">
        <v>44308</v>
      </c>
      <c r="O39" s="91">
        <v>44308</v>
      </c>
      <c r="P39" s="72">
        <v>44338</v>
      </c>
      <c r="Q39" s="91">
        <v>45404</v>
      </c>
      <c r="R39" s="53">
        <f t="shared" si="0"/>
        <v>3.0027397260273974</v>
      </c>
      <c r="S39" s="72"/>
      <c r="T39" s="73">
        <v>0.5</v>
      </c>
      <c r="U39" s="71">
        <v>5000000</v>
      </c>
      <c r="V39" s="94">
        <v>9.9900000000000003E-2</v>
      </c>
      <c r="W39" s="97">
        <v>985016</v>
      </c>
      <c r="X39" s="101">
        <v>0</v>
      </c>
      <c r="Y39" s="98">
        <f t="shared" si="1"/>
        <v>492508</v>
      </c>
      <c r="Z39" s="100" t="s">
        <v>7</v>
      </c>
      <c r="AA39" s="92">
        <v>0</v>
      </c>
      <c r="AB39" s="102">
        <v>0</v>
      </c>
      <c r="AC39" s="114"/>
      <c r="AD39" s="81"/>
      <c r="AE39" s="83"/>
      <c r="AF39" s="82"/>
      <c r="AG39" s="119"/>
      <c r="AH39" s="79">
        <v>45</v>
      </c>
      <c r="AI39" s="74">
        <v>5</v>
      </c>
      <c r="AJ39" s="75">
        <v>2</v>
      </c>
      <c r="AK39" s="123"/>
      <c r="AL39" s="124"/>
      <c r="AM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124"/>
      <c r="AX39" s="125"/>
    </row>
    <row r="40" spans="1:50" s="40" customFormat="1" ht="25" customHeight="1" thickBot="1" x14ac:dyDescent="0.35">
      <c r="A40" s="42">
        <v>24</v>
      </c>
      <c r="B40" s="66" t="s">
        <v>156</v>
      </c>
      <c r="C40" s="67" t="s">
        <v>157</v>
      </c>
      <c r="D40" s="91">
        <v>41422</v>
      </c>
      <c r="E40" s="90" t="s">
        <v>15</v>
      </c>
      <c r="F40" s="68" t="s">
        <v>22</v>
      </c>
      <c r="G40" s="69">
        <v>169491000</v>
      </c>
      <c r="H40" s="108"/>
      <c r="I40" s="109"/>
      <c r="J40" s="70" t="s">
        <v>16</v>
      </c>
      <c r="K40" s="66" t="s">
        <v>176</v>
      </c>
      <c r="L40" s="71">
        <v>17000000</v>
      </c>
      <c r="M40" s="92">
        <v>17000000</v>
      </c>
      <c r="N40" s="72">
        <v>44336</v>
      </c>
      <c r="O40" s="91">
        <v>44336</v>
      </c>
      <c r="P40" s="72">
        <v>44367</v>
      </c>
      <c r="Q40" s="91">
        <v>46162</v>
      </c>
      <c r="R40" s="53">
        <f t="shared" si="0"/>
        <v>5.0027397260273974</v>
      </c>
      <c r="S40" s="72"/>
      <c r="T40" s="73">
        <v>0.5</v>
      </c>
      <c r="U40" s="71">
        <v>17000000</v>
      </c>
      <c r="V40" s="94">
        <v>9.9900000000000003E-2</v>
      </c>
      <c r="W40" s="97">
        <v>9518815</v>
      </c>
      <c r="X40" s="101">
        <v>0</v>
      </c>
      <c r="Y40" s="98">
        <f t="shared" si="1"/>
        <v>4759407.5</v>
      </c>
      <c r="Z40" s="100" t="s">
        <v>7</v>
      </c>
      <c r="AA40" s="92">
        <v>0</v>
      </c>
      <c r="AB40" s="102">
        <v>0</v>
      </c>
      <c r="AC40" s="114"/>
      <c r="AD40" s="81"/>
      <c r="AE40" s="83"/>
      <c r="AF40" s="82"/>
      <c r="AG40" s="119"/>
      <c r="AH40" s="79">
        <v>3</v>
      </c>
      <c r="AI40" s="74">
        <v>3</v>
      </c>
      <c r="AJ40" s="75">
        <v>0</v>
      </c>
      <c r="AK40" s="123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5"/>
    </row>
    <row r="41" spans="1:50" s="40" customFormat="1" ht="25" customHeight="1" thickBot="1" x14ac:dyDescent="0.35">
      <c r="A41" s="42">
        <v>25</v>
      </c>
      <c r="B41" s="66" t="s">
        <v>158</v>
      </c>
      <c r="C41" s="67" t="s">
        <v>159</v>
      </c>
      <c r="D41" s="91">
        <v>43536</v>
      </c>
      <c r="E41" s="90" t="s">
        <v>15</v>
      </c>
      <c r="F41" s="68" t="s">
        <v>22</v>
      </c>
      <c r="G41" s="69">
        <v>55000000</v>
      </c>
      <c r="H41" s="108"/>
      <c r="I41" s="109"/>
      <c r="J41" s="70" t="s">
        <v>16</v>
      </c>
      <c r="K41" s="66" t="s">
        <v>176</v>
      </c>
      <c r="L41" s="71">
        <v>27000000</v>
      </c>
      <c r="M41" s="92">
        <v>27000000</v>
      </c>
      <c r="N41" s="72">
        <v>44342</v>
      </c>
      <c r="O41" s="91">
        <v>44342</v>
      </c>
      <c r="P41" s="72">
        <v>44372</v>
      </c>
      <c r="Q41" s="91">
        <v>45071</v>
      </c>
      <c r="R41" s="53">
        <f t="shared" si="0"/>
        <v>1.9972602739726026</v>
      </c>
      <c r="S41" s="72"/>
      <c r="T41" s="73">
        <v>0.5</v>
      </c>
      <c r="U41" s="71">
        <v>27000000</v>
      </c>
      <c r="V41" s="94">
        <v>0.11</v>
      </c>
      <c r="W41" s="97">
        <v>4069612</v>
      </c>
      <c r="X41" s="101">
        <v>0</v>
      </c>
      <c r="Y41" s="98">
        <f t="shared" si="1"/>
        <v>2034806</v>
      </c>
      <c r="Z41" s="100" t="s">
        <v>7</v>
      </c>
      <c r="AA41" s="92">
        <v>0</v>
      </c>
      <c r="AB41" s="102">
        <v>0</v>
      </c>
      <c r="AC41" s="114"/>
      <c r="AD41" s="81"/>
      <c r="AE41" s="83"/>
      <c r="AF41" s="82"/>
      <c r="AG41" s="119"/>
      <c r="AH41" s="79">
        <v>5</v>
      </c>
      <c r="AI41" s="74">
        <v>2</v>
      </c>
      <c r="AJ41" s="75">
        <v>0</v>
      </c>
      <c r="AK41" s="123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5"/>
    </row>
    <row r="42" spans="1:50" s="40" customFormat="1" ht="25" customHeight="1" thickBot="1" x14ac:dyDescent="0.35">
      <c r="A42" s="42">
        <v>26</v>
      </c>
      <c r="B42" s="66" t="s">
        <v>160</v>
      </c>
      <c r="C42" s="67" t="s">
        <v>161</v>
      </c>
      <c r="D42" s="91">
        <v>42760</v>
      </c>
      <c r="E42" s="90" t="s">
        <v>8</v>
      </c>
      <c r="F42" s="68" t="s">
        <v>22</v>
      </c>
      <c r="G42" s="69">
        <v>1851000000</v>
      </c>
      <c r="H42" s="108"/>
      <c r="I42" s="109"/>
      <c r="J42" s="70" t="s">
        <v>16</v>
      </c>
      <c r="K42" s="66" t="s">
        <v>170</v>
      </c>
      <c r="L42" s="71">
        <v>120000000</v>
      </c>
      <c r="M42" s="92">
        <v>120000000</v>
      </c>
      <c r="N42" s="72">
        <v>44055</v>
      </c>
      <c r="O42" s="91">
        <v>44423</v>
      </c>
      <c r="P42" s="72">
        <v>44423</v>
      </c>
      <c r="Q42" s="91">
        <v>45853</v>
      </c>
      <c r="R42" s="53">
        <f t="shared" si="0"/>
        <v>3.9178082191780823</v>
      </c>
      <c r="S42" s="72"/>
      <c r="T42" s="73">
        <v>0.5</v>
      </c>
      <c r="U42" s="71">
        <v>120000000</v>
      </c>
      <c r="V42" s="94">
        <v>7.4999999999999997E-2</v>
      </c>
      <c r="W42" s="97">
        <v>56210337</v>
      </c>
      <c r="X42" s="101">
        <v>0</v>
      </c>
      <c r="Y42" s="98">
        <f t="shared" si="1"/>
        <v>28105168.5</v>
      </c>
      <c r="Z42" s="100" t="s">
        <v>7</v>
      </c>
      <c r="AA42" s="92">
        <v>0</v>
      </c>
      <c r="AB42" s="102">
        <v>0</v>
      </c>
      <c r="AC42" s="114"/>
      <c r="AD42" s="81"/>
      <c r="AE42" s="83"/>
      <c r="AF42" s="82"/>
      <c r="AG42" s="119"/>
      <c r="AH42" s="79">
        <v>16</v>
      </c>
      <c r="AI42" s="74">
        <v>0</v>
      </c>
      <c r="AJ42" s="75">
        <v>0</v>
      </c>
      <c r="AK42" s="123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5"/>
    </row>
    <row r="43" spans="1:50" s="40" customFormat="1" ht="25" customHeight="1" thickBot="1" x14ac:dyDescent="0.35">
      <c r="A43" s="42">
        <v>27</v>
      </c>
      <c r="B43" s="66" t="s">
        <v>162</v>
      </c>
      <c r="C43" s="67" t="s">
        <v>163</v>
      </c>
      <c r="D43" s="91">
        <v>37645</v>
      </c>
      <c r="E43" s="90" t="s">
        <v>15</v>
      </c>
      <c r="F43" s="68" t="s">
        <v>22</v>
      </c>
      <c r="G43" s="69">
        <v>310000000</v>
      </c>
      <c r="H43" s="108"/>
      <c r="I43" s="109"/>
      <c r="J43" s="70" t="s">
        <v>16</v>
      </c>
      <c r="K43" s="66" t="s">
        <v>177</v>
      </c>
      <c r="L43" s="71">
        <v>59500000</v>
      </c>
      <c r="M43" s="92">
        <v>59500000</v>
      </c>
      <c r="N43" s="72">
        <v>44378</v>
      </c>
      <c r="O43" s="91">
        <v>44454</v>
      </c>
      <c r="P43" s="72">
        <v>44484</v>
      </c>
      <c r="Q43" s="91">
        <v>45550</v>
      </c>
      <c r="R43" s="53">
        <f t="shared" si="0"/>
        <v>3.0027397260273974</v>
      </c>
      <c r="S43" s="72"/>
      <c r="T43" s="73">
        <v>0.5</v>
      </c>
      <c r="U43" s="71">
        <v>59500000</v>
      </c>
      <c r="V43" s="94">
        <v>0.08</v>
      </c>
      <c r="W43" s="97">
        <v>13134242</v>
      </c>
      <c r="X43" s="101">
        <v>0</v>
      </c>
      <c r="Y43" s="98">
        <f t="shared" si="1"/>
        <v>6567121</v>
      </c>
      <c r="Z43" s="100" t="s">
        <v>7</v>
      </c>
      <c r="AA43" s="92">
        <v>0</v>
      </c>
      <c r="AB43" s="102">
        <v>0</v>
      </c>
      <c r="AC43" s="114"/>
      <c r="AD43" s="81"/>
      <c r="AE43" s="83"/>
      <c r="AF43" s="82"/>
      <c r="AG43" s="119"/>
      <c r="AH43" s="79">
        <v>13</v>
      </c>
      <c r="AI43" s="74">
        <v>1</v>
      </c>
      <c r="AJ43" s="75">
        <v>1</v>
      </c>
      <c r="AK43" s="123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5"/>
    </row>
    <row r="44" spans="1:50" s="40" customFormat="1" ht="25" customHeight="1" thickBot="1" x14ac:dyDescent="0.35">
      <c r="A44" s="42">
        <v>28</v>
      </c>
      <c r="B44" s="66" t="s">
        <v>178</v>
      </c>
      <c r="C44" s="67" t="s">
        <v>179</v>
      </c>
      <c r="D44" s="91">
        <v>43894</v>
      </c>
      <c r="E44" s="90" t="s">
        <v>15</v>
      </c>
      <c r="F44" s="68" t="s">
        <v>30</v>
      </c>
      <c r="G44" s="69">
        <v>151900000</v>
      </c>
      <c r="H44" s="108"/>
      <c r="I44" s="109"/>
      <c r="J44" s="70" t="s">
        <v>16</v>
      </c>
      <c r="K44" s="66" t="s">
        <v>176</v>
      </c>
      <c r="L44" s="71">
        <v>50000000</v>
      </c>
      <c r="M44" s="92">
        <v>50000000</v>
      </c>
      <c r="N44" s="72">
        <v>44411</v>
      </c>
      <c r="O44" s="91">
        <v>44426</v>
      </c>
      <c r="P44" s="72">
        <v>44426</v>
      </c>
      <c r="Q44" s="91">
        <v>46252</v>
      </c>
      <c r="R44" s="53">
        <f t="shared" si="0"/>
        <v>5.0027397260273974</v>
      </c>
      <c r="S44" s="72"/>
      <c r="T44" s="73">
        <v>0.5</v>
      </c>
      <c r="U44" s="71">
        <v>50000000</v>
      </c>
      <c r="V44" s="94">
        <v>0.1116</v>
      </c>
      <c r="W44" s="97">
        <v>0</v>
      </c>
      <c r="X44" s="101">
        <v>44823812</v>
      </c>
      <c r="Y44" s="98">
        <f t="shared" si="1"/>
        <v>0</v>
      </c>
      <c r="Z44" s="100" t="s">
        <v>6</v>
      </c>
      <c r="AA44" s="92">
        <v>441</v>
      </c>
      <c r="AB44" s="102">
        <v>45240640</v>
      </c>
      <c r="AC44" s="114"/>
      <c r="AD44" s="81"/>
      <c r="AE44" s="83"/>
      <c r="AF44" s="82"/>
      <c r="AG44" s="119"/>
      <c r="AH44" s="79">
        <v>15</v>
      </c>
      <c r="AI44" s="74">
        <v>0</v>
      </c>
      <c r="AJ44" s="75">
        <v>0</v>
      </c>
      <c r="AK44" s="123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24"/>
      <c r="AX44" s="125"/>
    </row>
    <row r="45" spans="1:50" s="40" customFormat="1" ht="25" customHeight="1" thickBot="1" x14ac:dyDescent="0.35">
      <c r="A45" s="42">
        <v>29</v>
      </c>
      <c r="B45" s="66">
        <v>488603</v>
      </c>
      <c r="C45" s="67" t="s">
        <v>180</v>
      </c>
      <c r="D45" s="91">
        <v>39575</v>
      </c>
      <c r="E45" s="90" t="s">
        <v>15</v>
      </c>
      <c r="F45" s="68" t="s">
        <v>21</v>
      </c>
      <c r="G45" s="69">
        <v>696986341</v>
      </c>
      <c r="H45" s="108"/>
      <c r="I45" s="109"/>
      <c r="J45" s="70" t="s">
        <v>16</v>
      </c>
      <c r="K45" s="66" t="s">
        <v>176</v>
      </c>
      <c r="L45" s="71">
        <v>100000000</v>
      </c>
      <c r="M45" s="92">
        <v>100000000</v>
      </c>
      <c r="N45" s="72">
        <v>44288</v>
      </c>
      <c r="O45" s="91">
        <v>44494</v>
      </c>
      <c r="P45" s="72">
        <v>44525</v>
      </c>
      <c r="Q45" s="91">
        <v>46320</v>
      </c>
      <c r="R45" s="53">
        <f t="shared" si="0"/>
        <v>5.0027397260273974</v>
      </c>
      <c r="S45" s="72"/>
      <c r="T45" s="73">
        <v>0.5</v>
      </c>
      <c r="U45" s="71">
        <v>100000000</v>
      </c>
      <c r="V45" s="94">
        <v>0.109</v>
      </c>
      <c r="W45" s="97">
        <v>64071411</v>
      </c>
      <c r="X45" s="101">
        <v>0</v>
      </c>
      <c r="Y45" s="98">
        <f t="shared" si="1"/>
        <v>32035705.5</v>
      </c>
      <c r="Z45" s="100" t="s">
        <v>7</v>
      </c>
      <c r="AA45" s="92">
        <v>0</v>
      </c>
      <c r="AB45" s="102">
        <v>0</v>
      </c>
      <c r="AC45" s="114"/>
      <c r="AD45" s="81"/>
      <c r="AE45" s="83"/>
      <c r="AF45" s="82"/>
      <c r="AG45" s="119"/>
      <c r="AH45" s="79">
        <v>1</v>
      </c>
      <c r="AI45" s="74">
        <v>1</v>
      </c>
      <c r="AJ45" s="75">
        <v>0</v>
      </c>
      <c r="AK45" s="123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5"/>
    </row>
    <row r="46" spans="1:50" s="40" customFormat="1" ht="25" customHeight="1" thickBot="1" x14ac:dyDescent="0.35">
      <c r="A46" s="42">
        <v>30</v>
      </c>
      <c r="B46" s="66" t="s">
        <v>264</v>
      </c>
      <c r="C46" s="67" t="s">
        <v>181</v>
      </c>
      <c r="D46" s="91">
        <v>42437</v>
      </c>
      <c r="E46" s="90" t="s">
        <v>12</v>
      </c>
      <c r="F46" s="68" t="s">
        <v>17</v>
      </c>
      <c r="G46" s="69">
        <v>78000000</v>
      </c>
      <c r="H46" s="108"/>
      <c r="I46" s="109"/>
      <c r="J46" s="70" t="s">
        <v>16</v>
      </c>
      <c r="K46" s="66" t="s">
        <v>176</v>
      </c>
      <c r="L46" s="71">
        <v>50000000</v>
      </c>
      <c r="M46" s="92">
        <v>50000000</v>
      </c>
      <c r="N46" s="72">
        <v>44474</v>
      </c>
      <c r="O46" s="91">
        <v>44497</v>
      </c>
      <c r="P46" s="72">
        <v>44528</v>
      </c>
      <c r="Q46" s="91">
        <v>46323</v>
      </c>
      <c r="R46" s="53">
        <f t="shared" si="0"/>
        <v>5.0027397260273974</v>
      </c>
      <c r="S46" s="72"/>
      <c r="T46" s="73">
        <v>0.5</v>
      </c>
      <c r="U46" s="71">
        <v>50000000</v>
      </c>
      <c r="V46" s="94">
        <v>0.1116</v>
      </c>
      <c r="W46" s="97">
        <v>32035706</v>
      </c>
      <c r="X46" s="101">
        <v>0</v>
      </c>
      <c r="Y46" s="98">
        <f t="shared" si="1"/>
        <v>16017853</v>
      </c>
      <c r="Z46" s="100" t="s">
        <v>7</v>
      </c>
      <c r="AA46" s="92">
        <v>0</v>
      </c>
      <c r="AB46" s="102">
        <v>0</v>
      </c>
      <c r="AC46" s="114"/>
      <c r="AD46" s="81"/>
      <c r="AE46" s="83"/>
      <c r="AF46" s="82"/>
      <c r="AG46" s="119"/>
      <c r="AH46" s="79">
        <v>31</v>
      </c>
      <c r="AI46" s="74">
        <v>4</v>
      </c>
      <c r="AJ46" s="75">
        <v>0</v>
      </c>
      <c r="AK46" s="123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24"/>
      <c r="AX46" s="125"/>
    </row>
    <row r="47" spans="1:50" s="40" customFormat="1" ht="25" customHeight="1" thickBot="1" x14ac:dyDescent="0.35">
      <c r="A47" s="42">
        <v>31</v>
      </c>
      <c r="B47" s="66" t="s">
        <v>182</v>
      </c>
      <c r="C47" s="67" t="s">
        <v>183</v>
      </c>
      <c r="D47" s="91">
        <v>43705</v>
      </c>
      <c r="E47" s="90" t="s">
        <v>12</v>
      </c>
      <c r="F47" s="68" t="s">
        <v>28</v>
      </c>
      <c r="G47" s="69">
        <v>135000000</v>
      </c>
      <c r="H47" s="108"/>
      <c r="I47" s="109"/>
      <c r="J47" s="70" t="s">
        <v>16</v>
      </c>
      <c r="K47" s="66" t="s">
        <v>176</v>
      </c>
      <c r="L47" s="71">
        <v>180000000</v>
      </c>
      <c r="M47" s="92">
        <v>180000000</v>
      </c>
      <c r="N47" s="72">
        <v>44316</v>
      </c>
      <c r="O47" s="91">
        <v>44441</v>
      </c>
      <c r="P47" s="72">
        <v>44653</v>
      </c>
      <c r="Q47" s="91">
        <v>46998</v>
      </c>
      <c r="R47" s="53">
        <f t="shared" si="0"/>
        <v>7.0054794520547947</v>
      </c>
      <c r="S47" s="72"/>
      <c r="T47" s="73">
        <v>0.5</v>
      </c>
      <c r="U47" s="71">
        <v>180000000</v>
      </c>
      <c r="V47" s="94">
        <v>0.1069</v>
      </c>
      <c r="W47" s="97">
        <v>142145196</v>
      </c>
      <c r="X47" s="101">
        <v>0</v>
      </c>
      <c r="Y47" s="98">
        <f t="shared" si="1"/>
        <v>71072598</v>
      </c>
      <c r="Z47" s="100" t="s">
        <v>7</v>
      </c>
      <c r="AA47" s="92">
        <v>0</v>
      </c>
      <c r="AB47" s="102">
        <v>0</v>
      </c>
      <c r="AC47" s="114"/>
      <c r="AD47" s="81"/>
      <c r="AE47" s="83"/>
      <c r="AF47" s="82"/>
      <c r="AG47" s="119"/>
      <c r="AH47" s="79">
        <v>15</v>
      </c>
      <c r="AI47" s="74">
        <v>0</v>
      </c>
      <c r="AJ47" s="75">
        <v>0</v>
      </c>
      <c r="AK47" s="123"/>
      <c r="AL47" s="124"/>
      <c r="AM47" s="124"/>
      <c r="AN47" s="124"/>
      <c r="AO47" s="124"/>
      <c r="AP47" s="124"/>
      <c r="AQ47" s="124"/>
      <c r="AR47" s="124"/>
      <c r="AS47" s="124"/>
      <c r="AT47" s="124"/>
      <c r="AU47" s="124"/>
      <c r="AV47" s="124"/>
      <c r="AW47" s="124"/>
      <c r="AX47" s="125"/>
    </row>
    <row r="48" spans="1:50" s="40" customFormat="1" ht="25" customHeight="1" thickBot="1" x14ac:dyDescent="0.35">
      <c r="A48" s="42">
        <v>32</v>
      </c>
      <c r="B48" s="66" t="s">
        <v>184</v>
      </c>
      <c r="C48" s="67" t="s">
        <v>185</v>
      </c>
      <c r="D48" s="91">
        <v>38168</v>
      </c>
      <c r="E48" s="90" t="s">
        <v>15</v>
      </c>
      <c r="F48" s="68" t="s">
        <v>22</v>
      </c>
      <c r="G48" s="69">
        <v>496690600</v>
      </c>
      <c r="H48" s="108"/>
      <c r="I48" s="109"/>
      <c r="J48" s="70" t="s">
        <v>16</v>
      </c>
      <c r="K48" s="66" t="s">
        <v>176</v>
      </c>
      <c r="L48" s="71">
        <v>19500000</v>
      </c>
      <c r="M48" s="92">
        <v>19500000</v>
      </c>
      <c r="N48" s="72">
        <v>44428</v>
      </c>
      <c r="O48" s="91">
        <v>44515</v>
      </c>
      <c r="P48" s="72">
        <v>44545</v>
      </c>
      <c r="Q48" s="91">
        <v>46310</v>
      </c>
      <c r="R48" s="53">
        <f t="shared" si="0"/>
        <v>4.9178082191780819</v>
      </c>
      <c r="S48" s="72"/>
      <c r="T48" s="73">
        <v>0.5</v>
      </c>
      <c r="U48" s="71">
        <v>19500000</v>
      </c>
      <c r="V48" s="94">
        <v>8.3000000000000004E-2</v>
      </c>
      <c r="W48" s="97">
        <v>11778629</v>
      </c>
      <c r="X48" s="101">
        <v>0</v>
      </c>
      <c r="Y48" s="98">
        <f t="shared" si="1"/>
        <v>5889314.5</v>
      </c>
      <c r="Z48" s="100" t="s">
        <v>7</v>
      </c>
      <c r="AA48" s="92">
        <v>0</v>
      </c>
      <c r="AB48" s="102">
        <v>0</v>
      </c>
      <c r="AC48" s="114"/>
      <c r="AD48" s="81"/>
      <c r="AE48" s="83"/>
      <c r="AF48" s="82"/>
      <c r="AG48" s="119"/>
      <c r="AH48" s="79">
        <v>5</v>
      </c>
      <c r="AI48" s="74">
        <v>1</v>
      </c>
      <c r="AJ48" s="75">
        <v>0</v>
      </c>
      <c r="AK48" s="123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5"/>
    </row>
    <row r="49" spans="1:50" s="40" customFormat="1" ht="25" customHeight="1" thickBot="1" x14ac:dyDescent="0.35">
      <c r="A49" s="42">
        <v>33</v>
      </c>
      <c r="B49" s="66" t="s">
        <v>199</v>
      </c>
      <c r="C49" s="67" t="s">
        <v>186</v>
      </c>
      <c r="D49" s="91">
        <v>39717</v>
      </c>
      <c r="E49" s="90" t="s">
        <v>12</v>
      </c>
      <c r="F49" s="68" t="s">
        <v>30</v>
      </c>
      <c r="G49" s="69">
        <v>1826898405</v>
      </c>
      <c r="H49" s="108"/>
      <c r="I49" s="109"/>
      <c r="J49" s="70" t="s">
        <v>16</v>
      </c>
      <c r="K49" s="66" t="s">
        <v>176</v>
      </c>
      <c r="L49" s="71">
        <v>140000000</v>
      </c>
      <c r="M49" s="92">
        <v>140000000</v>
      </c>
      <c r="N49" s="72">
        <v>44411</v>
      </c>
      <c r="O49" s="91">
        <v>44504</v>
      </c>
      <c r="P49" s="72">
        <v>44545</v>
      </c>
      <c r="Q49" s="91">
        <v>46094</v>
      </c>
      <c r="R49" s="53">
        <f t="shared" si="0"/>
        <v>4.3561643835616435</v>
      </c>
      <c r="S49" s="72"/>
      <c r="T49" s="73">
        <v>0.5</v>
      </c>
      <c r="U49" s="71">
        <v>140000000</v>
      </c>
      <c r="V49" s="94">
        <v>7.22E-2</v>
      </c>
      <c r="W49" s="97">
        <v>98854060</v>
      </c>
      <c r="X49" s="101">
        <v>12521749</v>
      </c>
      <c r="Y49" s="98">
        <f t="shared" si="1"/>
        <v>49427030</v>
      </c>
      <c r="Z49" s="100" t="s">
        <v>5</v>
      </c>
      <c r="AA49" s="92">
        <v>381</v>
      </c>
      <c r="AB49" s="102">
        <v>12521749</v>
      </c>
      <c r="AC49" s="114"/>
      <c r="AD49" s="81"/>
      <c r="AE49" s="83"/>
      <c r="AF49" s="82"/>
      <c r="AG49" s="119"/>
      <c r="AH49" s="79">
        <v>180</v>
      </c>
      <c r="AI49" s="74">
        <v>12</v>
      </c>
      <c r="AJ49" s="75">
        <v>2</v>
      </c>
      <c r="AK49" s="123"/>
      <c r="AL49" s="124"/>
      <c r="AM49" s="124"/>
      <c r="AN49" s="124"/>
      <c r="AO49" s="124"/>
      <c r="AP49" s="124"/>
      <c r="AQ49" s="124"/>
      <c r="AR49" s="124"/>
      <c r="AS49" s="124"/>
      <c r="AT49" s="124"/>
      <c r="AU49" s="124"/>
      <c r="AV49" s="124"/>
      <c r="AW49" s="124"/>
      <c r="AX49" s="125"/>
    </row>
    <row r="50" spans="1:50" s="40" customFormat="1" ht="25" customHeight="1" thickBot="1" x14ac:dyDescent="0.35">
      <c r="A50" s="42">
        <v>34</v>
      </c>
      <c r="B50" s="66" t="s">
        <v>265</v>
      </c>
      <c r="C50" s="67" t="s">
        <v>187</v>
      </c>
      <c r="D50" s="91">
        <v>43277</v>
      </c>
      <c r="E50" s="90" t="s">
        <v>12</v>
      </c>
      <c r="F50" s="68" t="s">
        <v>22</v>
      </c>
      <c r="G50" s="69">
        <v>760100596</v>
      </c>
      <c r="H50" s="108"/>
      <c r="I50" s="109"/>
      <c r="J50" s="70" t="s">
        <v>16</v>
      </c>
      <c r="K50" s="66" t="s">
        <v>176</v>
      </c>
      <c r="L50" s="71">
        <v>100000000</v>
      </c>
      <c r="M50" s="92">
        <v>100000000</v>
      </c>
      <c r="N50" s="72">
        <v>44552</v>
      </c>
      <c r="O50" s="91">
        <v>44554</v>
      </c>
      <c r="P50" s="72">
        <v>44585</v>
      </c>
      <c r="Q50" s="91">
        <v>44919</v>
      </c>
      <c r="R50" s="53">
        <f t="shared" si="0"/>
        <v>1</v>
      </c>
      <c r="S50" s="72"/>
      <c r="T50" s="73">
        <v>0.5</v>
      </c>
      <c r="U50" s="71">
        <v>100000000</v>
      </c>
      <c r="V50" s="94">
        <v>9.0200000000000002E-2</v>
      </c>
      <c r="W50" s="97">
        <v>0</v>
      </c>
      <c r="X50" s="101">
        <v>0</v>
      </c>
      <c r="Y50" s="98">
        <f t="shared" si="1"/>
        <v>0</v>
      </c>
      <c r="Z50" s="100" t="s">
        <v>7</v>
      </c>
      <c r="AA50" s="92">
        <v>0</v>
      </c>
      <c r="AB50" s="102">
        <v>0</v>
      </c>
      <c r="AC50" s="114"/>
      <c r="AD50" s="81"/>
      <c r="AE50" s="83"/>
      <c r="AF50" s="82"/>
      <c r="AG50" s="119"/>
      <c r="AH50" s="79">
        <v>16</v>
      </c>
      <c r="AI50" s="74">
        <v>1</v>
      </c>
      <c r="AJ50" s="75">
        <v>0</v>
      </c>
      <c r="AK50" s="123"/>
      <c r="AL50" s="124"/>
      <c r="AM50" s="124"/>
      <c r="AN50" s="124"/>
      <c r="AO50" s="124"/>
      <c r="AP50" s="124"/>
      <c r="AQ50" s="124"/>
      <c r="AR50" s="124"/>
      <c r="AS50" s="124"/>
      <c r="AT50" s="124"/>
      <c r="AU50" s="124"/>
      <c r="AV50" s="124"/>
      <c r="AW50" s="124"/>
      <c r="AX50" s="125"/>
    </row>
    <row r="51" spans="1:50" s="40" customFormat="1" ht="25" customHeight="1" thickBot="1" x14ac:dyDescent="0.35">
      <c r="A51" s="42">
        <v>35</v>
      </c>
      <c r="B51" s="66">
        <v>489761</v>
      </c>
      <c r="C51" s="67" t="s">
        <v>188</v>
      </c>
      <c r="D51" s="91">
        <v>39345</v>
      </c>
      <c r="E51" s="90" t="s">
        <v>15</v>
      </c>
      <c r="F51" s="68" t="s">
        <v>22</v>
      </c>
      <c r="G51" s="69">
        <v>4961488488</v>
      </c>
      <c r="H51" s="108"/>
      <c r="I51" s="109"/>
      <c r="J51" s="70" t="s">
        <v>16</v>
      </c>
      <c r="K51" s="66" t="s">
        <v>176</v>
      </c>
      <c r="L51" s="71">
        <v>88000000</v>
      </c>
      <c r="M51" s="92">
        <v>88000000</v>
      </c>
      <c r="N51" s="72">
        <v>44477</v>
      </c>
      <c r="O51" s="91">
        <v>44529</v>
      </c>
      <c r="P51" s="72">
        <v>44559</v>
      </c>
      <c r="Q51" s="91">
        <v>45625</v>
      </c>
      <c r="R51" s="53">
        <f t="shared" si="0"/>
        <v>3.0027397260273974</v>
      </c>
      <c r="S51" s="72"/>
      <c r="T51" s="73">
        <v>0.5</v>
      </c>
      <c r="U51" s="71">
        <v>88000000</v>
      </c>
      <c r="V51" s="94">
        <v>0.106</v>
      </c>
      <c r="W51" s="97">
        <v>30182953</v>
      </c>
      <c r="X51" s="101">
        <v>0</v>
      </c>
      <c r="Y51" s="98">
        <f t="shared" si="1"/>
        <v>15091476.5</v>
      </c>
      <c r="Z51" s="100" t="s">
        <v>7</v>
      </c>
      <c r="AA51" s="92">
        <v>0</v>
      </c>
      <c r="AB51" s="102">
        <v>0</v>
      </c>
      <c r="AC51" s="114"/>
      <c r="AD51" s="81"/>
      <c r="AE51" s="83"/>
      <c r="AF51" s="82"/>
      <c r="AG51" s="119"/>
      <c r="AH51" s="79">
        <v>21</v>
      </c>
      <c r="AI51" s="74">
        <v>3</v>
      </c>
      <c r="AJ51" s="75">
        <v>0</v>
      </c>
      <c r="AK51" s="123"/>
      <c r="AL51" s="124"/>
      <c r="AM51" s="124"/>
      <c r="AN51" s="124"/>
      <c r="AO51" s="124"/>
      <c r="AP51" s="124"/>
      <c r="AQ51" s="124"/>
      <c r="AR51" s="124"/>
      <c r="AS51" s="124"/>
      <c r="AT51" s="124"/>
      <c r="AU51" s="124"/>
      <c r="AV51" s="124"/>
      <c r="AW51" s="124"/>
      <c r="AX51" s="125"/>
    </row>
    <row r="52" spans="1:50" s="40" customFormat="1" ht="25" customHeight="1" thickBot="1" x14ac:dyDescent="0.35">
      <c r="A52" s="42">
        <v>36</v>
      </c>
      <c r="B52" s="66">
        <v>482772</v>
      </c>
      <c r="C52" s="67" t="s">
        <v>189</v>
      </c>
      <c r="D52" s="91">
        <v>43472</v>
      </c>
      <c r="E52" s="90" t="s">
        <v>15</v>
      </c>
      <c r="F52" s="68" t="s">
        <v>21</v>
      </c>
      <c r="G52" s="69">
        <v>492106136</v>
      </c>
      <c r="H52" s="108"/>
      <c r="I52" s="109"/>
      <c r="J52" s="70" t="s">
        <v>16</v>
      </c>
      <c r="K52" s="66" t="s">
        <v>177</v>
      </c>
      <c r="L52" s="71">
        <v>20000000</v>
      </c>
      <c r="M52" s="92">
        <v>20000000</v>
      </c>
      <c r="N52" s="72">
        <v>44330</v>
      </c>
      <c r="O52" s="91">
        <v>44351</v>
      </c>
      <c r="P52" s="72">
        <v>44381</v>
      </c>
      <c r="Q52" s="91">
        <v>45081</v>
      </c>
      <c r="R52" s="53">
        <f t="shared" si="0"/>
        <v>2</v>
      </c>
      <c r="S52" s="72"/>
      <c r="T52" s="73">
        <v>0.5</v>
      </c>
      <c r="U52" s="71">
        <v>20000000</v>
      </c>
      <c r="V52" s="94">
        <v>0.1148</v>
      </c>
      <c r="W52" s="97">
        <v>0</v>
      </c>
      <c r="X52" s="101">
        <v>15911876</v>
      </c>
      <c r="Y52" s="98">
        <f t="shared" si="1"/>
        <v>0</v>
      </c>
      <c r="Z52" s="100" t="s">
        <v>6</v>
      </c>
      <c r="AA52" s="92">
        <v>719</v>
      </c>
      <c r="AB52" s="102">
        <v>15815397</v>
      </c>
      <c r="AC52" s="114"/>
      <c r="AD52" s="81"/>
      <c r="AE52" s="83"/>
      <c r="AF52" s="82"/>
      <c r="AG52" s="119"/>
      <c r="AH52" s="79">
        <v>8</v>
      </c>
      <c r="AI52" s="74">
        <v>8</v>
      </c>
      <c r="AJ52" s="75">
        <v>0</v>
      </c>
      <c r="AK52" s="123"/>
      <c r="AL52" s="124"/>
      <c r="AM52" s="124"/>
      <c r="AN52" s="124"/>
      <c r="AO52" s="124"/>
      <c r="AP52" s="124"/>
      <c r="AQ52" s="124"/>
      <c r="AR52" s="124"/>
      <c r="AS52" s="124"/>
      <c r="AT52" s="124"/>
      <c r="AU52" s="124"/>
      <c r="AV52" s="124"/>
      <c r="AW52" s="124"/>
      <c r="AX52" s="125"/>
    </row>
    <row r="53" spans="1:50" s="40" customFormat="1" ht="25" customHeight="1" thickBot="1" x14ac:dyDescent="0.35">
      <c r="A53" s="42">
        <v>37</v>
      </c>
      <c r="B53" s="66">
        <v>70078</v>
      </c>
      <c r="C53" s="67" t="s">
        <v>190</v>
      </c>
      <c r="D53" s="91">
        <v>42054</v>
      </c>
      <c r="E53" s="90" t="s">
        <v>15</v>
      </c>
      <c r="F53" s="68" t="s">
        <v>22</v>
      </c>
      <c r="G53" s="69">
        <v>163032020</v>
      </c>
      <c r="H53" s="108"/>
      <c r="I53" s="109"/>
      <c r="J53" s="70" t="s">
        <v>16</v>
      </c>
      <c r="K53" s="66" t="s">
        <v>176</v>
      </c>
      <c r="L53" s="71">
        <v>7000000</v>
      </c>
      <c r="M53" s="92">
        <v>7000000</v>
      </c>
      <c r="N53" s="72">
        <v>44545</v>
      </c>
      <c r="O53" s="91">
        <v>44546</v>
      </c>
      <c r="P53" s="72">
        <v>44577</v>
      </c>
      <c r="Q53" s="91">
        <v>45642</v>
      </c>
      <c r="R53" s="53">
        <f t="shared" si="0"/>
        <v>3.0027397260273974</v>
      </c>
      <c r="S53" s="72"/>
      <c r="T53" s="73">
        <v>0.5</v>
      </c>
      <c r="U53" s="71">
        <v>7000000</v>
      </c>
      <c r="V53" s="94">
        <v>0.12889999999999999</v>
      </c>
      <c r="W53" s="97">
        <v>2654250</v>
      </c>
      <c r="X53" s="101">
        <v>0</v>
      </c>
      <c r="Y53" s="98">
        <f t="shared" si="1"/>
        <v>1327125</v>
      </c>
      <c r="Z53" s="100" t="s">
        <v>7</v>
      </c>
      <c r="AA53" s="92">
        <v>0</v>
      </c>
      <c r="AB53" s="102">
        <v>0</v>
      </c>
      <c r="AC53" s="114"/>
      <c r="AD53" s="81"/>
      <c r="AE53" s="83"/>
      <c r="AF53" s="82"/>
      <c r="AG53" s="119"/>
      <c r="AH53" s="79">
        <v>5</v>
      </c>
      <c r="AI53" s="74">
        <v>0</v>
      </c>
      <c r="AJ53" s="75">
        <v>0</v>
      </c>
      <c r="AK53" s="123"/>
      <c r="AL53" s="124"/>
      <c r="AM53" s="124"/>
      <c r="AN53" s="124"/>
      <c r="AO53" s="124"/>
      <c r="AP53" s="124"/>
      <c r="AQ53" s="124"/>
      <c r="AR53" s="124"/>
      <c r="AS53" s="124"/>
      <c r="AT53" s="124"/>
      <c r="AU53" s="124"/>
      <c r="AV53" s="124"/>
      <c r="AW53" s="124"/>
      <c r="AX53" s="125"/>
    </row>
    <row r="54" spans="1:50" s="40" customFormat="1" ht="25" customHeight="1" thickBot="1" x14ac:dyDescent="0.35">
      <c r="A54" s="42">
        <v>38</v>
      </c>
      <c r="B54" s="66">
        <v>494747</v>
      </c>
      <c r="C54" s="67" t="s">
        <v>191</v>
      </c>
      <c r="D54" s="91">
        <v>42705</v>
      </c>
      <c r="E54" s="90" t="s">
        <v>8</v>
      </c>
      <c r="F54" s="68" t="s">
        <v>23</v>
      </c>
      <c r="G54" s="69">
        <v>260000000</v>
      </c>
      <c r="H54" s="108"/>
      <c r="I54" s="109"/>
      <c r="J54" s="70" t="s">
        <v>16</v>
      </c>
      <c r="K54" s="66" t="s">
        <v>176</v>
      </c>
      <c r="L54" s="71">
        <v>20000000</v>
      </c>
      <c r="M54" s="92">
        <v>20000000</v>
      </c>
      <c r="N54" s="72">
        <v>44637</v>
      </c>
      <c r="O54" s="91">
        <v>44638</v>
      </c>
      <c r="P54" s="72">
        <v>44669</v>
      </c>
      <c r="Q54" s="91">
        <v>45734</v>
      </c>
      <c r="R54" s="53">
        <f t="shared" si="0"/>
        <v>3.0027397260273974</v>
      </c>
      <c r="S54" s="72"/>
      <c r="T54" s="73">
        <v>0.5</v>
      </c>
      <c r="U54" s="71">
        <v>20000000</v>
      </c>
      <c r="V54" s="94">
        <v>0.09</v>
      </c>
      <c r="W54" s="97">
        <v>9154031</v>
      </c>
      <c r="X54" s="101">
        <v>0</v>
      </c>
      <c r="Y54" s="98">
        <f t="shared" si="1"/>
        <v>4577015.5</v>
      </c>
      <c r="Z54" s="100" t="s">
        <v>7</v>
      </c>
      <c r="AA54" s="92">
        <v>0</v>
      </c>
      <c r="AB54" s="102">
        <v>0</v>
      </c>
      <c r="AC54" s="114"/>
      <c r="AD54" s="81"/>
      <c r="AE54" s="83"/>
      <c r="AF54" s="82"/>
      <c r="AG54" s="119"/>
      <c r="AH54" s="79">
        <v>10</v>
      </c>
      <c r="AI54" s="74">
        <v>0</v>
      </c>
      <c r="AJ54" s="75">
        <v>0</v>
      </c>
      <c r="AK54" s="123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24"/>
      <c r="AW54" s="124"/>
      <c r="AX54" s="125"/>
    </row>
    <row r="55" spans="1:50" s="40" customFormat="1" ht="25" customHeight="1" thickBot="1" x14ac:dyDescent="0.35">
      <c r="A55" s="42">
        <v>39</v>
      </c>
      <c r="B55" s="66" t="s">
        <v>194</v>
      </c>
      <c r="C55" s="67" t="s">
        <v>192</v>
      </c>
      <c r="D55" s="91">
        <v>40218</v>
      </c>
      <c r="E55" s="90" t="s">
        <v>8</v>
      </c>
      <c r="F55" s="68" t="s">
        <v>30</v>
      </c>
      <c r="G55" s="69">
        <v>1876000000</v>
      </c>
      <c r="H55" s="108"/>
      <c r="I55" s="109"/>
      <c r="J55" s="70" t="s">
        <v>16</v>
      </c>
      <c r="K55" s="66" t="s">
        <v>176</v>
      </c>
      <c r="L55" s="71">
        <v>100000000</v>
      </c>
      <c r="M55" s="92">
        <v>100000000</v>
      </c>
      <c r="N55" s="72">
        <v>44677</v>
      </c>
      <c r="O55" s="91">
        <v>44680</v>
      </c>
      <c r="P55" s="72">
        <v>44680</v>
      </c>
      <c r="Q55" s="91">
        <v>44985</v>
      </c>
      <c r="R55" s="53">
        <f t="shared" si="0"/>
        <v>0.83561643835616439</v>
      </c>
      <c r="S55" s="72"/>
      <c r="T55" s="73">
        <v>0.5</v>
      </c>
      <c r="U55" s="71">
        <v>100000000</v>
      </c>
      <c r="V55" s="94">
        <v>0.08</v>
      </c>
      <c r="W55" s="97">
        <v>67205280</v>
      </c>
      <c r="X55" s="101">
        <v>0</v>
      </c>
      <c r="Y55" s="98">
        <f t="shared" si="1"/>
        <v>33602640</v>
      </c>
      <c r="Z55" s="100" t="s">
        <v>7</v>
      </c>
      <c r="AA55" s="92">
        <v>0</v>
      </c>
      <c r="AB55" s="102">
        <v>0</v>
      </c>
      <c r="AC55" s="114"/>
      <c r="AD55" s="81"/>
      <c r="AE55" s="83"/>
      <c r="AF55" s="82"/>
      <c r="AG55" s="119"/>
      <c r="AH55" s="79">
        <v>15</v>
      </c>
      <c r="AI55" s="74">
        <v>0</v>
      </c>
      <c r="AJ55" s="75">
        <v>0</v>
      </c>
      <c r="AK55" s="123"/>
      <c r="AL55" s="124"/>
      <c r="AM55" s="124"/>
      <c r="AN55" s="124"/>
      <c r="AO55" s="124"/>
      <c r="AP55" s="124"/>
      <c r="AQ55" s="124"/>
      <c r="AR55" s="124"/>
      <c r="AS55" s="124"/>
      <c r="AT55" s="124"/>
      <c r="AU55" s="124"/>
      <c r="AV55" s="124"/>
      <c r="AW55" s="124"/>
      <c r="AX55" s="125"/>
    </row>
    <row r="56" spans="1:50" s="40" customFormat="1" ht="25" customHeight="1" thickBot="1" x14ac:dyDescent="0.35">
      <c r="A56" s="42">
        <v>40</v>
      </c>
      <c r="B56" s="66"/>
      <c r="C56" s="67"/>
      <c r="D56" s="91"/>
      <c r="E56" s="90"/>
      <c r="F56" s="68"/>
      <c r="G56" s="69"/>
      <c r="H56" s="108"/>
      <c r="I56" s="109"/>
      <c r="J56" s="70"/>
      <c r="K56" s="66"/>
      <c r="L56" s="71"/>
      <c r="M56" s="92"/>
      <c r="N56" s="72"/>
      <c r="O56" s="91"/>
      <c r="P56" s="72"/>
      <c r="Q56" s="91"/>
      <c r="R56" s="53" t="str">
        <f t="shared" si="0"/>
        <v/>
      </c>
      <c r="S56" s="72"/>
      <c r="T56" s="73"/>
      <c r="U56" s="71"/>
      <c r="V56" s="94"/>
      <c r="W56" s="97"/>
      <c r="X56" s="101"/>
      <c r="Y56" s="98" t="str">
        <f t="shared" si="1"/>
        <v/>
      </c>
      <c r="Z56" s="100"/>
      <c r="AA56" s="92"/>
      <c r="AB56" s="102"/>
      <c r="AC56" s="114"/>
      <c r="AD56" s="81"/>
      <c r="AE56" s="83"/>
      <c r="AF56" s="82"/>
      <c r="AG56" s="119"/>
      <c r="AH56" s="79"/>
      <c r="AI56" s="74"/>
      <c r="AJ56" s="75"/>
      <c r="AK56" s="123"/>
      <c r="AL56" s="124"/>
      <c r="AM56" s="124"/>
      <c r="AN56" s="124"/>
      <c r="AO56" s="124"/>
      <c r="AP56" s="124"/>
      <c r="AQ56" s="124"/>
      <c r="AR56" s="124"/>
      <c r="AS56" s="124"/>
      <c r="AT56" s="124"/>
      <c r="AU56" s="124"/>
      <c r="AV56" s="124"/>
      <c r="AW56" s="124"/>
      <c r="AX56" s="125"/>
    </row>
    <row r="57" spans="1:50" s="40" customFormat="1" ht="25" customHeight="1" thickBot="1" x14ac:dyDescent="0.35">
      <c r="A57" s="42">
        <v>41</v>
      </c>
      <c r="B57" s="66"/>
      <c r="C57" s="67"/>
      <c r="D57" s="91"/>
      <c r="E57" s="90"/>
      <c r="F57" s="68"/>
      <c r="G57" s="69"/>
      <c r="H57" s="108"/>
      <c r="I57" s="109"/>
      <c r="J57" s="70"/>
      <c r="K57" s="66"/>
      <c r="L57" s="71"/>
      <c r="M57" s="92"/>
      <c r="N57" s="72"/>
      <c r="O57" s="91"/>
      <c r="P57" s="72"/>
      <c r="Q57" s="91"/>
      <c r="R57" s="53" t="str">
        <f t="shared" si="0"/>
        <v/>
      </c>
      <c r="S57" s="72"/>
      <c r="T57" s="73"/>
      <c r="U57" s="71"/>
      <c r="V57" s="94"/>
      <c r="W57" s="97"/>
      <c r="X57" s="101"/>
      <c r="Y57" s="98" t="str">
        <f t="shared" si="1"/>
        <v/>
      </c>
      <c r="Z57" s="100"/>
      <c r="AA57" s="92"/>
      <c r="AB57" s="102"/>
      <c r="AC57" s="114"/>
      <c r="AD57" s="81"/>
      <c r="AE57" s="83"/>
      <c r="AF57" s="82"/>
      <c r="AG57" s="119"/>
      <c r="AH57" s="79"/>
      <c r="AI57" s="74"/>
      <c r="AJ57" s="75"/>
      <c r="AK57" s="123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5"/>
    </row>
    <row r="58" spans="1:50" s="40" customFormat="1" ht="25" customHeight="1" thickBot="1" x14ac:dyDescent="0.35">
      <c r="A58" s="42">
        <v>42</v>
      </c>
      <c r="B58" s="66">
        <v>495244</v>
      </c>
      <c r="C58" s="67" t="s">
        <v>193</v>
      </c>
      <c r="D58" s="91">
        <v>40711</v>
      </c>
      <c r="E58" s="90" t="s">
        <v>8</v>
      </c>
      <c r="F58" s="68" t="s">
        <v>25</v>
      </c>
      <c r="G58" s="69">
        <v>123348363</v>
      </c>
      <c r="H58" s="108"/>
      <c r="I58" s="109"/>
      <c r="J58" s="70" t="s">
        <v>16</v>
      </c>
      <c r="K58" s="66" t="s">
        <v>176</v>
      </c>
      <c r="L58" s="71">
        <v>47000000</v>
      </c>
      <c r="M58" s="92">
        <v>47000000</v>
      </c>
      <c r="N58" s="72">
        <v>44641</v>
      </c>
      <c r="O58" s="91">
        <v>44652</v>
      </c>
      <c r="P58" s="72">
        <v>44682</v>
      </c>
      <c r="Q58" s="91">
        <v>45748</v>
      </c>
      <c r="R58" s="53">
        <f t="shared" si="0"/>
        <v>3.0027397260273974</v>
      </c>
      <c r="S58" s="72"/>
      <c r="T58" s="73">
        <v>0.5</v>
      </c>
      <c r="U58" s="71">
        <v>47000000</v>
      </c>
      <c r="V58" s="94">
        <v>0.1</v>
      </c>
      <c r="W58" s="97">
        <v>21712844</v>
      </c>
      <c r="X58" s="101">
        <v>0</v>
      </c>
      <c r="Y58" s="98">
        <f t="shared" si="1"/>
        <v>10856422</v>
      </c>
      <c r="Z58" s="100" t="s">
        <v>7</v>
      </c>
      <c r="AA58" s="92">
        <v>0</v>
      </c>
      <c r="AB58" s="102">
        <v>0</v>
      </c>
      <c r="AC58" s="114"/>
      <c r="AD58" s="81"/>
      <c r="AE58" s="83"/>
      <c r="AF58" s="82"/>
      <c r="AG58" s="119"/>
      <c r="AH58" s="79">
        <v>19</v>
      </c>
      <c r="AI58" s="74">
        <v>0</v>
      </c>
      <c r="AJ58" s="75">
        <v>0</v>
      </c>
      <c r="AK58" s="123"/>
      <c r="AL58" s="124"/>
      <c r="AM58" s="124"/>
      <c r="AN58" s="124"/>
      <c r="AO58" s="124"/>
      <c r="AP58" s="124"/>
      <c r="AQ58" s="124"/>
      <c r="AR58" s="124"/>
      <c r="AS58" s="124"/>
      <c r="AT58" s="124"/>
      <c r="AU58" s="124"/>
      <c r="AV58" s="124"/>
      <c r="AW58" s="124"/>
      <c r="AX58" s="125"/>
    </row>
    <row r="59" spans="1:50" s="40" customFormat="1" ht="25" customHeight="1" thickBot="1" x14ac:dyDescent="0.35">
      <c r="A59" s="42">
        <v>43</v>
      </c>
      <c r="B59" s="66" t="s">
        <v>197</v>
      </c>
      <c r="C59" s="67" t="s">
        <v>195</v>
      </c>
      <c r="D59" s="91">
        <v>41751</v>
      </c>
      <c r="E59" s="90" t="s">
        <v>8</v>
      </c>
      <c r="F59" s="68" t="s">
        <v>19</v>
      </c>
      <c r="G59" s="69">
        <v>345352407</v>
      </c>
      <c r="H59" s="108"/>
      <c r="I59" s="109"/>
      <c r="J59" s="70" t="s">
        <v>16</v>
      </c>
      <c r="K59" s="66" t="s">
        <v>176</v>
      </c>
      <c r="L59" s="71">
        <v>33600000</v>
      </c>
      <c r="M59" s="92">
        <v>33600000</v>
      </c>
      <c r="N59" s="72">
        <v>44728</v>
      </c>
      <c r="O59" s="91">
        <v>44733</v>
      </c>
      <c r="P59" s="72">
        <v>44763</v>
      </c>
      <c r="Q59" s="91">
        <v>45464</v>
      </c>
      <c r="R59" s="53">
        <f t="shared" si="0"/>
        <v>2.0027397260273974</v>
      </c>
      <c r="S59" s="72"/>
      <c r="T59" s="73">
        <v>0.5</v>
      </c>
      <c r="U59" s="71">
        <v>33600000</v>
      </c>
      <c r="V59" s="94">
        <v>9.9000000000000005E-2</v>
      </c>
      <c r="W59" s="97">
        <v>9184777</v>
      </c>
      <c r="X59" s="101">
        <v>0</v>
      </c>
      <c r="Y59" s="98">
        <f t="shared" si="1"/>
        <v>4592388.5</v>
      </c>
      <c r="Z59" s="100" t="s">
        <v>7</v>
      </c>
      <c r="AA59" s="92">
        <v>0</v>
      </c>
      <c r="AB59" s="102">
        <v>0</v>
      </c>
      <c r="AC59" s="114"/>
      <c r="AD59" s="81"/>
      <c r="AE59" s="83"/>
      <c r="AF59" s="82"/>
      <c r="AG59" s="119"/>
      <c r="AH59" s="79">
        <v>83</v>
      </c>
      <c r="AI59" s="74">
        <v>6</v>
      </c>
      <c r="AJ59" s="75">
        <v>0</v>
      </c>
      <c r="AK59" s="123"/>
      <c r="AL59" s="124"/>
      <c r="AM59" s="124"/>
      <c r="AN59" s="124"/>
      <c r="AO59" s="124"/>
      <c r="AP59" s="124"/>
      <c r="AQ59" s="124"/>
      <c r="AR59" s="124"/>
      <c r="AS59" s="124"/>
      <c r="AT59" s="124"/>
      <c r="AU59" s="124"/>
      <c r="AV59" s="124"/>
      <c r="AW59" s="124"/>
      <c r="AX59" s="125"/>
    </row>
    <row r="60" spans="1:50" s="40" customFormat="1" ht="25" customHeight="1" thickBot="1" x14ac:dyDescent="0.35">
      <c r="A60" s="42">
        <v>44</v>
      </c>
      <c r="B60" s="66" t="s">
        <v>200</v>
      </c>
      <c r="C60" s="67" t="s">
        <v>201</v>
      </c>
      <c r="D60" s="91">
        <v>39064</v>
      </c>
      <c r="E60" s="90" t="s">
        <v>15</v>
      </c>
      <c r="F60" s="68" t="s">
        <v>22</v>
      </c>
      <c r="G60" s="69">
        <v>1492482004</v>
      </c>
      <c r="H60" s="108"/>
      <c r="I60" s="109"/>
      <c r="J60" s="70" t="s">
        <v>12</v>
      </c>
      <c r="K60" s="66" t="s">
        <v>223</v>
      </c>
      <c r="L60" s="71">
        <v>100000000</v>
      </c>
      <c r="M60" s="92">
        <v>100000000</v>
      </c>
      <c r="N60" s="72">
        <v>44769</v>
      </c>
      <c r="O60" s="91">
        <v>44922</v>
      </c>
      <c r="P60" s="72">
        <v>44953</v>
      </c>
      <c r="Q60" s="91">
        <v>46748</v>
      </c>
      <c r="R60" s="53">
        <f t="shared" si="0"/>
        <v>5.0027397260273974</v>
      </c>
      <c r="S60" s="72"/>
      <c r="T60" s="73">
        <v>0.5</v>
      </c>
      <c r="U60" s="71">
        <v>100000000</v>
      </c>
      <c r="V60" s="94">
        <v>9.9000000000000005E-2</v>
      </c>
      <c r="W60" s="97">
        <v>84567793</v>
      </c>
      <c r="X60" s="101">
        <v>2203770</v>
      </c>
      <c r="Y60" s="98">
        <f t="shared" si="1"/>
        <v>42283896.5</v>
      </c>
      <c r="Z60" s="100" t="s">
        <v>4</v>
      </c>
      <c r="AA60" s="92">
        <v>4</v>
      </c>
      <c r="AB60" s="102">
        <v>0</v>
      </c>
      <c r="AC60" s="114"/>
      <c r="AD60" s="81"/>
      <c r="AE60" s="83"/>
      <c r="AF60" s="82"/>
      <c r="AG60" s="119"/>
      <c r="AH60" s="79">
        <v>16</v>
      </c>
      <c r="AI60" s="74">
        <v>0</v>
      </c>
      <c r="AJ60" s="75">
        <v>0</v>
      </c>
      <c r="AK60" s="123"/>
      <c r="AL60" s="124"/>
      <c r="AM60" s="124"/>
      <c r="AN60" s="124"/>
      <c r="AO60" s="124"/>
      <c r="AP60" s="124"/>
      <c r="AQ60" s="124"/>
      <c r="AR60" s="124"/>
      <c r="AS60" s="124"/>
      <c r="AT60" s="124"/>
      <c r="AU60" s="124"/>
      <c r="AV60" s="124"/>
      <c r="AW60" s="124"/>
      <c r="AX60" s="125"/>
    </row>
    <row r="61" spans="1:50" s="40" customFormat="1" ht="25" customHeight="1" thickBot="1" x14ac:dyDescent="0.35">
      <c r="A61" s="42">
        <v>45</v>
      </c>
      <c r="B61" s="66">
        <v>503779</v>
      </c>
      <c r="C61" s="67" t="s">
        <v>202</v>
      </c>
      <c r="D61" s="91">
        <v>40521</v>
      </c>
      <c r="E61" s="90" t="s">
        <v>10</v>
      </c>
      <c r="F61" s="68" t="s">
        <v>29</v>
      </c>
      <c r="G61" s="69">
        <v>51713943</v>
      </c>
      <c r="H61" s="108"/>
      <c r="I61" s="109"/>
      <c r="J61" s="70" t="s">
        <v>12</v>
      </c>
      <c r="K61" s="66" t="s">
        <v>175</v>
      </c>
      <c r="L61" s="71">
        <v>30000000</v>
      </c>
      <c r="M61" s="92">
        <v>30000000</v>
      </c>
      <c r="N61" s="72">
        <v>44781</v>
      </c>
      <c r="O61" s="91">
        <v>44809</v>
      </c>
      <c r="P61" s="72">
        <v>44839</v>
      </c>
      <c r="Q61" s="91">
        <v>46635</v>
      </c>
      <c r="R61" s="53">
        <f t="shared" si="0"/>
        <v>5.0027397260273974</v>
      </c>
      <c r="S61" s="72"/>
      <c r="T61" s="73">
        <v>0.5</v>
      </c>
      <c r="U61" s="71">
        <v>30000000</v>
      </c>
      <c r="V61" s="94">
        <v>0.12</v>
      </c>
      <c r="W61" s="97">
        <v>24335402</v>
      </c>
      <c r="X61" s="101">
        <v>0</v>
      </c>
      <c r="Y61" s="98">
        <f t="shared" si="1"/>
        <v>12167701</v>
      </c>
      <c r="Z61" s="100" t="s">
        <v>7</v>
      </c>
      <c r="AA61" s="92">
        <v>0</v>
      </c>
      <c r="AB61" s="102">
        <v>0</v>
      </c>
      <c r="AC61" s="114"/>
      <c r="AD61" s="81"/>
      <c r="AE61" s="83"/>
      <c r="AF61" s="82"/>
      <c r="AG61" s="119"/>
      <c r="AH61" s="79">
        <v>5</v>
      </c>
      <c r="AI61" s="74">
        <v>0</v>
      </c>
      <c r="AJ61" s="75">
        <v>0</v>
      </c>
      <c r="AK61" s="123"/>
      <c r="AL61" s="124"/>
      <c r="AM61" s="124"/>
      <c r="AN61" s="124"/>
      <c r="AO61" s="124"/>
      <c r="AP61" s="124"/>
      <c r="AQ61" s="124"/>
      <c r="AR61" s="124"/>
      <c r="AS61" s="124"/>
      <c r="AT61" s="124"/>
      <c r="AU61" s="124"/>
      <c r="AV61" s="124"/>
      <c r="AW61" s="124"/>
      <c r="AX61" s="125"/>
    </row>
    <row r="62" spans="1:50" s="40" customFormat="1" ht="25" customHeight="1" thickBot="1" x14ac:dyDescent="0.35">
      <c r="A62" s="42">
        <v>46</v>
      </c>
      <c r="B62" s="66" t="s">
        <v>203</v>
      </c>
      <c r="C62" s="67" t="s">
        <v>204</v>
      </c>
      <c r="D62" s="91">
        <v>43483</v>
      </c>
      <c r="E62" s="90" t="s">
        <v>8</v>
      </c>
      <c r="F62" s="68" t="s">
        <v>29</v>
      </c>
      <c r="G62" s="69">
        <v>243551025</v>
      </c>
      <c r="H62" s="108"/>
      <c r="I62" s="109"/>
      <c r="J62" s="70" t="s">
        <v>16</v>
      </c>
      <c r="K62" s="66" t="s">
        <v>171</v>
      </c>
      <c r="L62" s="71">
        <v>114000000</v>
      </c>
      <c r="M62" s="92">
        <v>114000000</v>
      </c>
      <c r="N62" s="72">
        <v>44775</v>
      </c>
      <c r="O62" s="91">
        <v>44848</v>
      </c>
      <c r="P62" s="72">
        <v>44849</v>
      </c>
      <c r="Q62" s="91">
        <v>46660</v>
      </c>
      <c r="R62" s="53">
        <f t="shared" si="0"/>
        <v>4.9643835616438352</v>
      </c>
      <c r="S62" s="72"/>
      <c r="T62" s="73">
        <v>0.5</v>
      </c>
      <c r="U62" s="71">
        <v>114300000</v>
      </c>
      <c r="V62" s="94">
        <v>0.08</v>
      </c>
      <c r="W62" s="97">
        <v>80166606</v>
      </c>
      <c r="X62" s="101">
        <v>0</v>
      </c>
      <c r="Y62" s="98">
        <f t="shared" si="1"/>
        <v>40083303</v>
      </c>
      <c r="Z62" s="100" t="s">
        <v>7</v>
      </c>
      <c r="AA62" s="92">
        <v>0</v>
      </c>
      <c r="AB62" s="102">
        <v>0</v>
      </c>
      <c r="AC62" s="114"/>
      <c r="AD62" s="81"/>
      <c r="AE62" s="83"/>
      <c r="AF62" s="82"/>
      <c r="AG62" s="119"/>
      <c r="AH62" s="79">
        <v>15</v>
      </c>
      <c r="AI62" s="74">
        <v>0</v>
      </c>
      <c r="AJ62" s="75">
        <v>0</v>
      </c>
      <c r="AK62" s="123"/>
      <c r="AL62" s="124"/>
      <c r="AM62" s="124"/>
      <c r="AN62" s="124"/>
      <c r="AO62" s="124"/>
      <c r="AP62" s="124"/>
      <c r="AQ62" s="124"/>
      <c r="AR62" s="124"/>
      <c r="AS62" s="124"/>
      <c r="AT62" s="124"/>
      <c r="AU62" s="124"/>
      <c r="AV62" s="124"/>
      <c r="AW62" s="124"/>
      <c r="AX62" s="125"/>
    </row>
    <row r="63" spans="1:50" s="40" customFormat="1" ht="25" customHeight="1" thickBot="1" x14ac:dyDescent="0.35">
      <c r="A63" s="42">
        <v>47</v>
      </c>
      <c r="B63" s="66" t="s">
        <v>205</v>
      </c>
      <c r="C63" s="67" t="s">
        <v>206</v>
      </c>
      <c r="D63" s="91">
        <v>39573</v>
      </c>
      <c r="E63" s="90" t="s">
        <v>8</v>
      </c>
      <c r="F63" s="68" t="s">
        <v>21</v>
      </c>
      <c r="G63" s="69">
        <v>289098726</v>
      </c>
      <c r="H63" s="108"/>
      <c r="I63" s="109"/>
      <c r="J63" s="70" t="s">
        <v>16</v>
      </c>
      <c r="K63" s="66" t="s">
        <v>224</v>
      </c>
      <c r="L63" s="71">
        <v>116000000</v>
      </c>
      <c r="M63" s="92">
        <v>116000000</v>
      </c>
      <c r="N63" s="72">
        <v>44732</v>
      </c>
      <c r="O63" s="91">
        <v>44882</v>
      </c>
      <c r="P63" s="72">
        <v>44910</v>
      </c>
      <c r="Q63" s="91">
        <v>46736</v>
      </c>
      <c r="R63" s="53">
        <f t="shared" si="0"/>
        <v>5.0794520547945208</v>
      </c>
      <c r="S63" s="72"/>
      <c r="T63" s="73">
        <v>0.5</v>
      </c>
      <c r="U63" s="71">
        <v>116000000</v>
      </c>
      <c r="V63" s="94">
        <v>0.08</v>
      </c>
      <c r="W63" s="97">
        <v>78936338</v>
      </c>
      <c r="X63" s="101">
        <v>0</v>
      </c>
      <c r="Y63" s="98">
        <f t="shared" si="1"/>
        <v>39468169</v>
      </c>
      <c r="Z63" s="100" t="s">
        <v>7</v>
      </c>
      <c r="AA63" s="92">
        <v>0</v>
      </c>
      <c r="AB63" s="102">
        <v>0</v>
      </c>
      <c r="AC63" s="114"/>
      <c r="AD63" s="81"/>
      <c r="AE63" s="83"/>
      <c r="AF63" s="82"/>
      <c r="AG63" s="119"/>
      <c r="AH63" s="79">
        <v>4</v>
      </c>
      <c r="AI63" s="74">
        <v>0</v>
      </c>
      <c r="AJ63" s="75">
        <v>0</v>
      </c>
      <c r="AK63" s="123"/>
      <c r="AL63" s="124"/>
      <c r="AM63" s="124"/>
      <c r="AN63" s="124"/>
      <c r="AO63" s="124"/>
      <c r="AP63" s="124"/>
      <c r="AQ63" s="124"/>
      <c r="AR63" s="124"/>
      <c r="AS63" s="124"/>
      <c r="AT63" s="124"/>
      <c r="AU63" s="124"/>
      <c r="AV63" s="124"/>
      <c r="AW63" s="124"/>
      <c r="AX63" s="125"/>
    </row>
    <row r="64" spans="1:50" s="40" customFormat="1" ht="25" customHeight="1" thickBot="1" x14ac:dyDescent="0.35">
      <c r="A64" s="42">
        <v>48</v>
      </c>
      <c r="B64" s="66">
        <v>505916</v>
      </c>
      <c r="C64" s="67" t="s">
        <v>207</v>
      </c>
      <c r="D64" s="91">
        <v>44249</v>
      </c>
      <c r="E64" s="90" t="s">
        <v>8</v>
      </c>
      <c r="F64" s="68" t="s">
        <v>30</v>
      </c>
      <c r="G64" s="69">
        <v>108</v>
      </c>
      <c r="H64" s="108"/>
      <c r="I64" s="109"/>
      <c r="J64" s="70" t="s">
        <v>16</v>
      </c>
      <c r="K64" s="66" t="s">
        <v>171</v>
      </c>
      <c r="L64" s="71">
        <v>16500000</v>
      </c>
      <c r="M64" s="92">
        <v>16500000</v>
      </c>
      <c r="N64" s="72">
        <v>44820</v>
      </c>
      <c r="O64" s="91">
        <v>44867</v>
      </c>
      <c r="P64" s="72">
        <v>44897</v>
      </c>
      <c r="Q64" s="91">
        <v>45963</v>
      </c>
      <c r="R64" s="53">
        <f t="shared" si="0"/>
        <v>3.0027397260273974</v>
      </c>
      <c r="S64" s="72"/>
      <c r="T64" s="73">
        <v>0.5</v>
      </c>
      <c r="U64" s="71">
        <v>16500000</v>
      </c>
      <c r="V64" s="94">
        <v>0.1</v>
      </c>
      <c r="W64" s="97">
        <v>10797024</v>
      </c>
      <c r="X64" s="101">
        <v>0</v>
      </c>
      <c r="Y64" s="98">
        <f t="shared" si="1"/>
        <v>5398512</v>
      </c>
      <c r="Z64" s="100" t="s">
        <v>7</v>
      </c>
      <c r="AA64" s="92">
        <v>0</v>
      </c>
      <c r="AB64" s="102">
        <v>0</v>
      </c>
      <c r="AC64" s="114"/>
      <c r="AD64" s="81"/>
      <c r="AE64" s="83"/>
      <c r="AF64" s="82"/>
      <c r="AG64" s="119"/>
      <c r="AH64" s="79">
        <v>8</v>
      </c>
      <c r="AI64" s="74">
        <v>0</v>
      </c>
      <c r="AJ64" s="75">
        <v>0</v>
      </c>
      <c r="AK64" s="123"/>
      <c r="AL64" s="124"/>
      <c r="AM64" s="124"/>
      <c r="AN64" s="124"/>
      <c r="AO64" s="124"/>
      <c r="AP64" s="124"/>
      <c r="AQ64" s="124"/>
      <c r="AR64" s="124"/>
      <c r="AS64" s="124"/>
      <c r="AT64" s="124"/>
      <c r="AU64" s="124"/>
      <c r="AV64" s="124"/>
      <c r="AW64" s="124"/>
      <c r="AX64" s="125"/>
    </row>
    <row r="65" spans="1:50" s="40" customFormat="1" ht="25" customHeight="1" thickBot="1" x14ac:dyDescent="0.35">
      <c r="A65" s="42">
        <v>49</v>
      </c>
      <c r="B65" s="66">
        <v>507042</v>
      </c>
      <c r="C65" s="67" t="s">
        <v>208</v>
      </c>
      <c r="D65" s="91">
        <v>42786</v>
      </c>
      <c r="E65" s="90" t="s">
        <v>15</v>
      </c>
      <c r="F65" s="68" t="s">
        <v>22</v>
      </c>
      <c r="G65" s="69">
        <v>103856980</v>
      </c>
      <c r="H65" s="108"/>
      <c r="I65" s="109"/>
      <c r="J65" s="70" t="s">
        <v>12</v>
      </c>
      <c r="K65" s="66" t="s">
        <v>225</v>
      </c>
      <c r="L65" s="71">
        <v>7000000</v>
      </c>
      <c r="M65" s="92">
        <v>7000000</v>
      </c>
      <c r="N65" s="72">
        <v>0</v>
      </c>
      <c r="O65" s="91">
        <v>44875</v>
      </c>
      <c r="P65" s="72">
        <v>44905</v>
      </c>
      <c r="Q65" s="91">
        <v>45971</v>
      </c>
      <c r="R65" s="53">
        <f t="shared" si="0"/>
        <v>3.0027397260273974</v>
      </c>
      <c r="S65" s="72"/>
      <c r="T65" s="73">
        <v>0.5</v>
      </c>
      <c r="U65" s="71">
        <v>7000000</v>
      </c>
      <c r="V65" s="94">
        <v>0.09</v>
      </c>
      <c r="W65" s="97">
        <v>4552605</v>
      </c>
      <c r="X65" s="101">
        <v>0</v>
      </c>
      <c r="Y65" s="98">
        <f t="shared" si="1"/>
        <v>2276302.5</v>
      </c>
      <c r="Z65" s="100" t="s">
        <v>7</v>
      </c>
      <c r="AA65" s="92">
        <v>0</v>
      </c>
      <c r="AB65" s="102">
        <v>0</v>
      </c>
      <c r="AC65" s="114"/>
      <c r="AD65" s="81"/>
      <c r="AE65" s="83"/>
      <c r="AF65" s="82"/>
      <c r="AG65" s="119"/>
      <c r="AH65" s="79">
        <v>4</v>
      </c>
      <c r="AI65" s="74">
        <v>0</v>
      </c>
      <c r="AJ65" s="75">
        <v>0</v>
      </c>
      <c r="AK65" s="123"/>
      <c r="AL65" s="124"/>
      <c r="AM65" s="124"/>
      <c r="AN65" s="124"/>
      <c r="AO65" s="124"/>
      <c r="AP65" s="124"/>
      <c r="AQ65" s="124"/>
      <c r="AR65" s="124"/>
      <c r="AS65" s="124"/>
      <c r="AT65" s="124"/>
      <c r="AU65" s="124"/>
      <c r="AV65" s="124"/>
      <c r="AW65" s="124"/>
      <c r="AX65" s="125"/>
    </row>
    <row r="66" spans="1:50" s="40" customFormat="1" ht="25" customHeight="1" thickBot="1" x14ac:dyDescent="0.35">
      <c r="A66" s="42">
        <v>50</v>
      </c>
      <c r="B66" s="66">
        <v>506928</v>
      </c>
      <c r="C66" s="67" t="s">
        <v>209</v>
      </c>
      <c r="D66" s="91">
        <v>40361</v>
      </c>
      <c r="E66" s="90" t="s">
        <v>15</v>
      </c>
      <c r="F66" s="68" t="s">
        <v>210</v>
      </c>
      <c r="G66" s="69">
        <v>338784000</v>
      </c>
      <c r="H66" s="108"/>
      <c r="I66" s="109"/>
      <c r="J66" s="70" t="s">
        <v>16</v>
      </c>
      <c r="K66" s="66"/>
      <c r="L66" s="71">
        <v>40000000</v>
      </c>
      <c r="M66" s="92">
        <v>40000000</v>
      </c>
      <c r="N66" s="72">
        <v>44841</v>
      </c>
      <c r="O66" s="91">
        <v>44880</v>
      </c>
      <c r="P66" s="72">
        <v>44910</v>
      </c>
      <c r="Q66" s="91">
        <v>46706</v>
      </c>
      <c r="R66" s="53">
        <f t="shared" si="0"/>
        <v>5.0027397260273974</v>
      </c>
      <c r="S66" s="72"/>
      <c r="T66" s="73">
        <v>0.5</v>
      </c>
      <c r="U66" s="71">
        <v>40000000</v>
      </c>
      <c r="V66" s="94">
        <v>0.09</v>
      </c>
      <c r="W66" s="97">
        <v>33122623</v>
      </c>
      <c r="X66" s="101">
        <v>0</v>
      </c>
      <c r="Y66" s="98">
        <f t="shared" si="1"/>
        <v>16561311.5</v>
      </c>
      <c r="Z66" s="100" t="s">
        <v>7</v>
      </c>
      <c r="AA66" s="92">
        <v>0</v>
      </c>
      <c r="AB66" s="102">
        <v>0</v>
      </c>
      <c r="AC66" s="114"/>
      <c r="AD66" s="81"/>
      <c r="AE66" s="83"/>
      <c r="AF66" s="82"/>
      <c r="AG66" s="119"/>
      <c r="AH66" s="79">
        <v>22</v>
      </c>
      <c r="AI66" s="74">
        <v>0</v>
      </c>
      <c r="AJ66" s="75">
        <v>0</v>
      </c>
      <c r="AK66" s="123"/>
      <c r="AL66" s="124"/>
      <c r="AM66" s="124"/>
      <c r="AN66" s="124"/>
      <c r="AO66" s="124"/>
      <c r="AP66" s="124"/>
      <c r="AQ66" s="124"/>
      <c r="AR66" s="124"/>
      <c r="AS66" s="124"/>
      <c r="AT66" s="124"/>
      <c r="AU66" s="124"/>
      <c r="AV66" s="124"/>
      <c r="AW66" s="124"/>
      <c r="AX66" s="125"/>
    </row>
    <row r="67" spans="1:50" s="40" customFormat="1" ht="25" customHeight="1" thickBot="1" x14ac:dyDescent="0.35">
      <c r="A67" s="42">
        <v>51</v>
      </c>
      <c r="B67" s="66" t="s">
        <v>284</v>
      </c>
      <c r="C67" s="67" t="s">
        <v>211</v>
      </c>
      <c r="D67" s="91">
        <v>43682</v>
      </c>
      <c r="E67" s="90" t="s">
        <v>15</v>
      </c>
      <c r="F67" s="68" t="s">
        <v>29</v>
      </c>
      <c r="G67" s="69">
        <v>150105837</v>
      </c>
      <c r="H67" s="108"/>
      <c r="I67" s="109"/>
      <c r="J67" s="70" t="s">
        <v>16</v>
      </c>
      <c r="K67" s="66" t="s">
        <v>175</v>
      </c>
      <c r="L67" s="71">
        <v>178800000</v>
      </c>
      <c r="M67" s="92">
        <v>178800000</v>
      </c>
      <c r="N67" s="72">
        <v>44824</v>
      </c>
      <c r="O67" s="91">
        <v>44888</v>
      </c>
      <c r="P67" s="72">
        <v>45283</v>
      </c>
      <c r="Q67" s="91">
        <v>48541</v>
      </c>
      <c r="R67" s="53">
        <f t="shared" si="0"/>
        <v>10.008219178082191</v>
      </c>
      <c r="S67" s="72"/>
      <c r="T67" s="73">
        <v>0.5</v>
      </c>
      <c r="U67" s="71">
        <v>178800000</v>
      </c>
      <c r="V67" s="94">
        <v>0.109</v>
      </c>
      <c r="W67" s="97">
        <v>87577206</v>
      </c>
      <c r="X67" s="101">
        <v>0</v>
      </c>
      <c r="Y67" s="98">
        <f t="shared" si="1"/>
        <v>43788603</v>
      </c>
      <c r="Z67" s="100" t="s">
        <v>7</v>
      </c>
      <c r="AA67" s="92">
        <v>0</v>
      </c>
      <c r="AB67" s="102">
        <v>0</v>
      </c>
      <c r="AC67" s="114"/>
      <c r="AD67" s="81"/>
      <c r="AE67" s="83"/>
      <c r="AF67" s="82"/>
      <c r="AG67" s="119"/>
      <c r="AH67" s="79">
        <v>0</v>
      </c>
      <c r="AI67" s="74">
        <v>0</v>
      </c>
      <c r="AJ67" s="75">
        <v>0</v>
      </c>
      <c r="AK67" s="123"/>
      <c r="AL67" s="124"/>
      <c r="AM67" s="124"/>
      <c r="AN67" s="124"/>
      <c r="AO67" s="124"/>
      <c r="AP67" s="124"/>
      <c r="AQ67" s="124"/>
      <c r="AR67" s="124"/>
      <c r="AS67" s="124"/>
      <c r="AT67" s="124"/>
      <c r="AU67" s="124"/>
      <c r="AV67" s="124"/>
      <c r="AW67" s="124"/>
      <c r="AX67" s="125"/>
    </row>
    <row r="68" spans="1:50" s="40" customFormat="1" ht="25" customHeight="1" thickBot="1" x14ac:dyDescent="0.35">
      <c r="A68" s="42">
        <v>52</v>
      </c>
      <c r="B68" s="66">
        <v>495600</v>
      </c>
      <c r="C68" s="67" t="s">
        <v>212</v>
      </c>
      <c r="D68" s="91">
        <v>42502</v>
      </c>
      <c r="E68" s="90" t="s">
        <v>15</v>
      </c>
      <c r="F68" s="68" t="s">
        <v>29</v>
      </c>
      <c r="G68" s="69">
        <v>57808060</v>
      </c>
      <c r="H68" s="108"/>
      <c r="I68" s="109"/>
      <c r="J68" s="70" t="s">
        <v>16</v>
      </c>
      <c r="K68" s="66" t="s">
        <v>226</v>
      </c>
      <c r="L68" s="71">
        <v>60000000</v>
      </c>
      <c r="M68" s="92">
        <v>60000000</v>
      </c>
      <c r="N68" s="72">
        <v>0</v>
      </c>
      <c r="O68" s="91">
        <v>44897</v>
      </c>
      <c r="P68" s="72">
        <v>45109</v>
      </c>
      <c r="Q68" s="91">
        <v>47454</v>
      </c>
      <c r="R68" s="53">
        <f t="shared" si="0"/>
        <v>7.0054794520547947</v>
      </c>
      <c r="S68" s="72"/>
      <c r="T68" s="73">
        <v>0.5</v>
      </c>
      <c r="U68" s="71">
        <v>60000000</v>
      </c>
      <c r="V68" s="94">
        <v>0.1</v>
      </c>
      <c r="W68" s="97">
        <v>56359230</v>
      </c>
      <c r="X68" s="101">
        <v>0</v>
      </c>
      <c r="Y68" s="98">
        <f t="shared" si="1"/>
        <v>28179615</v>
      </c>
      <c r="Z68" s="100" t="s">
        <v>7</v>
      </c>
      <c r="AA68" s="92">
        <v>0</v>
      </c>
      <c r="AB68" s="102">
        <v>0</v>
      </c>
      <c r="AC68" s="114"/>
      <c r="AD68" s="81"/>
      <c r="AE68" s="83"/>
      <c r="AF68" s="82"/>
      <c r="AG68" s="119"/>
      <c r="AH68" s="79">
        <v>20</v>
      </c>
      <c r="AI68" s="74">
        <v>0</v>
      </c>
      <c r="AJ68" s="75">
        <v>0</v>
      </c>
      <c r="AK68" s="123"/>
      <c r="AL68" s="124"/>
      <c r="AM68" s="124"/>
      <c r="AN68" s="124"/>
      <c r="AO68" s="124"/>
      <c r="AP68" s="124"/>
      <c r="AQ68" s="124"/>
      <c r="AR68" s="124"/>
      <c r="AS68" s="124"/>
      <c r="AT68" s="124"/>
      <c r="AU68" s="124"/>
      <c r="AV68" s="124"/>
      <c r="AW68" s="124"/>
      <c r="AX68" s="125"/>
    </row>
    <row r="69" spans="1:50" s="40" customFormat="1" ht="25" customHeight="1" thickBot="1" x14ac:dyDescent="0.35">
      <c r="A69" s="42">
        <v>53</v>
      </c>
      <c r="B69" s="66">
        <v>503622</v>
      </c>
      <c r="C69" s="67" t="s">
        <v>204</v>
      </c>
      <c r="D69" s="91">
        <v>43483</v>
      </c>
      <c r="E69" s="90" t="s">
        <v>8</v>
      </c>
      <c r="F69" s="68" t="s">
        <v>29</v>
      </c>
      <c r="G69" s="69">
        <v>243551025</v>
      </c>
      <c r="H69" s="108"/>
      <c r="I69" s="109"/>
      <c r="J69" s="70" t="s">
        <v>16</v>
      </c>
      <c r="K69" s="66" t="s">
        <v>171</v>
      </c>
      <c r="L69" s="71">
        <v>34000000</v>
      </c>
      <c r="M69" s="92">
        <v>34000000</v>
      </c>
      <c r="N69" s="72">
        <v>0</v>
      </c>
      <c r="O69" s="91">
        <v>44904</v>
      </c>
      <c r="P69" s="72">
        <v>44935</v>
      </c>
      <c r="Q69" s="91">
        <v>46730</v>
      </c>
      <c r="R69" s="53">
        <f t="shared" si="0"/>
        <v>5.0027397260273974</v>
      </c>
      <c r="S69" s="72"/>
      <c r="T69" s="73">
        <v>0.5</v>
      </c>
      <c r="U69" s="71">
        <v>34000000</v>
      </c>
      <c r="V69" s="94">
        <v>0.08</v>
      </c>
      <c r="W69" s="97">
        <v>28489975</v>
      </c>
      <c r="X69" s="101">
        <v>0</v>
      </c>
      <c r="Y69" s="98">
        <f t="shared" si="1"/>
        <v>14244987.5</v>
      </c>
      <c r="Z69" s="100" t="s">
        <v>7</v>
      </c>
      <c r="AA69" s="92">
        <v>0</v>
      </c>
      <c r="AB69" s="102">
        <v>0</v>
      </c>
      <c r="AC69" s="114"/>
      <c r="AD69" s="81"/>
      <c r="AE69" s="83"/>
      <c r="AF69" s="82"/>
      <c r="AG69" s="119"/>
      <c r="AH69" s="79">
        <v>15</v>
      </c>
      <c r="AI69" s="74">
        <v>0</v>
      </c>
      <c r="AJ69" s="75">
        <v>0</v>
      </c>
      <c r="AK69" s="123"/>
      <c r="AL69" s="124"/>
      <c r="AM69" s="124"/>
      <c r="AN69" s="124"/>
      <c r="AO69" s="124"/>
      <c r="AP69" s="124"/>
      <c r="AQ69" s="124"/>
      <c r="AR69" s="124"/>
      <c r="AS69" s="124"/>
      <c r="AT69" s="124"/>
      <c r="AU69" s="124"/>
      <c r="AV69" s="124"/>
      <c r="AW69" s="124"/>
      <c r="AX69" s="125"/>
    </row>
    <row r="70" spans="1:50" s="40" customFormat="1" ht="25" customHeight="1" thickBot="1" x14ac:dyDescent="0.35">
      <c r="A70" s="42">
        <v>54</v>
      </c>
      <c r="B70" s="66" t="s">
        <v>232</v>
      </c>
      <c r="C70" s="67" t="s">
        <v>213</v>
      </c>
      <c r="D70" s="91">
        <v>43454</v>
      </c>
      <c r="E70" s="90" t="s">
        <v>15</v>
      </c>
      <c r="F70" s="68" t="s">
        <v>30</v>
      </c>
      <c r="G70" s="69">
        <v>139659000</v>
      </c>
      <c r="H70" s="108"/>
      <c r="I70" s="109"/>
      <c r="J70" s="70" t="s">
        <v>16</v>
      </c>
      <c r="K70" s="66" t="s">
        <v>171</v>
      </c>
      <c r="L70" s="71">
        <v>31900000</v>
      </c>
      <c r="M70" s="92">
        <v>31900000</v>
      </c>
      <c r="N70" s="72">
        <v>44904</v>
      </c>
      <c r="O70" s="91">
        <v>44904</v>
      </c>
      <c r="P70" s="72">
        <v>44904</v>
      </c>
      <c r="Q70" s="91">
        <v>46730</v>
      </c>
      <c r="R70" s="53">
        <f t="shared" si="0"/>
        <v>5.0027397260273974</v>
      </c>
      <c r="S70" s="72"/>
      <c r="T70" s="73">
        <v>0.5</v>
      </c>
      <c r="U70" s="71">
        <v>31900000</v>
      </c>
      <c r="V70" s="94"/>
      <c r="W70" s="97">
        <v>26393343</v>
      </c>
      <c r="X70" s="101">
        <v>0</v>
      </c>
      <c r="Y70" s="98">
        <f t="shared" si="1"/>
        <v>13196671.5</v>
      </c>
      <c r="Z70" s="100" t="s">
        <v>7</v>
      </c>
      <c r="AA70" s="92">
        <v>0</v>
      </c>
      <c r="AB70" s="102">
        <v>0</v>
      </c>
      <c r="AC70" s="114"/>
      <c r="AD70" s="81"/>
      <c r="AE70" s="83"/>
      <c r="AF70" s="82"/>
      <c r="AG70" s="119"/>
      <c r="AH70" s="79">
        <v>0</v>
      </c>
      <c r="AI70" s="74">
        <v>0</v>
      </c>
      <c r="AJ70" s="75">
        <v>0</v>
      </c>
      <c r="AK70" s="123"/>
      <c r="AL70" s="124"/>
      <c r="AM70" s="124"/>
      <c r="AN70" s="124"/>
      <c r="AO70" s="124"/>
      <c r="AP70" s="124"/>
      <c r="AQ70" s="124"/>
      <c r="AR70" s="124"/>
      <c r="AS70" s="124"/>
      <c r="AT70" s="124"/>
      <c r="AU70" s="124"/>
      <c r="AV70" s="124"/>
      <c r="AW70" s="124"/>
      <c r="AX70" s="125"/>
    </row>
    <row r="71" spans="1:50" s="40" customFormat="1" ht="25" customHeight="1" thickBot="1" x14ac:dyDescent="0.35">
      <c r="A71" s="42">
        <v>55</v>
      </c>
      <c r="B71" s="66">
        <v>508881</v>
      </c>
      <c r="C71" s="67" t="s">
        <v>214</v>
      </c>
      <c r="D71" s="91">
        <v>38043</v>
      </c>
      <c r="E71" s="90" t="s">
        <v>8</v>
      </c>
      <c r="F71" s="68" t="s">
        <v>23</v>
      </c>
      <c r="G71" s="69">
        <v>2001876000</v>
      </c>
      <c r="H71" s="108"/>
      <c r="I71" s="109"/>
      <c r="J71" s="70" t="s">
        <v>12</v>
      </c>
      <c r="K71" s="66" t="s">
        <v>227</v>
      </c>
      <c r="L71" s="71">
        <v>196700000</v>
      </c>
      <c r="M71" s="92">
        <v>196700000</v>
      </c>
      <c r="N71" s="72">
        <v>0</v>
      </c>
      <c r="O71" s="91">
        <v>44916</v>
      </c>
      <c r="P71" s="72">
        <v>44947</v>
      </c>
      <c r="Q71" s="91">
        <v>45647</v>
      </c>
      <c r="R71" s="53">
        <f t="shared" si="0"/>
        <v>2.0027397260273974</v>
      </c>
      <c r="S71" s="72"/>
      <c r="T71" s="73">
        <v>0.5</v>
      </c>
      <c r="U71" s="71">
        <v>196700000</v>
      </c>
      <c r="V71" s="94">
        <v>0.08</v>
      </c>
      <c r="W71" s="97">
        <v>102931609</v>
      </c>
      <c r="X71" s="101">
        <v>0</v>
      </c>
      <c r="Y71" s="98">
        <f t="shared" si="1"/>
        <v>51465804.5</v>
      </c>
      <c r="Z71" s="100" t="s">
        <v>7</v>
      </c>
      <c r="AA71" s="92">
        <v>0</v>
      </c>
      <c r="AB71" s="102">
        <v>0</v>
      </c>
      <c r="AC71" s="114"/>
      <c r="AD71" s="81"/>
      <c r="AE71" s="83"/>
      <c r="AF71" s="82"/>
      <c r="AG71" s="119"/>
      <c r="AH71" s="79">
        <v>103</v>
      </c>
      <c r="AI71" s="74">
        <v>0</v>
      </c>
      <c r="AJ71" s="75">
        <v>0</v>
      </c>
      <c r="AK71" s="123"/>
      <c r="AL71" s="124"/>
      <c r="AM71" s="124"/>
      <c r="AN71" s="124"/>
      <c r="AO71" s="124"/>
      <c r="AP71" s="124"/>
      <c r="AQ71" s="124"/>
      <c r="AR71" s="124"/>
      <c r="AS71" s="124"/>
      <c r="AT71" s="124"/>
      <c r="AU71" s="124"/>
      <c r="AV71" s="124"/>
      <c r="AW71" s="124"/>
      <c r="AX71" s="125"/>
    </row>
    <row r="72" spans="1:50" s="40" customFormat="1" ht="25" customHeight="1" thickBot="1" x14ac:dyDescent="0.35">
      <c r="A72" s="42">
        <v>56</v>
      </c>
      <c r="B72" s="66" t="s">
        <v>233</v>
      </c>
      <c r="C72" s="67" t="s">
        <v>215</v>
      </c>
      <c r="D72" s="91">
        <v>42352</v>
      </c>
      <c r="E72" s="90" t="s">
        <v>15</v>
      </c>
      <c r="F72" s="68" t="s">
        <v>216</v>
      </c>
      <c r="G72" s="69">
        <v>48800000</v>
      </c>
      <c r="H72" s="108"/>
      <c r="I72" s="109"/>
      <c r="J72" s="70" t="s">
        <v>12</v>
      </c>
      <c r="K72" s="66" t="s">
        <v>228</v>
      </c>
      <c r="L72" s="71">
        <v>24940000</v>
      </c>
      <c r="M72" s="92">
        <v>24940000</v>
      </c>
      <c r="N72" s="72">
        <v>44894</v>
      </c>
      <c r="O72" s="91">
        <v>45030</v>
      </c>
      <c r="P72" s="72">
        <v>45031</v>
      </c>
      <c r="Q72" s="91">
        <v>46491</v>
      </c>
      <c r="R72" s="53">
        <f t="shared" si="0"/>
        <v>4.0027397260273974</v>
      </c>
      <c r="S72" s="72"/>
      <c r="T72" s="73">
        <v>0.5</v>
      </c>
      <c r="U72" s="71">
        <v>24940000</v>
      </c>
      <c r="V72" s="94"/>
      <c r="W72" s="97">
        <v>14421621</v>
      </c>
      <c r="X72" s="101">
        <v>0</v>
      </c>
      <c r="Y72" s="98">
        <f t="shared" si="1"/>
        <v>7210810.5</v>
      </c>
      <c r="Z72" s="100" t="s">
        <v>7</v>
      </c>
      <c r="AA72" s="92">
        <v>0</v>
      </c>
      <c r="AB72" s="102">
        <v>0</v>
      </c>
      <c r="AC72" s="114"/>
      <c r="AD72" s="81"/>
      <c r="AE72" s="83"/>
      <c r="AF72" s="82"/>
      <c r="AG72" s="119"/>
      <c r="AH72" s="79">
        <v>3</v>
      </c>
      <c r="AI72" s="74">
        <v>0</v>
      </c>
      <c r="AJ72" s="75">
        <v>0</v>
      </c>
      <c r="AK72" s="123"/>
      <c r="AL72" s="124"/>
      <c r="AM72" s="124"/>
      <c r="AN72" s="124"/>
      <c r="AO72" s="124"/>
      <c r="AP72" s="124"/>
      <c r="AQ72" s="124"/>
      <c r="AR72" s="124"/>
      <c r="AS72" s="124"/>
      <c r="AT72" s="124"/>
      <c r="AU72" s="124"/>
      <c r="AV72" s="124"/>
      <c r="AW72" s="124"/>
      <c r="AX72" s="125"/>
    </row>
    <row r="73" spans="1:50" s="40" customFormat="1" ht="25" customHeight="1" thickBot="1" x14ac:dyDescent="0.35">
      <c r="A73" s="42">
        <v>57</v>
      </c>
      <c r="B73" s="66">
        <v>508104</v>
      </c>
      <c r="C73" s="67" t="s">
        <v>217</v>
      </c>
      <c r="D73" s="91">
        <v>42698</v>
      </c>
      <c r="E73" s="90" t="s">
        <v>15</v>
      </c>
      <c r="F73" s="68" t="s">
        <v>21</v>
      </c>
      <c r="G73" s="69">
        <v>349204309</v>
      </c>
      <c r="H73" s="108"/>
      <c r="I73" s="109"/>
      <c r="J73" s="70" t="s">
        <v>16</v>
      </c>
      <c r="K73" s="66" t="s">
        <v>229</v>
      </c>
      <c r="L73" s="71">
        <v>102200000</v>
      </c>
      <c r="M73" s="92">
        <v>102200000</v>
      </c>
      <c r="N73" s="72">
        <v>0</v>
      </c>
      <c r="O73" s="91">
        <v>44896</v>
      </c>
      <c r="P73" s="72">
        <v>44927</v>
      </c>
      <c r="Q73" s="91">
        <v>46722</v>
      </c>
      <c r="R73" s="53">
        <f t="shared" si="0"/>
        <v>5.0027397260273974</v>
      </c>
      <c r="S73" s="72"/>
      <c r="T73" s="73">
        <v>0.5</v>
      </c>
      <c r="U73" s="71"/>
      <c r="V73" s="94">
        <v>0.09</v>
      </c>
      <c r="W73" s="97">
        <v>88874158</v>
      </c>
      <c r="X73" s="101">
        <v>0</v>
      </c>
      <c r="Y73" s="98">
        <f t="shared" si="1"/>
        <v>44437079</v>
      </c>
      <c r="Z73" s="100" t="s">
        <v>7</v>
      </c>
      <c r="AA73" s="92">
        <v>0</v>
      </c>
      <c r="AB73" s="102">
        <v>0</v>
      </c>
      <c r="AC73" s="114"/>
      <c r="AD73" s="81"/>
      <c r="AE73" s="83"/>
      <c r="AF73" s="82"/>
      <c r="AG73" s="119"/>
      <c r="AH73" s="79">
        <v>23</v>
      </c>
      <c r="AI73" s="74">
        <v>0</v>
      </c>
      <c r="AJ73" s="75">
        <v>0</v>
      </c>
      <c r="AK73" s="123"/>
      <c r="AL73" s="124"/>
      <c r="AM73" s="124"/>
      <c r="AN73" s="124"/>
      <c r="AO73" s="124"/>
      <c r="AP73" s="124"/>
      <c r="AQ73" s="124"/>
      <c r="AR73" s="124"/>
      <c r="AS73" s="124"/>
      <c r="AT73" s="124"/>
      <c r="AU73" s="124"/>
      <c r="AV73" s="124"/>
      <c r="AW73" s="124"/>
      <c r="AX73" s="125"/>
    </row>
    <row r="74" spans="1:50" s="40" customFormat="1" ht="25" customHeight="1" thickBot="1" x14ac:dyDescent="0.35">
      <c r="A74" s="42">
        <v>58</v>
      </c>
      <c r="B74" s="66">
        <v>508572</v>
      </c>
      <c r="C74" s="67" t="s">
        <v>218</v>
      </c>
      <c r="D74" s="91">
        <v>41610</v>
      </c>
      <c r="E74" s="90" t="s">
        <v>15</v>
      </c>
      <c r="F74" s="68" t="s">
        <v>30</v>
      </c>
      <c r="G74" s="69">
        <v>80974800</v>
      </c>
      <c r="H74" s="108"/>
      <c r="I74" s="109"/>
      <c r="J74" s="70" t="s">
        <v>12</v>
      </c>
      <c r="K74" s="66" t="s">
        <v>230</v>
      </c>
      <c r="L74" s="71">
        <v>15000000</v>
      </c>
      <c r="M74" s="92">
        <v>15000000</v>
      </c>
      <c r="N74" s="72">
        <v>44908</v>
      </c>
      <c r="O74" s="91">
        <v>44911</v>
      </c>
      <c r="P74" s="72">
        <v>44942</v>
      </c>
      <c r="Q74" s="91">
        <v>45642</v>
      </c>
      <c r="R74" s="53">
        <f t="shared" si="0"/>
        <v>2.0027397260273974</v>
      </c>
      <c r="S74" s="72"/>
      <c r="T74" s="73">
        <v>0.5</v>
      </c>
      <c r="U74" s="71">
        <v>15000000</v>
      </c>
      <c r="V74" s="94">
        <v>0.12</v>
      </c>
      <c r="W74" s="97">
        <v>8048367</v>
      </c>
      <c r="X74" s="101">
        <v>1450882</v>
      </c>
      <c r="Y74" s="98">
        <f t="shared" si="1"/>
        <v>4024183.5</v>
      </c>
      <c r="Z74" s="100" t="s">
        <v>4</v>
      </c>
      <c r="AA74" s="92">
        <v>45</v>
      </c>
      <c r="AB74" s="102">
        <v>0</v>
      </c>
      <c r="AC74" s="114"/>
      <c r="AD74" s="81"/>
      <c r="AE74" s="83"/>
      <c r="AF74" s="82"/>
      <c r="AG74" s="119"/>
      <c r="AH74" s="79">
        <v>0</v>
      </c>
      <c r="AI74" s="74">
        <v>0</v>
      </c>
      <c r="AJ74" s="75">
        <v>0</v>
      </c>
      <c r="AK74" s="123"/>
      <c r="AL74" s="124"/>
      <c r="AM74" s="124"/>
      <c r="AN74" s="124"/>
      <c r="AO74" s="124"/>
      <c r="AP74" s="124"/>
      <c r="AQ74" s="124"/>
      <c r="AR74" s="124"/>
      <c r="AS74" s="124"/>
      <c r="AT74" s="124"/>
      <c r="AU74" s="124"/>
      <c r="AV74" s="124"/>
      <c r="AW74" s="124"/>
      <c r="AX74" s="125"/>
    </row>
    <row r="75" spans="1:50" s="40" customFormat="1" ht="25" customHeight="1" thickBot="1" x14ac:dyDescent="0.35">
      <c r="A75" s="42">
        <v>59</v>
      </c>
      <c r="B75" s="66">
        <v>508675</v>
      </c>
      <c r="C75" s="67" t="s">
        <v>219</v>
      </c>
      <c r="D75" s="91">
        <v>39412</v>
      </c>
      <c r="E75" s="90" t="s">
        <v>15</v>
      </c>
      <c r="F75" s="68" t="s">
        <v>220</v>
      </c>
      <c r="G75" s="69">
        <v>612864700</v>
      </c>
      <c r="H75" s="108"/>
      <c r="I75" s="109"/>
      <c r="J75" s="70" t="s">
        <v>16</v>
      </c>
      <c r="K75" s="66" t="s">
        <v>230</v>
      </c>
      <c r="L75" s="71">
        <v>25000000</v>
      </c>
      <c r="M75" s="92">
        <v>25000000</v>
      </c>
      <c r="N75" s="72">
        <v>44918</v>
      </c>
      <c r="O75" s="91">
        <v>44918</v>
      </c>
      <c r="P75" s="72">
        <v>44949</v>
      </c>
      <c r="Q75" s="91">
        <v>45283</v>
      </c>
      <c r="R75" s="53">
        <f t="shared" si="0"/>
        <v>1</v>
      </c>
      <c r="S75" s="72"/>
      <c r="T75" s="73">
        <v>0.5</v>
      </c>
      <c r="U75" s="71">
        <v>25000000</v>
      </c>
      <c r="V75" s="94">
        <v>0.09</v>
      </c>
      <c r="W75" s="97">
        <v>13197818</v>
      </c>
      <c r="X75" s="101">
        <v>0</v>
      </c>
      <c r="Y75" s="98">
        <f t="shared" si="1"/>
        <v>6598909</v>
      </c>
      <c r="Z75" s="100" t="s">
        <v>7</v>
      </c>
      <c r="AA75" s="92">
        <v>0</v>
      </c>
      <c r="AB75" s="102">
        <v>0</v>
      </c>
      <c r="AC75" s="114"/>
      <c r="AD75" s="81"/>
      <c r="AE75" s="83"/>
      <c r="AF75" s="82"/>
      <c r="AG75" s="119"/>
      <c r="AH75" s="79">
        <v>16</v>
      </c>
      <c r="AI75" s="74">
        <v>0</v>
      </c>
      <c r="AJ75" s="75">
        <v>0</v>
      </c>
      <c r="AK75" s="123"/>
      <c r="AL75" s="124"/>
      <c r="AM75" s="124"/>
      <c r="AN75" s="124"/>
      <c r="AO75" s="124"/>
      <c r="AP75" s="124"/>
      <c r="AQ75" s="124"/>
      <c r="AR75" s="124"/>
      <c r="AS75" s="124"/>
      <c r="AT75" s="124"/>
      <c r="AU75" s="124"/>
      <c r="AV75" s="124"/>
      <c r="AW75" s="124"/>
      <c r="AX75" s="125"/>
    </row>
    <row r="76" spans="1:50" s="40" customFormat="1" ht="25" customHeight="1" thickBot="1" x14ac:dyDescent="0.35">
      <c r="A76" s="42">
        <v>60</v>
      </c>
      <c r="B76" s="66">
        <v>507861</v>
      </c>
      <c r="C76" s="67" t="s">
        <v>221</v>
      </c>
      <c r="D76" s="91">
        <v>37564</v>
      </c>
      <c r="E76" s="90" t="s">
        <v>8</v>
      </c>
      <c r="F76" s="68" t="s">
        <v>222</v>
      </c>
      <c r="G76" s="69">
        <v>3600000000</v>
      </c>
      <c r="H76" s="108"/>
      <c r="I76" s="109"/>
      <c r="J76" s="70" t="s">
        <v>16</v>
      </c>
      <c r="K76" s="66" t="s">
        <v>231</v>
      </c>
      <c r="L76" s="71">
        <v>196700000</v>
      </c>
      <c r="M76" s="92">
        <v>196700000</v>
      </c>
      <c r="N76" s="72">
        <v>44627</v>
      </c>
      <c r="O76" s="91">
        <v>44903</v>
      </c>
      <c r="P76" s="72">
        <v>44941</v>
      </c>
      <c r="Q76" s="91">
        <v>46006</v>
      </c>
      <c r="R76" s="53">
        <f t="shared" si="0"/>
        <v>3.021917808219178</v>
      </c>
      <c r="S76" s="72"/>
      <c r="T76" s="73">
        <v>0.5</v>
      </c>
      <c r="U76" s="71"/>
      <c r="V76" s="94">
        <v>7.0000000000000007E-2</v>
      </c>
      <c r="W76" s="97">
        <v>136406379</v>
      </c>
      <c r="X76" s="101">
        <v>0</v>
      </c>
      <c r="Y76" s="98">
        <f t="shared" si="1"/>
        <v>68203189.5</v>
      </c>
      <c r="Z76" s="100" t="s">
        <v>7</v>
      </c>
      <c r="AA76" s="92">
        <v>0</v>
      </c>
      <c r="AB76" s="102">
        <v>0</v>
      </c>
      <c r="AC76" s="114"/>
      <c r="AD76" s="81"/>
      <c r="AE76" s="83"/>
      <c r="AF76" s="82"/>
      <c r="AG76" s="119"/>
      <c r="AH76" s="79">
        <v>11</v>
      </c>
      <c r="AI76" s="74">
        <v>0</v>
      </c>
      <c r="AJ76" s="75">
        <v>0</v>
      </c>
      <c r="AK76" s="123"/>
      <c r="AL76" s="124"/>
      <c r="AM76" s="124"/>
      <c r="AN76" s="124"/>
      <c r="AO76" s="124"/>
      <c r="AP76" s="124"/>
      <c r="AQ76" s="124"/>
      <c r="AR76" s="124"/>
      <c r="AS76" s="124"/>
      <c r="AT76" s="124"/>
      <c r="AU76" s="124"/>
      <c r="AV76" s="124"/>
      <c r="AW76" s="124"/>
      <c r="AX76" s="125"/>
    </row>
    <row r="77" spans="1:50" s="40" customFormat="1" ht="25" customHeight="1" thickBot="1" x14ac:dyDescent="0.35">
      <c r="A77" s="42">
        <v>61</v>
      </c>
      <c r="B77" s="66" t="s">
        <v>262</v>
      </c>
      <c r="C77" s="67" t="s">
        <v>128</v>
      </c>
      <c r="D77" s="91">
        <v>41982</v>
      </c>
      <c r="E77" s="90" t="s">
        <v>8</v>
      </c>
      <c r="F77" s="68" t="s">
        <v>22</v>
      </c>
      <c r="G77" s="69">
        <v>1690000000</v>
      </c>
      <c r="H77" s="108"/>
      <c r="I77" s="109"/>
      <c r="J77" s="70" t="s">
        <v>16</v>
      </c>
      <c r="K77" s="66" t="s">
        <v>228</v>
      </c>
      <c r="L77" s="71">
        <v>196700000</v>
      </c>
      <c r="M77" s="92">
        <v>196700000</v>
      </c>
      <c r="N77" s="72">
        <v>44924</v>
      </c>
      <c r="O77" s="91">
        <v>45030</v>
      </c>
      <c r="P77" s="72">
        <v>45031</v>
      </c>
      <c r="Q77" s="91">
        <v>46857</v>
      </c>
      <c r="R77" s="53">
        <f t="shared" si="0"/>
        <v>5.0054794520547947</v>
      </c>
      <c r="S77" s="72"/>
      <c r="T77" s="73">
        <v>0.5</v>
      </c>
      <c r="U77" s="71"/>
      <c r="V77" s="94">
        <v>0.09</v>
      </c>
      <c r="W77" s="97">
        <v>48343996</v>
      </c>
      <c r="X77" s="101">
        <v>0</v>
      </c>
      <c r="Y77" s="98">
        <f t="shared" si="1"/>
        <v>24171998</v>
      </c>
      <c r="Z77" s="100" t="s">
        <v>7</v>
      </c>
      <c r="AA77" s="92">
        <v>0</v>
      </c>
      <c r="AB77" s="102">
        <v>0</v>
      </c>
      <c r="AC77" s="114"/>
      <c r="AD77" s="81"/>
      <c r="AE77" s="83"/>
      <c r="AF77" s="82"/>
      <c r="AG77" s="119"/>
      <c r="AH77" s="79">
        <v>16</v>
      </c>
      <c r="AI77" s="74">
        <v>0</v>
      </c>
      <c r="AJ77" s="75">
        <v>0</v>
      </c>
      <c r="AK77" s="123"/>
      <c r="AL77" s="124"/>
      <c r="AM77" s="124"/>
      <c r="AN77" s="124"/>
      <c r="AO77" s="124"/>
      <c r="AP77" s="124"/>
      <c r="AQ77" s="124"/>
      <c r="AR77" s="124"/>
      <c r="AS77" s="124"/>
      <c r="AT77" s="124"/>
      <c r="AU77" s="124"/>
      <c r="AV77" s="124"/>
      <c r="AW77" s="124"/>
      <c r="AX77" s="125"/>
    </row>
    <row r="78" spans="1:50" s="40" customFormat="1" ht="25" customHeight="1" thickBot="1" x14ac:dyDescent="0.35">
      <c r="A78" s="42">
        <v>62</v>
      </c>
      <c r="B78" s="66" t="s">
        <v>234</v>
      </c>
      <c r="C78" s="67" t="s">
        <v>235</v>
      </c>
      <c r="D78" s="91">
        <v>41131</v>
      </c>
      <c r="E78" s="90" t="s">
        <v>10</v>
      </c>
      <c r="F78" s="68" t="s">
        <v>29</v>
      </c>
      <c r="G78" s="69">
        <v>325000000</v>
      </c>
      <c r="H78" s="108"/>
      <c r="I78" s="109"/>
      <c r="J78" s="70" t="s">
        <v>12</v>
      </c>
      <c r="K78" s="66" t="s">
        <v>236</v>
      </c>
      <c r="L78" s="71">
        <v>86000000</v>
      </c>
      <c r="M78" s="92">
        <v>86000000</v>
      </c>
      <c r="N78" s="72">
        <v>44858.393750000003</v>
      </c>
      <c r="O78" s="91">
        <v>44882</v>
      </c>
      <c r="P78" s="72">
        <v>44912</v>
      </c>
      <c r="Q78" s="91">
        <v>46343</v>
      </c>
      <c r="R78" s="53">
        <f t="shared" si="0"/>
        <v>4.0027397260273974</v>
      </c>
      <c r="S78" s="72"/>
      <c r="T78" s="73">
        <v>0.5</v>
      </c>
      <c r="U78" s="71">
        <v>43000000</v>
      </c>
      <c r="V78" s="94">
        <v>0.09</v>
      </c>
      <c r="W78" s="97">
        <v>66363362</v>
      </c>
      <c r="X78" s="101">
        <v>0</v>
      </c>
      <c r="Y78" s="98">
        <f t="shared" si="1"/>
        <v>33181681</v>
      </c>
      <c r="Z78" s="100" t="s">
        <v>7</v>
      </c>
      <c r="AA78" s="92">
        <v>0</v>
      </c>
      <c r="AB78" s="102">
        <v>0</v>
      </c>
      <c r="AC78" s="114"/>
      <c r="AD78" s="81"/>
      <c r="AE78" s="83"/>
      <c r="AF78" s="82"/>
      <c r="AG78" s="119"/>
      <c r="AH78" s="79">
        <v>15</v>
      </c>
      <c r="AI78" s="74">
        <v>0</v>
      </c>
      <c r="AJ78" s="75">
        <v>0</v>
      </c>
      <c r="AK78" s="123"/>
      <c r="AL78" s="124"/>
      <c r="AM78" s="124"/>
      <c r="AN78" s="124"/>
      <c r="AO78" s="124"/>
      <c r="AP78" s="124"/>
      <c r="AQ78" s="124"/>
      <c r="AR78" s="124"/>
      <c r="AS78" s="124"/>
      <c r="AT78" s="124"/>
      <c r="AU78" s="124"/>
      <c r="AV78" s="124"/>
      <c r="AW78" s="124"/>
      <c r="AX78" s="125"/>
    </row>
    <row r="79" spans="1:50" s="40" customFormat="1" ht="25" customHeight="1" thickBot="1" x14ac:dyDescent="0.35">
      <c r="A79" s="42">
        <v>63</v>
      </c>
      <c r="B79" s="66" t="s">
        <v>309</v>
      </c>
      <c r="C79" s="67" t="s">
        <v>237</v>
      </c>
      <c r="D79" s="91">
        <v>38231</v>
      </c>
      <c r="E79" s="90" t="s">
        <v>8</v>
      </c>
      <c r="F79" s="68" t="s">
        <v>30</v>
      </c>
      <c r="G79" s="69">
        <v>171000000</v>
      </c>
      <c r="H79" s="108"/>
      <c r="I79" s="109"/>
      <c r="J79" s="70" t="s">
        <v>12</v>
      </c>
      <c r="K79" s="66"/>
      <c r="L79" s="71">
        <v>40000000</v>
      </c>
      <c r="M79" s="92">
        <v>40000000</v>
      </c>
      <c r="N79" s="72">
        <v>44687</v>
      </c>
      <c r="O79" s="91">
        <v>44717</v>
      </c>
      <c r="P79" s="72">
        <v>44757</v>
      </c>
      <c r="Q79" s="91">
        <v>46583</v>
      </c>
      <c r="R79" s="53">
        <f t="shared" si="0"/>
        <v>5.1123287671232873</v>
      </c>
      <c r="S79" s="72"/>
      <c r="T79" s="73">
        <v>0.5</v>
      </c>
      <c r="U79" s="71">
        <v>15000000</v>
      </c>
      <c r="V79" s="94">
        <v>0.08</v>
      </c>
      <c r="W79" s="97">
        <v>22548759</v>
      </c>
      <c r="X79" s="101">
        <v>0</v>
      </c>
      <c r="Y79" s="98">
        <f t="shared" si="1"/>
        <v>11274379.5</v>
      </c>
      <c r="Z79" s="100" t="s">
        <v>7</v>
      </c>
      <c r="AA79" s="92">
        <v>0</v>
      </c>
      <c r="AB79" s="102">
        <v>0</v>
      </c>
      <c r="AC79" s="114"/>
      <c r="AD79" s="81"/>
      <c r="AE79" s="83"/>
      <c r="AF79" s="82"/>
      <c r="AG79" s="119"/>
      <c r="AH79" s="79">
        <v>9</v>
      </c>
      <c r="AI79" s="74">
        <v>0</v>
      </c>
      <c r="AJ79" s="75">
        <v>0</v>
      </c>
      <c r="AK79" s="123"/>
      <c r="AL79" s="124"/>
      <c r="AM79" s="124"/>
      <c r="AN79" s="124"/>
      <c r="AO79" s="124"/>
      <c r="AP79" s="124"/>
      <c r="AQ79" s="124"/>
      <c r="AR79" s="124"/>
      <c r="AS79" s="124"/>
      <c r="AT79" s="124"/>
      <c r="AU79" s="124"/>
      <c r="AV79" s="124"/>
      <c r="AW79" s="124"/>
      <c r="AX79" s="125"/>
    </row>
    <row r="80" spans="1:50" s="40" customFormat="1" ht="25" customHeight="1" thickBot="1" x14ac:dyDescent="0.35">
      <c r="A80" s="42">
        <v>64</v>
      </c>
      <c r="B80" s="66" t="s">
        <v>238</v>
      </c>
      <c r="C80" s="67" t="s">
        <v>239</v>
      </c>
      <c r="D80" s="91">
        <v>42901</v>
      </c>
      <c r="E80" s="90" t="s">
        <v>15</v>
      </c>
      <c r="F80" s="68" t="s">
        <v>23</v>
      </c>
      <c r="G80" s="69">
        <v>93000000</v>
      </c>
      <c r="H80" s="108"/>
      <c r="I80" s="109"/>
      <c r="J80" s="70"/>
      <c r="K80" s="66"/>
      <c r="L80" s="71">
        <v>30900000</v>
      </c>
      <c r="M80" s="92">
        <v>30900000</v>
      </c>
      <c r="N80" s="72">
        <v>44698</v>
      </c>
      <c r="O80" s="91">
        <v>44818</v>
      </c>
      <c r="P80" s="72">
        <v>44819</v>
      </c>
      <c r="Q80" s="91">
        <v>46645</v>
      </c>
      <c r="R80" s="53">
        <f t="shared" si="0"/>
        <v>5.0054794520547947</v>
      </c>
      <c r="S80" s="72"/>
      <c r="T80" s="73">
        <v>0.5</v>
      </c>
      <c r="U80" s="71">
        <v>15450000</v>
      </c>
      <c r="V80" s="94"/>
      <c r="W80" s="97">
        <v>15969291</v>
      </c>
      <c r="X80" s="101">
        <v>0</v>
      </c>
      <c r="Y80" s="98">
        <f t="shared" si="1"/>
        <v>7984645.5</v>
      </c>
      <c r="Z80" s="100" t="s">
        <v>7</v>
      </c>
      <c r="AA80" s="92">
        <v>0</v>
      </c>
      <c r="AB80" s="102">
        <v>0</v>
      </c>
      <c r="AC80" s="114"/>
      <c r="AD80" s="81"/>
      <c r="AE80" s="83"/>
      <c r="AF80" s="82"/>
      <c r="AG80" s="119"/>
      <c r="AH80" s="79">
        <v>2</v>
      </c>
      <c r="AI80" s="74">
        <v>0</v>
      </c>
      <c r="AJ80" s="75"/>
      <c r="AK80" s="123"/>
      <c r="AL80" s="124"/>
      <c r="AM80" s="124"/>
      <c r="AN80" s="124"/>
      <c r="AO80" s="124"/>
      <c r="AP80" s="124"/>
      <c r="AQ80" s="124"/>
      <c r="AR80" s="124"/>
      <c r="AS80" s="124"/>
      <c r="AT80" s="124"/>
      <c r="AU80" s="124"/>
      <c r="AV80" s="124"/>
      <c r="AW80" s="124"/>
      <c r="AX80" s="125"/>
    </row>
    <row r="81" spans="1:50" s="40" customFormat="1" ht="25" customHeight="1" thickBot="1" x14ac:dyDescent="0.35">
      <c r="A81" s="42">
        <v>65</v>
      </c>
      <c r="B81" s="66">
        <v>497706</v>
      </c>
      <c r="C81" s="67" t="s">
        <v>240</v>
      </c>
      <c r="D81" s="91">
        <v>43523</v>
      </c>
      <c r="E81" s="90" t="s">
        <v>8</v>
      </c>
      <c r="F81" s="68" t="s">
        <v>23</v>
      </c>
      <c r="G81" s="69">
        <v>89000000</v>
      </c>
      <c r="H81" s="108"/>
      <c r="I81" s="109"/>
      <c r="J81" s="70"/>
      <c r="K81" s="66"/>
      <c r="L81" s="71">
        <v>15000000</v>
      </c>
      <c r="M81" s="92">
        <v>15000000</v>
      </c>
      <c r="N81" s="72">
        <v>44686</v>
      </c>
      <c r="O81" s="91">
        <v>44686</v>
      </c>
      <c r="P81" s="72">
        <v>44717</v>
      </c>
      <c r="Q81" s="91">
        <v>45782</v>
      </c>
      <c r="R81" s="53">
        <f t="shared" si="0"/>
        <v>3.0027397260273974</v>
      </c>
      <c r="S81" s="72"/>
      <c r="T81" s="73">
        <v>0.5</v>
      </c>
      <c r="U81" s="71">
        <v>7500000</v>
      </c>
      <c r="V81" s="94">
        <v>0.09</v>
      </c>
      <c r="W81" s="97">
        <v>7710570</v>
      </c>
      <c r="X81" s="101">
        <v>0</v>
      </c>
      <c r="Y81" s="98">
        <f t="shared" si="1"/>
        <v>3855285</v>
      </c>
      <c r="Z81" s="100" t="s">
        <v>7</v>
      </c>
      <c r="AA81" s="92">
        <v>0</v>
      </c>
      <c r="AB81" s="102">
        <v>0</v>
      </c>
      <c r="AC81" s="114"/>
      <c r="AD81" s="81"/>
      <c r="AE81" s="83"/>
      <c r="AF81" s="82"/>
      <c r="AG81" s="119"/>
      <c r="AH81" s="79">
        <v>8</v>
      </c>
      <c r="AI81" s="74">
        <v>0</v>
      </c>
      <c r="AJ81" s="75"/>
      <c r="AK81" s="123"/>
      <c r="AL81" s="124"/>
      <c r="AM81" s="124"/>
      <c r="AN81" s="124"/>
      <c r="AO81" s="124"/>
      <c r="AP81" s="124"/>
      <c r="AQ81" s="124"/>
      <c r="AR81" s="124"/>
      <c r="AS81" s="124"/>
      <c r="AT81" s="124"/>
      <c r="AU81" s="124"/>
      <c r="AV81" s="124"/>
      <c r="AW81" s="124"/>
      <c r="AX81" s="125"/>
    </row>
    <row r="82" spans="1:50" s="40" customFormat="1" ht="25" customHeight="1" thickBot="1" x14ac:dyDescent="0.35">
      <c r="A82" s="42">
        <v>66</v>
      </c>
      <c r="B82" s="66">
        <v>509151</v>
      </c>
      <c r="C82" s="67" t="s">
        <v>241</v>
      </c>
      <c r="D82" s="91">
        <v>44055</v>
      </c>
      <c r="E82" s="90" t="s">
        <v>8</v>
      </c>
      <c r="F82" s="68" t="s">
        <v>22</v>
      </c>
      <c r="G82" s="69">
        <v>4858000000</v>
      </c>
      <c r="H82" s="108"/>
      <c r="I82" s="109"/>
      <c r="J82" s="70" t="s">
        <v>12</v>
      </c>
      <c r="K82" s="66"/>
      <c r="L82" s="71">
        <v>100000000</v>
      </c>
      <c r="M82" s="92">
        <v>100000000</v>
      </c>
      <c r="N82" s="72">
        <v>44932</v>
      </c>
      <c r="O82" s="91">
        <v>44932</v>
      </c>
      <c r="P82" s="72">
        <v>44963</v>
      </c>
      <c r="Q82" s="91">
        <v>45297</v>
      </c>
      <c r="R82" s="53">
        <f t="shared" ref="R82:R145" si="2">IF(Q82="","",DATEDIF(O82,Q82,"d")/365)</f>
        <v>1</v>
      </c>
      <c r="S82" s="72"/>
      <c r="T82" s="73">
        <v>0.5</v>
      </c>
      <c r="U82" s="71">
        <v>50000000</v>
      </c>
      <c r="V82" s="94">
        <v>7.0000000000000007E-2</v>
      </c>
      <c r="W82" s="97">
        <v>8648607</v>
      </c>
      <c r="X82" s="101">
        <v>0</v>
      </c>
      <c r="Y82" s="98">
        <f t="shared" ref="Y82:Y145" si="3">IF(W82="","",W82*$I$7)</f>
        <v>4324303.5</v>
      </c>
      <c r="Z82" s="100" t="s">
        <v>7</v>
      </c>
      <c r="AA82" s="92">
        <v>0</v>
      </c>
      <c r="AB82" s="102">
        <v>0</v>
      </c>
      <c r="AC82" s="114"/>
      <c r="AD82" s="81"/>
      <c r="AE82" s="83"/>
      <c r="AF82" s="82"/>
      <c r="AG82" s="119"/>
      <c r="AH82" s="79">
        <v>35</v>
      </c>
      <c r="AI82" s="74">
        <v>0</v>
      </c>
      <c r="AJ82" s="75"/>
      <c r="AK82" s="123"/>
      <c r="AL82" s="124"/>
      <c r="AM82" s="124"/>
      <c r="AN82" s="124"/>
      <c r="AO82" s="124"/>
      <c r="AP82" s="124"/>
      <c r="AQ82" s="124"/>
      <c r="AR82" s="124"/>
      <c r="AS82" s="124"/>
      <c r="AT82" s="124"/>
      <c r="AU82" s="124"/>
      <c r="AV82" s="124"/>
      <c r="AW82" s="124"/>
      <c r="AX82" s="125"/>
    </row>
    <row r="83" spans="1:50" s="40" customFormat="1" ht="25" customHeight="1" thickBot="1" x14ac:dyDescent="0.35">
      <c r="A83" s="42">
        <v>67</v>
      </c>
      <c r="B83" s="66">
        <v>511056</v>
      </c>
      <c r="C83" s="67" t="s">
        <v>242</v>
      </c>
      <c r="D83" s="91">
        <v>41942</v>
      </c>
      <c r="E83" s="90" t="s">
        <v>8</v>
      </c>
      <c r="F83" s="68" t="s">
        <v>30</v>
      </c>
      <c r="G83" s="69">
        <v>80000000</v>
      </c>
      <c r="H83" s="108"/>
      <c r="I83" s="109"/>
      <c r="J83" s="70" t="s">
        <v>12</v>
      </c>
      <c r="K83" s="66"/>
      <c r="L83" s="71">
        <v>20000000</v>
      </c>
      <c r="M83" s="92">
        <v>20000000</v>
      </c>
      <c r="N83" s="72">
        <v>44970</v>
      </c>
      <c r="O83" s="91">
        <v>44970</v>
      </c>
      <c r="P83" s="72">
        <v>45335</v>
      </c>
      <c r="Q83" s="91">
        <v>45701</v>
      </c>
      <c r="R83" s="53">
        <f t="shared" si="2"/>
        <v>2.0027397260273974</v>
      </c>
      <c r="S83" s="72"/>
      <c r="T83" s="73">
        <v>0.5</v>
      </c>
      <c r="U83" s="71">
        <v>10000000</v>
      </c>
      <c r="V83" s="94">
        <v>0.11</v>
      </c>
      <c r="W83" s="97">
        <v>3523501</v>
      </c>
      <c r="X83" s="101">
        <v>0</v>
      </c>
      <c r="Y83" s="98">
        <f t="shared" si="3"/>
        <v>1761750.5</v>
      </c>
      <c r="Z83" s="100" t="s">
        <v>7</v>
      </c>
      <c r="AA83" s="92">
        <v>0</v>
      </c>
      <c r="AB83" s="102">
        <v>0</v>
      </c>
      <c r="AC83" s="114"/>
      <c r="AD83" s="81"/>
      <c r="AE83" s="83"/>
      <c r="AF83" s="82"/>
      <c r="AG83" s="119"/>
      <c r="AH83" s="79">
        <v>22</v>
      </c>
      <c r="AI83" s="74">
        <v>0</v>
      </c>
      <c r="AJ83" s="75"/>
      <c r="AK83" s="123"/>
      <c r="AL83" s="124"/>
      <c r="AM83" s="124"/>
      <c r="AN83" s="124"/>
      <c r="AO83" s="124"/>
      <c r="AP83" s="124"/>
      <c r="AQ83" s="124"/>
      <c r="AR83" s="124"/>
      <c r="AS83" s="124"/>
      <c r="AT83" s="124"/>
      <c r="AU83" s="124"/>
      <c r="AV83" s="124"/>
      <c r="AW83" s="124"/>
      <c r="AX83" s="125"/>
    </row>
    <row r="84" spans="1:50" s="40" customFormat="1" ht="25" customHeight="1" thickBot="1" x14ac:dyDescent="0.35">
      <c r="A84" s="42">
        <v>68</v>
      </c>
      <c r="B84" s="66" t="s">
        <v>243</v>
      </c>
      <c r="C84" s="67" t="s">
        <v>244</v>
      </c>
      <c r="D84" s="91">
        <v>38825</v>
      </c>
      <c r="E84" s="90" t="s">
        <v>8</v>
      </c>
      <c r="F84" s="68" t="s">
        <v>23</v>
      </c>
      <c r="G84" s="69">
        <v>272000000</v>
      </c>
      <c r="H84" s="108"/>
      <c r="I84" s="109"/>
      <c r="J84" s="70" t="s">
        <v>12</v>
      </c>
      <c r="K84" s="66"/>
      <c r="L84" s="71">
        <v>186000000</v>
      </c>
      <c r="M84" s="92">
        <v>186000000</v>
      </c>
      <c r="N84" s="72">
        <v>0</v>
      </c>
      <c r="O84" s="91"/>
      <c r="P84" s="72"/>
      <c r="Q84" s="91"/>
      <c r="R84" s="53" t="str">
        <f t="shared" si="2"/>
        <v/>
      </c>
      <c r="S84" s="72"/>
      <c r="T84" s="73">
        <v>0.5</v>
      </c>
      <c r="U84" s="71">
        <v>93000000</v>
      </c>
      <c r="V84" s="94"/>
      <c r="W84" s="97"/>
      <c r="X84" s="101"/>
      <c r="Y84" s="98" t="str">
        <f t="shared" si="3"/>
        <v/>
      </c>
      <c r="Z84" s="100"/>
      <c r="AA84" s="92"/>
      <c r="AB84" s="102"/>
      <c r="AC84" s="114"/>
      <c r="AD84" s="81"/>
      <c r="AE84" s="83"/>
      <c r="AF84" s="82"/>
      <c r="AG84" s="119"/>
      <c r="AH84" s="79">
        <v>14</v>
      </c>
      <c r="AI84" s="74">
        <v>0</v>
      </c>
      <c r="AJ84" s="75">
        <v>0</v>
      </c>
      <c r="AK84" s="123"/>
      <c r="AL84" s="124"/>
      <c r="AM84" s="124"/>
      <c r="AN84" s="124"/>
      <c r="AO84" s="124"/>
      <c r="AP84" s="124"/>
      <c r="AQ84" s="124"/>
      <c r="AR84" s="124"/>
      <c r="AS84" s="124"/>
      <c r="AT84" s="124"/>
      <c r="AU84" s="124"/>
      <c r="AV84" s="124"/>
      <c r="AW84" s="124"/>
      <c r="AX84" s="125"/>
    </row>
    <row r="85" spans="1:50" s="40" customFormat="1" ht="25" customHeight="1" thickBot="1" x14ac:dyDescent="0.35">
      <c r="A85" s="42">
        <v>69</v>
      </c>
      <c r="B85" s="66" t="s">
        <v>305</v>
      </c>
      <c r="C85" s="67" t="s">
        <v>245</v>
      </c>
      <c r="D85" s="91">
        <v>40665</v>
      </c>
      <c r="E85" s="90" t="s">
        <v>15</v>
      </c>
      <c r="F85" s="68" t="s">
        <v>25</v>
      </c>
      <c r="G85" s="69">
        <v>131000000</v>
      </c>
      <c r="H85" s="108"/>
      <c r="I85" s="109"/>
      <c r="J85" s="70" t="s">
        <v>12</v>
      </c>
      <c r="K85" s="66"/>
      <c r="L85" s="71">
        <v>20000000</v>
      </c>
      <c r="M85" s="92">
        <v>20000000</v>
      </c>
      <c r="N85" s="72">
        <v>44925</v>
      </c>
      <c r="O85" s="91">
        <v>44925</v>
      </c>
      <c r="P85" s="72">
        <v>44949</v>
      </c>
      <c r="Q85" s="91">
        <v>46014</v>
      </c>
      <c r="R85" s="53">
        <f t="shared" si="2"/>
        <v>2.9835616438356163</v>
      </c>
      <c r="S85" s="72"/>
      <c r="T85" s="73">
        <v>0.5</v>
      </c>
      <c r="U85" s="71">
        <v>10000000</v>
      </c>
      <c r="V85" s="94">
        <v>9.9900000000000003E-2</v>
      </c>
      <c r="W85" s="97">
        <v>14136037</v>
      </c>
      <c r="X85" s="101">
        <v>0</v>
      </c>
      <c r="Y85" s="98">
        <f t="shared" si="3"/>
        <v>7068018.5</v>
      </c>
      <c r="Z85" s="100" t="s">
        <v>7</v>
      </c>
      <c r="AA85" s="92">
        <v>0</v>
      </c>
      <c r="AB85" s="102">
        <v>0</v>
      </c>
      <c r="AC85" s="114"/>
      <c r="AD85" s="81"/>
      <c r="AE85" s="83"/>
      <c r="AF85" s="82"/>
      <c r="AG85" s="119"/>
      <c r="AH85" s="79">
        <v>2</v>
      </c>
      <c r="AI85" s="74">
        <v>0</v>
      </c>
      <c r="AJ85" s="75"/>
      <c r="AK85" s="123"/>
      <c r="AL85" s="124"/>
      <c r="AM85" s="124"/>
      <c r="AN85" s="124"/>
      <c r="AO85" s="124"/>
      <c r="AP85" s="124"/>
      <c r="AQ85" s="124"/>
      <c r="AR85" s="124"/>
      <c r="AS85" s="124"/>
      <c r="AT85" s="124"/>
      <c r="AU85" s="124"/>
      <c r="AV85" s="124"/>
      <c r="AW85" s="124"/>
      <c r="AX85" s="125"/>
    </row>
    <row r="86" spans="1:50" s="40" customFormat="1" ht="25" customHeight="1" thickBot="1" x14ac:dyDescent="0.35">
      <c r="A86" s="42">
        <v>70</v>
      </c>
      <c r="B86" s="66">
        <v>510576</v>
      </c>
      <c r="C86" s="67" t="s">
        <v>246</v>
      </c>
      <c r="D86" s="91">
        <v>42493</v>
      </c>
      <c r="E86" s="90" t="s">
        <v>15</v>
      </c>
      <c r="F86" s="68" t="s">
        <v>29</v>
      </c>
      <c r="G86" s="69">
        <v>203000000</v>
      </c>
      <c r="H86" s="108"/>
      <c r="I86" s="109"/>
      <c r="J86" s="70"/>
      <c r="K86" s="66"/>
      <c r="L86" s="71">
        <v>25000000</v>
      </c>
      <c r="M86" s="92">
        <v>25000000</v>
      </c>
      <c r="N86" s="72">
        <v>44966</v>
      </c>
      <c r="O86" s="91">
        <v>44994</v>
      </c>
      <c r="P86" s="72">
        <v>44994</v>
      </c>
      <c r="Q86" s="91">
        <v>46062</v>
      </c>
      <c r="R86" s="53">
        <f t="shared" si="2"/>
        <v>2.9260273972602739</v>
      </c>
      <c r="S86" s="72"/>
      <c r="T86" s="73">
        <v>0.5</v>
      </c>
      <c r="U86" s="71">
        <v>12500000</v>
      </c>
      <c r="V86" s="94">
        <v>0.09</v>
      </c>
      <c r="W86" s="97">
        <v>18874002</v>
      </c>
      <c r="X86" s="101">
        <v>0</v>
      </c>
      <c r="Y86" s="98">
        <f t="shared" si="3"/>
        <v>9437001</v>
      </c>
      <c r="Z86" s="100" t="s">
        <v>7</v>
      </c>
      <c r="AA86" s="92">
        <v>0</v>
      </c>
      <c r="AB86" s="102">
        <v>0</v>
      </c>
      <c r="AC86" s="114"/>
      <c r="AD86" s="81"/>
      <c r="AE86" s="83"/>
      <c r="AF86" s="82"/>
      <c r="AG86" s="119"/>
      <c r="AH86" s="79">
        <v>3</v>
      </c>
      <c r="AI86" s="74">
        <v>0</v>
      </c>
      <c r="AJ86" s="75"/>
      <c r="AK86" s="123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5"/>
    </row>
    <row r="87" spans="1:50" s="40" customFormat="1" ht="25" customHeight="1" thickBot="1" x14ac:dyDescent="0.35">
      <c r="A87" s="42">
        <v>71</v>
      </c>
      <c r="B87" s="66" t="s">
        <v>306</v>
      </c>
      <c r="C87" s="67" t="s">
        <v>247</v>
      </c>
      <c r="D87" s="91">
        <v>43410</v>
      </c>
      <c r="E87" s="90" t="s">
        <v>15</v>
      </c>
      <c r="F87" s="68" t="s">
        <v>30</v>
      </c>
      <c r="G87" s="69">
        <v>618000000</v>
      </c>
      <c r="H87" s="108"/>
      <c r="I87" s="109"/>
      <c r="J87" s="70" t="s">
        <v>16</v>
      </c>
      <c r="K87" s="66" t="s">
        <v>168</v>
      </c>
      <c r="L87" s="71">
        <v>96000000</v>
      </c>
      <c r="M87" s="92">
        <v>960000000</v>
      </c>
      <c r="N87" s="72">
        <v>45007</v>
      </c>
      <c r="O87" s="91">
        <v>45007</v>
      </c>
      <c r="P87" s="72">
        <v>45038</v>
      </c>
      <c r="Q87" s="91">
        <v>46834</v>
      </c>
      <c r="R87" s="53">
        <f t="shared" si="2"/>
        <v>5.0054794520547947</v>
      </c>
      <c r="S87" s="72"/>
      <c r="T87" s="73">
        <v>0.5</v>
      </c>
      <c r="U87" s="71">
        <v>48000000</v>
      </c>
      <c r="V87" s="94">
        <v>0.09</v>
      </c>
      <c r="W87" s="97">
        <v>84787431</v>
      </c>
      <c r="X87" s="101">
        <v>0</v>
      </c>
      <c r="Y87" s="98">
        <f t="shared" si="3"/>
        <v>42393715.5</v>
      </c>
      <c r="Z87" s="100" t="s">
        <v>7</v>
      </c>
      <c r="AA87" s="92">
        <v>0</v>
      </c>
      <c r="AB87" s="102">
        <v>0</v>
      </c>
      <c r="AC87" s="114"/>
      <c r="AD87" s="81"/>
      <c r="AE87" s="83"/>
      <c r="AF87" s="82"/>
      <c r="AG87" s="119"/>
      <c r="AH87" s="79">
        <v>0</v>
      </c>
      <c r="AI87" s="74">
        <v>0</v>
      </c>
      <c r="AJ87" s="75">
        <v>0</v>
      </c>
      <c r="AK87" s="123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5"/>
    </row>
    <row r="88" spans="1:50" s="40" customFormat="1" ht="25" customHeight="1" thickBot="1" x14ac:dyDescent="0.35">
      <c r="A88" s="42">
        <v>72</v>
      </c>
      <c r="B88" s="66">
        <v>510252</v>
      </c>
      <c r="C88" s="67" t="s">
        <v>248</v>
      </c>
      <c r="D88" s="91">
        <v>41683</v>
      </c>
      <c r="E88" s="90" t="s">
        <v>15</v>
      </c>
      <c r="F88" s="68" t="s">
        <v>23</v>
      </c>
      <c r="G88" s="69">
        <v>115000000</v>
      </c>
      <c r="H88" s="108"/>
      <c r="I88" s="109"/>
      <c r="J88" s="70"/>
      <c r="K88" s="66"/>
      <c r="L88" s="71">
        <v>44000000</v>
      </c>
      <c r="M88" s="92">
        <v>44000000</v>
      </c>
      <c r="N88" s="72">
        <v>45012</v>
      </c>
      <c r="O88" s="91">
        <v>45012</v>
      </c>
      <c r="P88" s="72">
        <v>45043</v>
      </c>
      <c r="Q88" s="91">
        <v>46108</v>
      </c>
      <c r="R88" s="53">
        <f t="shared" si="2"/>
        <v>3.0027397260273974</v>
      </c>
      <c r="S88" s="72"/>
      <c r="T88" s="73">
        <v>0.5</v>
      </c>
      <c r="U88" s="71">
        <v>22000000</v>
      </c>
      <c r="V88" s="94">
        <v>9.9900000000000003E-2</v>
      </c>
      <c r="W88" s="97">
        <v>34475004</v>
      </c>
      <c r="X88" s="101">
        <v>0</v>
      </c>
      <c r="Y88" s="98">
        <f t="shared" si="3"/>
        <v>17237502</v>
      </c>
      <c r="Z88" s="100" t="s">
        <v>7</v>
      </c>
      <c r="AA88" s="92">
        <v>0</v>
      </c>
      <c r="AB88" s="102">
        <v>0</v>
      </c>
      <c r="AC88" s="114"/>
      <c r="AD88" s="81"/>
      <c r="AE88" s="83"/>
      <c r="AF88" s="82"/>
      <c r="AG88" s="119"/>
      <c r="AH88" s="79">
        <v>12</v>
      </c>
      <c r="AI88" s="74">
        <v>0</v>
      </c>
      <c r="AJ88" s="75"/>
      <c r="AK88" s="123"/>
      <c r="AL88" s="124"/>
      <c r="AM88" s="124"/>
      <c r="AN88" s="124"/>
      <c r="AO88" s="124"/>
      <c r="AP88" s="124"/>
      <c r="AQ88" s="124"/>
      <c r="AR88" s="124"/>
      <c r="AS88" s="124"/>
      <c r="AT88" s="124"/>
      <c r="AU88" s="124"/>
      <c r="AV88" s="124"/>
      <c r="AW88" s="124"/>
      <c r="AX88" s="125"/>
    </row>
    <row r="89" spans="1:50" s="40" customFormat="1" ht="25" customHeight="1" thickBot="1" x14ac:dyDescent="0.35">
      <c r="A89" s="42">
        <v>73</v>
      </c>
      <c r="B89" s="66" t="s">
        <v>311</v>
      </c>
      <c r="C89" s="67" t="s">
        <v>249</v>
      </c>
      <c r="D89" s="91">
        <v>37050</v>
      </c>
      <c r="E89" s="90" t="s">
        <v>8</v>
      </c>
      <c r="F89" s="68" t="s">
        <v>21</v>
      </c>
      <c r="G89" s="69">
        <v>6104821913</v>
      </c>
      <c r="H89" s="108"/>
      <c r="I89" s="109"/>
      <c r="J89" s="70" t="s">
        <v>12</v>
      </c>
      <c r="K89" s="66"/>
      <c r="L89" s="71">
        <v>19000000</v>
      </c>
      <c r="M89" s="92">
        <v>19000000</v>
      </c>
      <c r="N89" s="72">
        <v>0</v>
      </c>
      <c r="O89" s="91"/>
      <c r="P89" s="72"/>
      <c r="Q89" s="91"/>
      <c r="R89" s="53" t="str">
        <f t="shared" si="2"/>
        <v/>
      </c>
      <c r="S89" s="72"/>
      <c r="T89" s="73">
        <v>0.5</v>
      </c>
      <c r="U89" s="71">
        <v>9500000</v>
      </c>
      <c r="V89" s="94"/>
      <c r="W89" s="97"/>
      <c r="X89" s="101"/>
      <c r="Y89" s="98" t="str">
        <f t="shared" si="3"/>
        <v/>
      </c>
      <c r="Z89" s="100"/>
      <c r="AA89" s="92"/>
      <c r="AB89" s="102"/>
      <c r="AC89" s="114"/>
      <c r="AD89" s="81"/>
      <c r="AE89" s="83"/>
      <c r="AF89" s="82"/>
      <c r="AG89" s="119"/>
      <c r="AH89" s="79">
        <v>0</v>
      </c>
      <c r="AI89" s="74">
        <v>0</v>
      </c>
      <c r="AJ89" s="75">
        <v>0</v>
      </c>
      <c r="AK89" s="123"/>
      <c r="AL89" s="124"/>
      <c r="AM89" s="124"/>
      <c r="AN89" s="124"/>
      <c r="AO89" s="124"/>
      <c r="AP89" s="124"/>
      <c r="AQ89" s="124"/>
      <c r="AR89" s="124"/>
      <c r="AS89" s="124"/>
      <c r="AT89" s="124"/>
      <c r="AU89" s="124"/>
      <c r="AV89" s="124"/>
      <c r="AW89" s="124"/>
      <c r="AX89" s="125"/>
    </row>
    <row r="90" spans="1:50" s="40" customFormat="1" ht="25" customHeight="1" thickBot="1" x14ac:dyDescent="0.35">
      <c r="A90" s="42">
        <v>74</v>
      </c>
      <c r="B90" s="66" t="s">
        <v>307</v>
      </c>
      <c r="C90" s="67" t="s">
        <v>250</v>
      </c>
      <c r="D90" s="91">
        <v>43721</v>
      </c>
      <c r="E90" s="90" t="s">
        <v>10</v>
      </c>
      <c r="F90" s="68" t="s">
        <v>29</v>
      </c>
      <c r="G90" s="69">
        <v>18667209</v>
      </c>
      <c r="H90" s="108"/>
      <c r="I90" s="109"/>
      <c r="J90" s="70"/>
      <c r="K90" s="66"/>
      <c r="L90" s="71">
        <v>13086200</v>
      </c>
      <c r="M90" s="92">
        <v>13086200</v>
      </c>
      <c r="N90" s="72">
        <v>45007</v>
      </c>
      <c r="O90" s="91">
        <v>45007</v>
      </c>
      <c r="P90" s="72">
        <v>45038</v>
      </c>
      <c r="Q90" s="91">
        <v>46834</v>
      </c>
      <c r="R90" s="53">
        <f t="shared" si="2"/>
        <v>5.0054794520547947</v>
      </c>
      <c r="S90" s="72"/>
      <c r="T90" s="73">
        <v>0.5</v>
      </c>
      <c r="U90" s="71">
        <v>6543100</v>
      </c>
      <c r="V90" s="94">
        <v>0.09</v>
      </c>
      <c r="W90" s="97">
        <v>11557767</v>
      </c>
      <c r="X90" s="101">
        <v>0</v>
      </c>
      <c r="Y90" s="98">
        <f t="shared" si="3"/>
        <v>5778883.5</v>
      </c>
      <c r="Z90" s="100" t="s">
        <v>7</v>
      </c>
      <c r="AA90" s="92">
        <v>0</v>
      </c>
      <c r="AB90" s="102">
        <v>0</v>
      </c>
      <c r="AC90" s="114"/>
      <c r="AD90" s="81"/>
      <c r="AE90" s="83"/>
      <c r="AF90" s="82"/>
      <c r="AG90" s="119"/>
      <c r="AH90" s="79">
        <v>2</v>
      </c>
      <c r="AI90" s="74">
        <v>0</v>
      </c>
      <c r="AJ90" s="75">
        <v>0</v>
      </c>
      <c r="AK90" s="123"/>
      <c r="AL90" s="124"/>
      <c r="AM90" s="124"/>
      <c r="AN90" s="124"/>
      <c r="AO90" s="124"/>
      <c r="AP90" s="124"/>
      <c r="AQ90" s="124"/>
      <c r="AR90" s="124"/>
      <c r="AS90" s="124"/>
      <c r="AT90" s="124"/>
      <c r="AU90" s="124"/>
      <c r="AV90" s="124"/>
      <c r="AW90" s="124"/>
      <c r="AX90" s="125"/>
    </row>
    <row r="91" spans="1:50" s="40" customFormat="1" ht="25" customHeight="1" thickBot="1" x14ac:dyDescent="0.35">
      <c r="A91" s="42">
        <v>75</v>
      </c>
      <c r="B91" s="66">
        <v>507223</v>
      </c>
      <c r="C91" s="67" t="s">
        <v>251</v>
      </c>
      <c r="D91" s="91">
        <v>43858</v>
      </c>
      <c r="E91" s="90" t="s">
        <v>8</v>
      </c>
      <c r="F91" s="68" t="s">
        <v>22</v>
      </c>
      <c r="G91" s="69">
        <v>131000000</v>
      </c>
      <c r="H91" s="108"/>
      <c r="I91" s="109"/>
      <c r="J91" s="70" t="s">
        <v>12</v>
      </c>
      <c r="K91" s="66" t="s">
        <v>168</v>
      </c>
      <c r="L91" s="71">
        <v>15000000</v>
      </c>
      <c r="M91" s="92">
        <v>15000000</v>
      </c>
      <c r="N91" s="72">
        <v>44890</v>
      </c>
      <c r="O91" s="91">
        <v>44890</v>
      </c>
      <c r="P91" s="72">
        <v>44920</v>
      </c>
      <c r="Q91" s="91">
        <v>45986</v>
      </c>
      <c r="R91" s="53">
        <f t="shared" si="2"/>
        <v>3.0027397260273974</v>
      </c>
      <c r="S91" s="72"/>
      <c r="T91" s="73">
        <v>0.5</v>
      </c>
      <c r="U91" s="71">
        <v>7500000</v>
      </c>
      <c r="V91" s="94">
        <v>0.09</v>
      </c>
      <c r="W91" s="97">
        <v>10153290</v>
      </c>
      <c r="X91" s="101">
        <v>492709</v>
      </c>
      <c r="Y91" s="98">
        <f t="shared" si="3"/>
        <v>5076645</v>
      </c>
      <c r="Z91" s="100" t="s">
        <v>4</v>
      </c>
      <c r="AA91" s="92">
        <v>6</v>
      </c>
      <c r="AB91" s="102">
        <v>0</v>
      </c>
      <c r="AC91" s="114"/>
      <c r="AD91" s="81"/>
      <c r="AE91" s="83"/>
      <c r="AF91" s="82"/>
      <c r="AG91" s="119"/>
      <c r="AH91" s="79">
        <v>7</v>
      </c>
      <c r="AI91" s="74">
        <v>0</v>
      </c>
      <c r="AJ91" s="75">
        <v>0</v>
      </c>
      <c r="AK91" s="123"/>
      <c r="AL91" s="124"/>
      <c r="AM91" s="124"/>
      <c r="AN91" s="124"/>
      <c r="AO91" s="124"/>
      <c r="AP91" s="124"/>
      <c r="AQ91" s="124"/>
      <c r="AR91" s="124"/>
      <c r="AS91" s="124"/>
      <c r="AT91" s="124"/>
      <c r="AU91" s="124"/>
      <c r="AV91" s="124"/>
      <c r="AW91" s="124"/>
      <c r="AX91" s="125"/>
    </row>
    <row r="92" spans="1:50" s="40" customFormat="1" ht="25" customHeight="1" thickBot="1" x14ac:dyDescent="0.35">
      <c r="A92" s="42">
        <v>76</v>
      </c>
      <c r="B92" s="66">
        <v>514004</v>
      </c>
      <c r="C92" s="67" t="s">
        <v>252</v>
      </c>
      <c r="D92" s="91">
        <v>44357</v>
      </c>
      <c r="E92" s="90" t="s">
        <v>8</v>
      </c>
      <c r="F92" s="68" t="s">
        <v>22</v>
      </c>
      <c r="G92" s="69">
        <v>700562076</v>
      </c>
      <c r="H92" s="108"/>
      <c r="I92" s="109"/>
      <c r="J92" s="70"/>
      <c r="K92" s="66"/>
      <c r="L92" s="71">
        <v>46500000</v>
      </c>
      <c r="M92" s="92">
        <v>46500000</v>
      </c>
      <c r="N92" s="72">
        <v>45028</v>
      </c>
      <c r="O92" s="91">
        <v>45028</v>
      </c>
      <c r="P92" s="72">
        <v>45119</v>
      </c>
      <c r="Q92" s="91">
        <v>45759</v>
      </c>
      <c r="R92" s="53">
        <f t="shared" si="2"/>
        <v>2.0027397260273974</v>
      </c>
      <c r="S92" s="72"/>
      <c r="T92" s="73">
        <v>0.5</v>
      </c>
      <c r="U92" s="71">
        <v>23250000</v>
      </c>
      <c r="V92" s="94">
        <v>6.5000000000000002E-2</v>
      </c>
      <c r="W92" s="97">
        <v>35523361</v>
      </c>
      <c r="X92" s="101">
        <v>0</v>
      </c>
      <c r="Y92" s="98">
        <f t="shared" si="3"/>
        <v>17761680.5</v>
      </c>
      <c r="Z92" s="100" t="s">
        <v>7</v>
      </c>
      <c r="AA92" s="92">
        <v>0</v>
      </c>
      <c r="AB92" s="102">
        <v>0</v>
      </c>
      <c r="AC92" s="114"/>
      <c r="AD92" s="81"/>
      <c r="AE92" s="83"/>
      <c r="AF92" s="82"/>
      <c r="AG92" s="119"/>
      <c r="AH92" s="79">
        <v>20</v>
      </c>
      <c r="AI92" s="74">
        <v>0</v>
      </c>
      <c r="AJ92" s="75">
        <v>0</v>
      </c>
      <c r="AK92" s="123"/>
      <c r="AL92" s="124"/>
      <c r="AM92" s="124"/>
      <c r="AN92" s="124"/>
      <c r="AO92" s="124"/>
      <c r="AP92" s="124"/>
      <c r="AQ92" s="124"/>
      <c r="AR92" s="124"/>
      <c r="AS92" s="124"/>
      <c r="AT92" s="124"/>
      <c r="AU92" s="124"/>
      <c r="AV92" s="124"/>
      <c r="AW92" s="124"/>
      <c r="AX92" s="125"/>
    </row>
    <row r="93" spans="1:50" s="40" customFormat="1" ht="25" customHeight="1" thickBot="1" x14ac:dyDescent="0.35">
      <c r="A93" s="42">
        <v>77</v>
      </c>
      <c r="B93" s="66" t="s">
        <v>260</v>
      </c>
      <c r="C93" s="67" t="s">
        <v>252</v>
      </c>
      <c r="D93" s="91">
        <v>44358</v>
      </c>
      <c r="E93" s="90" t="s">
        <v>8</v>
      </c>
      <c r="F93" s="68" t="s">
        <v>22</v>
      </c>
      <c r="G93" s="69">
        <v>700562076</v>
      </c>
      <c r="H93" s="108"/>
      <c r="I93" s="109"/>
      <c r="J93" s="70"/>
      <c r="K93" s="66"/>
      <c r="L93" s="71">
        <v>150000000</v>
      </c>
      <c r="M93" s="92">
        <v>150000000</v>
      </c>
      <c r="N93" s="72">
        <v>45028</v>
      </c>
      <c r="O93" s="91">
        <v>45028</v>
      </c>
      <c r="P93" s="72">
        <v>45119</v>
      </c>
      <c r="Q93" s="91">
        <v>45759</v>
      </c>
      <c r="R93" s="53">
        <f t="shared" si="2"/>
        <v>2.0027397260273974</v>
      </c>
      <c r="S93" s="72"/>
      <c r="T93" s="73">
        <v>0.5</v>
      </c>
      <c r="U93" s="71">
        <v>75000000</v>
      </c>
      <c r="V93" s="94">
        <v>0.08</v>
      </c>
      <c r="W93" s="97">
        <v>145493723</v>
      </c>
      <c r="X93" s="101">
        <v>0</v>
      </c>
      <c r="Y93" s="98">
        <f t="shared" si="3"/>
        <v>72746861.5</v>
      </c>
      <c r="Z93" s="100" t="s">
        <v>7</v>
      </c>
      <c r="AA93" s="92">
        <v>0</v>
      </c>
      <c r="AB93" s="102">
        <v>0</v>
      </c>
      <c r="AC93" s="114"/>
      <c r="AD93" s="81"/>
      <c r="AE93" s="83"/>
      <c r="AF93" s="82"/>
      <c r="AG93" s="119"/>
      <c r="AH93" s="79">
        <v>20</v>
      </c>
      <c r="AI93" s="74">
        <v>0</v>
      </c>
      <c r="AJ93" s="75">
        <v>0</v>
      </c>
      <c r="AK93" s="123"/>
      <c r="AL93" s="124"/>
      <c r="AM93" s="124"/>
      <c r="AN93" s="124"/>
      <c r="AO93" s="124"/>
      <c r="AP93" s="124"/>
      <c r="AQ93" s="124"/>
      <c r="AR93" s="124"/>
      <c r="AS93" s="124"/>
      <c r="AT93" s="124"/>
      <c r="AU93" s="124"/>
      <c r="AV93" s="124"/>
      <c r="AW93" s="124"/>
      <c r="AX93" s="125"/>
    </row>
    <row r="94" spans="1:50" s="40" customFormat="1" ht="25" customHeight="1" thickBot="1" x14ac:dyDescent="0.35">
      <c r="A94" s="42">
        <v>78</v>
      </c>
      <c r="B94" s="66" t="s">
        <v>310</v>
      </c>
      <c r="C94" s="67" t="s">
        <v>253</v>
      </c>
      <c r="D94" s="91">
        <v>44445</v>
      </c>
      <c r="E94" s="90" t="s">
        <v>8</v>
      </c>
      <c r="F94" s="68" t="s">
        <v>30</v>
      </c>
      <c r="G94" s="69">
        <v>622000000</v>
      </c>
      <c r="H94" s="108"/>
      <c r="I94" s="109"/>
      <c r="J94" s="70" t="s">
        <v>16</v>
      </c>
      <c r="K94" s="66"/>
      <c r="L94" s="71">
        <v>79800000</v>
      </c>
      <c r="M94" s="92">
        <v>79800000</v>
      </c>
      <c r="N94" s="72">
        <v>45212</v>
      </c>
      <c r="O94" s="91">
        <v>45224</v>
      </c>
      <c r="P94" s="72">
        <v>45224</v>
      </c>
      <c r="Q94" s="91">
        <v>47051</v>
      </c>
      <c r="R94" s="53">
        <f t="shared" si="2"/>
        <v>5.0054794520547947</v>
      </c>
      <c r="S94" s="72"/>
      <c r="T94" s="73">
        <v>0.5</v>
      </c>
      <c r="U94" s="71">
        <v>39900000</v>
      </c>
      <c r="V94" s="94"/>
      <c r="W94" s="97">
        <v>64907826</v>
      </c>
      <c r="X94" s="101">
        <v>0</v>
      </c>
      <c r="Y94" s="98">
        <f t="shared" si="3"/>
        <v>32453913</v>
      </c>
      <c r="Z94" s="100" t="s">
        <v>7</v>
      </c>
      <c r="AA94" s="92">
        <v>0</v>
      </c>
      <c r="AB94" s="102">
        <v>0</v>
      </c>
      <c r="AC94" s="114"/>
      <c r="AD94" s="81"/>
      <c r="AE94" s="83"/>
      <c r="AF94" s="82"/>
      <c r="AG94" s="119"/>
      <c r="AH94" s="79">
        <v>11</v>
      </c>
      <c r="AI94" s="74">
        <v>0</v>
      </c>
      <c r="AJ94" s="75">
        <v>0</v>
      </c>
      <c r="AK94" s="123"/>
      <c r="AL94" s="124"/>
      <c r="AM94" s="124"/>
      <c r="AN94" s="124"/>
      <c r="AO94" s="124"/>
      <c r="AP94" s="124"/>
      <c r="AQ94" s="124"/>
      <c r="AR94" s="124"/>
      <c r="AS94" s="124"/>
      <c r="AT94" s="124"/>
      <c r="AU94" s="124"/>
      <c r="AV94" s="124"/>
      <c r="AW94" s="124"/>
      <c r="AX94" s="125"/>
    </row>
    <row r="95" spans="1:50" s="40" customFormat="1" ht="25" customHeight="1" thickBot="1" x14ac:dyDescent="0.35">
      <c r="A95" s="42">
        <v>79</v>
      </c>
      <c r="B95" s="66" t="s">
        <v>316</v>
      </c>
      <c r="C95" s="67" t="s">
        <v>128</v>
      </c>
      <c r="D95" s="91">
        <v>41982</v>
      </c>
      <c r="E95" s="90" t="s">
        <v>15</v>
      </c>
      <c r="F95" s="68" t="s">
        <v>22</v>
      </c>
      <c r="G95" s="69">
        <v>1690000000</v>
      </c>
      <c r="H95" s="108"/>
      <c r="I95" s="109"/>
      <c r="J95" s="70" t="s">
        <v>16</v>
      </c>
      <c r="K95" s="66" t="s">
        <v>263</v>
      </c>
      <c r="L95" s="71">
        <v>196700000</v>
      </c>
      <c r="M95" s="92">
        <v>196700000</v>
      </c>
      <c r="N95" s="72">
        <v>45030</v>
      </c>
      <c r="O95" s="91">
        <v>45030</v>
      </c>
      <c r="P95" s="72">
        <v>45031</v>
      </c>
      <c r="Q95" s="91">
        <v>46858</v>
      </c>
      <c r="R95" s="53">
        <f t="shared" si="2"/>
        <v>5.0082191780821921</v>
      </c>
      <c r="S95" s="72"/>
      <c r="T95" s="73">
        <v>0.5</v>
      </c>
      <c r="U95" s="71">
        <v>98350000</v>
      </c>
      <c r="V95" s="94">
        <v>0.09</v>
      </c>
      <c r="W95" s="97">
        <v>112115697</v>
      </c>
      <c r="X95" s="101">
        <v>0</v>
      </c>
      <c r="Y95" s="98">
        <f t="shared" si="3"/>
        <v>56057848.5</v>
      </c>
      <c r="Z95" s="100" t="s">
        <v>7</v>
      </c>
      <c r="AA95" s="92">
        <v>0</v>
      </c>
      <c r="AB95" s="102">
        <v>0</v>
      </c>
      <c r="AC95" s="114"/>
      <c r="AD95" s="81"/>
      <c r="AE95" s="83"/>
      <c r="AF95" s="82"/>
      <c r="AG95" s="119"/>
      <c r="AH95" s="79">
        <v>16</v>
      </c>
      <c r="AI95" s="74">
        <v>0</v>
      </c>
      <c r="AJ95" s="75">
        <v>0</v>
      </c>
      <c r="AK95" s="123"/>
      <c r="AL95" s="124"/>
      <c r="AM95" s="124"/>
      <c r="AN95" s="124"/>
      <c r="AO95" s="124"/>
      <c r="AP95" s="124"/>
      <c r="AQ95" s="124"/>
      <c r="AR95" s="124"/>
      <c r="AS95" s="124"/>
      <c r="AT95" s="124"/>
      <c r="AU95" s="124"/>
      <c r="AV95" s="124"/>
      <c r="AW95" s="124"/>
      <c r="AX95" s="125"/>
    </row>
    <row r="96" spans="1:50" s="40" customFormat="1" ht="25" customHeight="1" thickBot="1" x14ac:dyDescent="0.35">
      <c r="A96" s="42">
        <v>80</v>
      </c>
      <c r="B96" s="66" t="s">
        <v>266</v>
      </c>
      <c r="C96" s="67" t="s">
        <v>254</v>
      </c>
      <c r="D96" s="91">
        <v>39288</v>
      </c>
      <c r="E96" s="90" t="s">
        <v>8</v>
      </c>
      <c r="F96" s="68" t="s">
        <v>30</v>
      </c>
      <c r="G96" s="69">
        <v>123000000</v>
      </c>
      <c r="H96" s="108"/>
      <c r="I96" s="109"/>
      <c r="J96" s="70"/>
      <c r="K96" s="66"/>
      <c r="L96" s="71">
        <v>38500000</v>
      </c>
      <c r="M96" s="92">
        <v>38500000</v>
      </c>
      <c r="N96" s="72">
        <v>45119</v>
      </c>
      <c r="O96" s="91">
        <v>45119</v>
      </c>
      <c r="P96" s="72">
        <v>45122</v>
      </c>
      <c r="Q96" s="91">
        <v>46218</v>
      </c>
      <c r="R96" s="53">
        <f t="shared" si="2"/>
        <v>3.010958904109589</v>
      </c>
      <c r="S96" s="72"/>
      <c r="T96" s="73">
        <v>0.5</v>
      </c>
      <c r="U96" s="71">
        <v>19250000</v>
      </c>
      <c r="V96" s="94">
        <v>0.11</v>
      </c>
      <c r="W96" s="97">
        <v>29256610</v>
      </c>
      <c r="X96" s="101">
        <v>0</v>
      </c>
      <c r="Y96" s="98">
        <f t="shared" si="3"/>
        <v>14628305</v>
      </c>
      <c r="Z96" s="100" t="s">
        <v>7</v>
      </c>
      <c r="AA96" s="92">
        <v>0</v>
      </c>
      <c r="AB96" s="102">
        <v>0</v>
      </c>
      <c r="AC96" s="114"/>
      <c r="AD96" s="81"/>
      <c r="AE96" s="83"/>
      <c r="AF96" s="82"/>
      <c r="AG96" s="119"/>
      <c r="AH96" s="79">
        <v>15</v>
      </c>
      <c r="AI96" s="74">
        <v>0</v>
      </c>
      <c r="AJ96" s="75">
        <v>0</v>
      </c>
      <c r="AK96" s="123"/>
      <c r="AL96" s="124"/>
      <c r="AM96" s="124"/>
      <c r="AN96" s="124"/>
      <c r="AO96" s="124"/>
      <c r="AP96" s="124"/>
      <c r="AQ96" s="124"/>
      <c r="AR96" s="124"/>
      <c r="AS96" s="124"/>
      <c r="AT96" s="124"/>
      <c r="AU96" s="124"/>
      <c r="AV96" s="124"/>
      <c r="AW96" s="124"/>
      <c r="AX96" s="125"/>
    </row>
    <row r="97" spans="1:50" s="40" customFormat="1" ht="25" customHeight="1" thickBot="1" x14ac:dyDescent="0.35">
      <c r="A97" s="42">
        <v>81</v>
      </c>
      <c r="B97" s="66" t="s">
        <v>304</v>
      </c>
      <c r="C97" s="67" t="s">
        <v>255</v>
      </c>
      <c r="D97" s="91">
        <v>44334</v>
      </c>
      <c r="E97" s="90" t="s">
        <v>8</v>
      </c>
      <c r="F97" s="68" t="s">
        <v>29</v>
      </c>
      <c r="G97" s="69">
        <v>1</v>
      </c>
      <c r="H97" s="108"/>
      <c r="I97" s="109"/>
      <c r="J97" s="70" t="s">
        <v>16</v>
      </c>
      <c r="K97" s="66"/>
      <c r="L97" s="71">
        <v>40000000</v>
      </c>
      <c r="M97" s="92">
        <v>40000000</v>
      </c>
      <c r="N97" s="72">
        <v>45114</v>
      </c>
      <c r="O97" s="91">
        <v>45114</v>
      </c>
      <c r="P97" s="72">
        <v>45329</v>
      </c>
      <c r="Q97" s="91">
        <v>46941</v>
      </c>
      <c r="R97" s="53">
        <f t="shared" si="2"/>
        <v>5.0054794520547947</v>
      </c>
      <c r="S97" s="72"/>
      <c r="T97" s="73">
        <v>0.5</v>
      </c>
      <c r="U97" s="71">
        <v>20000000</v>
      </c>
      <c r="V97" s="94">
        <v>0.09</v>
      </c>
      <c r="W97" s="97">
        <v>40000000</v>
      </c>
      <c r="X97" s="101">
        <v>0</v>
      </c>
      <c r="Y97" s="98">
        <f t="shared" si="3"/>
        <v>20000000</v>
      </c>
      <c r="Z97" s="100" t="s">
        <v>7</v>
      </c>
      <c r="AA97" s="92">
        <v>0</v>
      </c>
      <c r="AB97" s="102">
        <v>0</v>
      </c>
      <c r="AC97" s="114"/>
      <c r="AD97" s="81"/>
      <c r="AE97" s="83"/>
      <c r="AF97" s="82"/>
      <c r="AG97" s="119"/>
      <c r="AH97" s="79">
        <v>0</v>
      </c>
      <c r="AI97" s="74">
        <v>0</v>
      </c>
      <c r="AJ97" s="75">
        <v>0</v>
      </c>
      <c r="AK97" s="123"/>
      <c r="AL97" s="124"/>
      <c r="AM97" s="124"/>
      <c r="AN97" s="124"/>
      <c r="AO97" s="124"/>
      <c r="AP97" s="124"/>
      <c r="AQ97" s="124"/>
      <c r="AR97" s="124"/>
      <c r="AS97" s="124"/>
      <c r="AT97" s="124"/>
      <c r="AU97" s="124"/>
      <c r="AV97" s="124"/>
      <c r="AW97" s="124"/>
      <c r="AX97" s="125"/>
    </row>
    <row r="98" spans="1:50" s="40" customFormat="1" ht="25" customHeight="1" thickBot="1" x14ac:dyDescent="0.35">
      <c r="A98" s="42">
        <v>82</v>
      </c>
      <c r="B98" s="66" t="s">
        <v>308</v>
      </c>
      <c r="C98" s="67" t="s">
        <v>256</v>
      </c>
      <c r="D98" s="91">
        <v>43277</v>
      </c>
      <c r="E98" s="90" t="s">
        <v>15</v>
      </c>
      <c r="F98" s="68" t="s">
        <v>22</v>
      </c>
      <c r="G98" s="69">
        <v>1810000000</v>
      </c>
      <c r="H98" s="108"/>
      <c r="I98" s="109"/>
      <c r="J98" s="70"/>
      <c r="K98" s="66"/>
      <c r="L98" s="71">
        <v>150000000</v>
      </c>
      <c r="M98" s="92">
        <v>150000000</v>
      </c>
      <c r="N98" s="72">
        <v>45056</v>
      </c>
      <c r="O98" s="91">
        <v>45056</v>
      </c>
      <c r="P98" s="72">
        <v>45087</v>
      </c>
      <c r="Q98" s="91">
        <v>45787</v>
      </c>
      <c r="R98" s="53">
        <f t="shared" si="2"/>
        <v>2.0027397260273974</v>
      </c>
      <c r="S98" s="72"/>
      <c r="T98" s="73">
        <v>0.5</v>
      </c>
      <c r="U98" s="71">
        <v>75000000</v>
      </c>
      <c r="V98" s="94"/>
      <c r="W98" s="97">
        <v>108925140</v>
      </c>
      <c r="X98" s="101">
        <v>0</v>
      </c>
      <c r="Y98" s="98">
        <f t="shared" si="3"/>
        <v>54462570</v>
      </c>
      <c r="Z98" s="100" t="s">
        <v>7</v>
      </c>
      <c r="AA98" s="92">
        <v>0</v>
      </c>
      <c r="AB98" s="102">
        <v>0</v>
      </c>
      <c r="AC98" s="114"/>
      <c r="AD98" s="81"/>
      <c r="AE98" s="83"/>
      <c r="AF98" s="82"/>
      <c r="AG98" s="119"/>
      <c r="AH98" s="79">
        <v>16</v>
      </c>
      <c r="AI98" s="74">
        <v>0</v>
      </c>
      <c r="AJ98" s="75">
        <v>0</v>
      </c>
      <c r="AK98" s="123"/>
      <c r="AL98" s="124"/>
      <c r="AM98" s="124"/>
      <c r="AN98" s="124"/>
      <c r="AO98" s="124"/>
      <c r="AP98" s="124"/>
      <c r="AQ98" s="124"/>
      <c r="AR98" s="124"/>
      <c r="AS98" s="124"/>
      <c r="AT98" s="124"/>
      <c r="AU98" s="124"/>
      <c r="AV98" s="124"/>
      <c r="AW98" s="124"/>
      <c r="AX98" s="125"/>
    </row>
    <row r="99" spans="1:50" s="40" customFormat="1" ht="25" customHeight="1" thickBot="1" x14ac:dyDescent="0.35">
      <c r="A99" s="42">
        <v>83</v>
      </c>
      <c r="B99" s="66">
        <v>517879</v>
      </c>
      <c r="C99" s="67" t="s">
        <v>257</v>
      </c>
      <c r="D99" s="91">
        <v>39568</v>
      </c>
      <c r="E99" s="90" t="s">
        <v>10</v>
      </c>
      <c r="F99" s="68" t="s">
        <v>27</v>
      </c>
      <c r="G99" s="69">
        <v>412000000</v>
      </c>
      <c r="H99" s="108"/>
      <c r="I99" s="109"/>
      <c r="J99" s="70"/>
      <c r="K99" s="66"/>
      <c r="L99" s="71">
        <v>26000000</v>
      </c>
      <c r="M99" s="92">
        <v>26000000</v>
      </c>
      <c r="N99" s="72">
        <v>45093</v>
      </c>
      <c r="O99" s="91">
        <v>45093</v>
      </c>
      <c r="P99" s="72">
        <v>45123</v>
      </c>
      <c r="Q99" s="91">
        <v>46920</v>
      </c>
      <c r="R99" s="53">
        <f t="shared" si="2"/>
        <v>5.0054794520547947</v>
      </c>
      <c r="S99" s="72"/>
      <c r="T99" s="73">
        <v>0.5</v>
      </c>
      <c r="U99" s="71">
        <v>13000000</v>
      </c>
      <c r="V99" s="94">
        <v>9.9000000000000005E-2</v>
      </c>
      <c r="W99" s="97">
        <v>24060146</v>
      </c>
      <c r="X99" s="101">
        <v>0</v>
      </c>
      <c r="Y99" s="98">
        <f t="shared" si="3"/>
        <v>12030073</v>
      </c>
      <c r="Z99" s="100" t="s">
        <v>7</v>
      </c>
      <c r="AA99" s="92">
        <v>0</v>
      </c>
      <c r="AB99" s="102">
        <v>0</v>
      </c>
      <c r="AC99" s="114"/>
      <c r="AD99" s="81"/>
      <c r="AE99" s="83"/>
      <c r="AF99" s="82"/>
      <c r="AG99" s="119"/>
      <c r="AH99" s="79">
        <v>13</v>
      </c>
      <c r="AI99" s="74">
        <v>5</v>
      </c>
      <c r="AJ99" s="75">
        <v>5</v>
      </c>
      <c r="AK99" s="123"/>
      <c r="AL99" s="124"/>
      <c r="AM99" s="124"/>
      <c r="AN99" s="124"/>
      <c r="AO99" s="124"/>
      <c r="AP99" s="124"/>
      <c r="AQ99" s="124"/>
      <c r="AR99" s="124"/>
      <c r="AS99" s="124"/>
      <c r="AT99" s="124"/>
      <c r="AU99" s="124"/>
      <c r="AV99" s="124"/>
      <c r="AW99" s="124"/>
      <c r="AX99" s="125"/>
    </row>
    <row r="100" spans="1:50" s="40" customFormat="1" ht="25" customHeight="1" thickBot="1" x14ac:dyDescent="0.35">
      <c r="A100" s="42">
        <v>84</v>
      </c>
      <c r="B100" s="66" t="s">
        <v>312</v>
      </c>
      <c r="C100" s="67" t="s">
        <v>258</v>
      </c>
      <c r="D100" s="91">
        <v>35531</v>
      </c>
      <c r="E100" s="90" t="s">
        <v>8</v>
      </c>
      <c r="F100" s="68" t="s">
        <v>23</v>
      </c>
      <c r="G100" s="69">
        <v>1</v>
      </c>
      <c r="H100" s="108"/>
      <c r="I100" s="109"/>
      <c r="J100" s="70"/>
      <c r="K100" s="66"/>
      <c r="L100" s="71">
        <v>75000000</v>
      </c>
      <c r="M100" s="92">
        <v>75000000</v>
      </c>
      <c r="N100" s="72">
        <v>0</v>
      </c>
      <c r="O100" s="91"/>
      <c r="P100" s="72"/>
      <c r="Q100" s="91"/>
      <c r="R100" s="53" t="str">
        <f t="shared" si="2"/>
        <v/>
      </c>
      <c r="S100" s="72"/>
      <c r="T100" s="73">
        <v>0.5</v>
      </c>
      <c r="U100" s="71">
        <v>75000000</v>
      </c>
      <c r="V100" s="94"/>
      <c r="W100" s="97"/>
      <c r="X100" s="101"/>
      <c r="Y100" s="98" t="str">
        <f t="shared" si="3"/>
        <v/>
      </c>
      <c r="Z100" s="100"/>
      <c r="AA100" s="92"/>
      <c r="AB100" s="102"/>
      <c r="AC100" s="114"/>
      <c r="AD100" s="81"/>
      <c r="AE100" s="83"/>
      <c r="AF100" s="82"/>
      <c r="AG100" s="119"/>
      <c r="AH100" s="79">
        <v>0</v>
      </c>
      <c r="AI100" s="74">
        <v>0</v>
      </c>
      <c r="AJ100" s="75">
        <v>0</v>
      </c>
      <c r="AK100" s="123"/>
      <c r="AL100" s="124"/>
      <c r="AM100" s="124"/>
      <c r="AN100" s="124"/>
      <c r="AO100" s="124"/>
      <c r="AP100" s="124"/>
      <c r="AQ100" s="124"/>
      <c r="AR100" s="124"/>
      <c r="AS100" s="124"/>
      <c r="AT100" s="124"/>
      <c r="AU100" s="124"/>
      <c r="AV100" s="124"/>
      <c r="AW100" s="124"/>
      <c r="AX100" s="125"/>
    </row>
    <row r="101" spans="1:50" s="40" customFormat="1" ht="25" customHeight="1" thickBot="1" x14ac:dyDescent="0.35">
      <c r="A101" s="42">
        <v>85</v>
      </c>
      <c r="B101" s="66">
        <v>516229</v>
      </c>
      <c r="C101" s="67" t="s">
        <v>259</v>
      </c>
      <c r="D101" s="91">
        <v>44715</v>
      </c>
      <c r="E101" s="90" t="s">
        <v>8</v>
      </c>
      <c r="F101" s="68" t="s">
        <v>22</v>
      </c>
      <c r="G101" s="69">
        <v>750000000</v>
      </c>
      <c r="H101" s="108"/>
      <c r="I101" s="109"/>
      <c r="J101" s="70"/>
      <c r="K101" s="66"/>
      <c r="L101" s="71">
        <v>20000000</v>
      </c>
      <c r="M101" s="92">
        <v>20000000</v>
      </c>
      <c r="N101" s="72">
        <v>45071</v>
      </c>
      <c r="O101" s="91">
        <v>45071</v>
      </c>
      <c r="P101" s="72">
        <v>45102</v>
      </c>
      <c r="Q101" s="91">
        <v>45437</v>
      </c>
      <c r="R101" s="53">
        <f t="shared" si="2"/>
        <v>1.0027397260273974</v>
      </c>
      <c r="S101" s="72"/>
      <c r="T101" s="73">
        <v>0.5</v>
      </c>
      <c r="U101" s="71"/>
      <c r="V101" s="94">
        <v>0.08</v>
      </c>
      <c r="W101" s="97">
        <v>8577427</v>
      </c>
      <c r="X101" s="101">
        <v>0</v>
      </c>
      <c r="Y101" s="98">
        <f t="shared" si="3"/>
        <v>4288713.5</v>
      </c>
      <c r="Z101" s="100" t="s">
        <v>7</v>
      </c>
      <c r="AA101" s="92">
        <v>0</v>
      </c>
      <c r="AB101" s="102">
        <v>0</v>
      </c>
      <c r="AC101" s="114"/>
      <c r="AD101" s="81"/>
      <c r="AE101" s="83"/>
      <c r="AF101" s="82"/>
      <c r="AG101" s="119"/>
      <c r="AH101" s="79">
        <v>0</v>
      </c>
      <c r="AI101" s="74">
        <v>0</v>
      </c>
      <c r="AJ101" s="75">
        <v>0</v>
      </c>
      <c r="AK101" s="123"/>
      <c r="AL101" s="124"/>
      <c r="AM101" s="124"/>
      <c r="AN101" s="124"/>
      <c r="AO101" s="124"/>
      <c r="AP101" s="124"/>
      <c r="AQ101" s="124"/>
      <c r="AR101" s="124"/>
      <c r="AS101" s="124"/>
      <c r="AT101" s="124"/>
      <c r="AU101" s="124"/>
      <c r="AV101" s="124"/>
      <c r="AW101" s="124"/>
      <c r="AX101" s="125"/>
    </row>
    <row r="102" spans="1:50" s="40" customFormat="1" ht="25" customHeight="1" thickBot="1" x14ac:dyDescent="0.35">
      <c r="A102" s="42">
        <v>86</v>
      </c>
      <c r="B102" s="66"/>
      <c r="C102" s="67"/>
      <c r="D102" s="91"/>
      <c r="E102" s="90"/>
      <c r="F102" s="68"/>
      <c r="G102" s="69"/>
      <c r="H102" s="108"/>
      <c r="I102" s="109"/>
      <c r="J102" s="70"/>
      <c r="K102" s="66"/>
      <c r="L102" s="71"/>
      <c r="M102" s="92"/>
      <c r="N102" s="72"/>
      <c r="O102" s="91"/>
      <c r="P102" s="72"/>
      <c r="Q102" s="91"/>
      <c r="R102" s="53" t="str">
        <f t="shared" si="2"/>
        <v/>
      </c>
      <c r="S102" s="72"/>
      <c r="T102" s="73"/>
      <c r="U102" s="71"/>
      <c r="V102" s="94"/>
      <c r="W102" s="97"/>
      <c r="X102" s="101"/>
      <c r="Y102" s="98" t="str">
        <f t="shared" si="3"/>
        <v/>
      </c>
      <c r="Z102" s="100"/>
      <c r="AA102" s="92"/>
      <c r="AB102" s="102"/>
      <c r="AC102" s="114"/>
      <c r="AD102" s="81"/>
      <c r="AE102" s="83"/>
      <c r="AF102" s="82"/>
      <c r="AG102" s="119"/>
      <c r="AH102" s="79"/>
      <c r="AI102" s="74"/>
      <c r="AJ102" s="75"/>
      <c r="AK102" s="123"/>
      <c r="AL102" s="124"/>
      <c r="AM102" s="124"/>
      <c r="AN102" s="124"/>
      <c r="AO102" s="124"/>
      <c r="AP102" s="124"/>
      <c r="AQ102" s="124"/>
      <c r="AR102" s="124"/>
      <c r="AS102" s="124"/>
      <c r="AT102" s="124"/>
      <c r="AU102" s="124"/>
      <c r="AV102" s="124"/>
      <c r="AW102" s="124"/>
      <c r="AX102" s="125"/>
    </row>
    <row r="103" spans="1:50" s="40" customFormat="1" ht="25" customHeight="1" thickBot="1" x14ac:dyDescent="0.35">
      <c r="A103" s="42">
        <v>87</v>
      </c>
      <c r="B103" s="66"/>
      <c r="C103" s="67"/>
      <c r="D103" s="91"/>
      <c r="E103" s="90"/>
      <c r="F103" s="68"/>
      <c r="G103" s="69"/>
      <c r="H103" s="108"/>
      <c r="I103" s="109"/>
      <c r="J103" s="70"/>
      <c r="K103" s="66"/>
      <c r="L103" s="71"/>
      <c r="M103" s="92"/>
      <c r="N103" s="72"/>
      <c r="O103" s="91"/>
      <c r="P103" s="72"/>
      <c r="Q103" s="91"/>
      <c r="R103" s="53" t="str">
        <f t="shared" si="2"/>
        <v/>
      </c>
      <c r="S103" s="72"/>
      <c r="T103" s="73"/>
      <c r="U103" s="71"/>
      <c r="V103" s="94"/>
      <c r="W103" s="97"/>
      <c r="X103" s="101"/>
      <c r="Y103" s="98" t="str">
        <f t="shared" si="3"/>
        <v/>
      </c>
      <c r="Z103" s="100"/>
      <c r="AA103" s="92"/>
      <c r="AB103" s="102"/>
      <c r="AC103" s="114"/>
      <c r="AD103" s="81"/>
      <c r="AE103" s="83"/>
      <c r="AF103" s="82"/>
      <c r="AG103" s="119"/>
      <c r="AH103" s="79"/>
      <c r="AI103" s="74"/>
      <c r="AJ103" s="75"/>
      <c r="AK103" s="123"/>
      <c r="AL103" s="124"/>
      <c r="AM103" s="124"/>
      <c r="AN103" s="124"/>
      <c r="AO103" s="124"/>
      <c r="AP103" s="124"/>
      <c r="AQ103" s="124"/>
      <c r="AR103" s="124"/>
      <c r="AS103" s="124"/>
      <c r="AT103" s="124"/>
      <c r="AU103" s="124"/>
      <c r="AV103" s="124"/>
      <c r="AW103" s="124"/>
      <c r="AX103" s="125"/>
    </row>
    <row r="104" spans="1:50" s="40" customFormat="1" ht="25" customHeight="1" thickBot="1" x14ac:dyDescent="0.35">
      <c r="A104" s="42">
        <v>88</v>
      </c>
      <c r="B104" s="66" t="s">
        <v>313</v>
      </c>
      <c r="C104" s="67" t="s">
        <v>267</v>
      </c>
      <c r="D104" s="91">
        <v>44237</v>
      </c>
      <c r="E104" s="90" t="s">
        <v>8</v>
      </c>
      <c r="F104" s="68" t="s">
        <v>22</v>
      </c>
      <c r="G104" s="69">
        <v>621273370</v>
      </c>
      <c r="H104" s="108"/>
      <c r="I104" s="109"/>
      <c r="J104" s="70" t="s">
        <v>16</v>
      </c>
      <c r="K104" s="66"/>
      <c r="L104" s="71">
        <v>23239960</v>
      </c>
      <c r="M104" s="92">
        <v>23239960</v>
      </c>
      <c r="N104" s="72">
        <v>45104</v>
      </c>
      <c r="O104" s="91"/>
      <c r="P104" s="72"/>
      <c r="Q104" s="91"/>
      <c r="R104" s="53" t="str">
        <f t="shared" si="2"/>
        <v/>
      </c>
      <c r="S104" s="72"/>
      <c r="T104" s="73">
        <v>0.5</v>
      </c>
      <c r="U104" s="71">
        <v>23239960</v>
      </c>
      <c r="V104" s="94"/>
      <c r="W104" s="97"/>
      <c r="X104" s="101"/>
      <c r="Y104" s="98" t="str">
        <f t="shared" si="3"/>
        <v/>
      </c>
      <c r="Z104" s="100"/>
      <c r="AA104" s="92"/>
      <c r="AB104" s="102"/>
      <c r="AC104" s="114"/>
      <c r="AD104" s="81"/>
      <c r="AE104" s="83"/>
      <c r="AF104" s="82"/>
      <c r="AG104" s="119"/>
      <c r="AH104" s="79">
        <v>3</v>
      </c>
      <c r="AI104" s="74">
        <v>0</v>
      </c>
      <c r="AJ104" s="75">
        <v>0</v>
      </c>
      <c r="AK104" s="123"/>
      <c r="AL104" s="124"/>
      <c r="AM104" s="124"/>
      <c r="AN104" s="124"/>
      <c r="AO104" s="124"/>
      <c r="AP104" s="124"/>
      <c r="AQ104" s="124"/>
      <c r="AR104" s="124"/>
      <c r="AS104" s="124"/>
      <c r="AT104" s="124"/>
      <c r="AU104" s="124"/>
      <c r="AV104" s="124"/>
      <c r="AW104" s="124"/>
      <c r="AX104" s="125"/>
    </row>
    <row r="105" spans="1:50" s="40" customFormat="1" ht="25" customHeight="1" thickBot="1" x14ac:dyDescent="0.35">
      <c r="A105" s="42">
        <v>89</v>
      </c>
      <c r="B105" s="66" t="s">
        <v>314</v>
      </c>
      <c r="C105" s="67" t="s">
        <v>268</v>
      </c>
      <c r="D105" s="91">
        <v>40147</v>
      </c>
      <c r="E105" s="90" t="s">
        <v>15</v>
      </c>
      <c r="F105" s="68" t="s">
        <v>22</v>
      </c>
      <c r="G105" s="69">
        <v>1</v>
      </c>
      <c r="H105" s="108"/>
      <c r="I105" s="109"/>
      <c r="J105" s="70" t="s">
        <v>16</v>
      </c>
      <c r="K105" s="66"/>
      <c r="L105" s="71">
        <v>40000000</v>
      </c>
      <c r="M105" s="92">
        <v>40000000</v>
      </c>
      <c r="N105" s="72">
        <v>0</v>
      </c>
      <c r="O105" s="91"/>
      <c r="P105" s="72"/>
      <c r="Q105" s="91"/>
      <c r="R105" s="53" t="str">
        <f t="shared" si="2"/>
        <v/>
      </c>
      <c r="S105" s="72"/>
      <c r="T105" s="73">
        <v>0.5</v>
      </c>
      <c r="U105" s="71">
        <v>40000000</v>
      </c>
      <c r="V105" s="94"/>
      <c r="W105" s="97"/>
      <c r="X105" s="101"/>
      <c r="Y105" s="98" t="str">
        <f t="shared" si="3"/>
        <v/>
      </c>
      <c r="Z105" s="100"/>
      <c r="AA105" s="92"/>
      <c r="AB105" s="102"/>
      <c r="AC105" s="114"/>
      <c r="AD105" s="81"/>
      <c r="AE105" s="83"/>
      <c r="AF105" s="82"/>
      <c r="AG105" s="119"/>
      <c r="AH105" s="79">
        <v>8</v>
      </c>
      <c r="AI105" s="74">
        <v>0</v>
      </c>
      <c r="AJ105" s="75">
        <v>0</v>
      </c>
      <c r="AK105" s="123"/>
      <c r="AL105" s="124"/>
      <c r="AM105" s="124"/>
      <c r="AN105" s="124"/>
      <c r="AO105" s="124"/>
      <c r="AP105" s="124"/>
      <c r="AQ105" s="124"/>
      <c r="AR105" s="124"/>
      <c r="AS105" s="124"/>
      <c r="AT105" s="124"/>
      <c r="AU105" s="124"/>
      <c r="AV105" s="124"/>
      <c r="AW105" s="124"/>
      <c r="AX105" s="125"/>
    </row>
    <row r="106" spans="1:50" s="40" customFormat="1" ht="25" customHeight="1" thickBot="1" x14ac:dyDescent="0.35">
      <c r="A106" s="42">
        <v>90</v>
      </c>
      <c r="B106" s="66" t="s">
        <v>269</v>
      </c>
      <c r="C106" s="67" t="s">
        <v>270</v>
      </c>
      <c r="D106" s="91">
        <v>42016</v>
      </c>
      <c r="E106" s="90" t="s">
        <v>8</v>
      </c>
      <c r="F106" s="68" t="s">
        <v>29</v>
      </c>
      <c r="G106" s="69">
        <v>110524850</v>
      </c>
      <c r="H106" s="108"/>
      <c r="I106" s="109"/>
      <c r="J106" s="70" t="s">
        <v>16</v>
      </c>
      <c r="K106" s="66"/>
      <c r="L106" s="71">
        <v>120000000</v>
      </c>
      <c r="M106" s="92">
        <v>120000000</v>
      </c>
      <c r="N106" s="72">
        <v>45183</v>
      </c>
      <c r="O106" s="91">
        <v>45183</v>
      </c>
      <c r="P106" s="72">
        <v>45579</v>
      </c>
      <c r="Q106" s="91">
        <v>47375</v>
      </c>
      <c r="R106" s="53">
        <f t="shared" si="2"/>
        <v>6.0054794520547947</v>
      </c>
      <c r="S106" s="72"/>
      <c r="T106" s="73">
        <v>0.5</v>
      </c>
      <c r="U106" s="71">
        <v>120000000</v>
      </c>
      <c r="V106" s="94"/>
      <c r="W106" s="97">
        <v>120000000</v>
      </c>
      <c r="X106" s="101">
        <v>0</v>
      </c>
      <c r="Y106" s="98">
        <f t="shared" si="3"/>
        <v>60000000</v>
      </c>
      <c r="Z106" s="100" t="s">
        <v>7</v>
      </c>
      <c r="AA106" s="92">
        <v>0</v>
      </c>
      <c r="AB106" s="102">
        <v>0</v>
      </c>
      <c r="AC106" s="114"/>
      <c r="AD106" s="81"/>
      <c r="AE106" s="83"/>
      <c r="AF106" s="82"/>
      <c r="AG106" s="119"/>
      <c r="AH106" s="79">
        <v>15</v>
      </c>
      <c r="AI106" s="74">
        <v>0</v>
      </c>
      <c r="AJ106" s="75">
        <v>0</v>
      </c>
      <c r="AK106" s="123"/>
      <c r="AL106" s="124"/>
      <c r="AM106" s="124"/>
      <c r="AN106" s="124"/>
      <c r="AO106" s="124"/>
      <c r="AP106" s="124"/>
      <c r="AQ106" s="124"/>
      <c r="AR106" s="124"/>
      <c r="AS106" s="124"/>
      <c r="AT106" s="124"/>
      <c r="AU106" s="124"/>
      <c r="AV106" s="124"/>
      <c r="AW106" s="124"/>
      <c r="AX106" s="125"/>
    </row>
    <row r="107" spans="1:50" s="40" customFormat="1" ht="25" customHeight="1" thickBot="1" x14ac:dyDescent="0.35">
      <c r="A107" s="42">
        <v>91</v>
      </c>
      <c r="B107" s="66" t="s">
        <v>271</v>
      </c>
      <c r="C107" s="67" t="s">
        <v>272</v>
      </c>
      <c r="D107" s="91">
        <v>40127</v>
      </c>
      <c r="E107" s="90" t="s">
        <v>8</v>
      </c>
      <c r="F107" s="68" t="s">
        <v>28</v>
      </c>
      <c r="G107" s="69">
        <v>244423000</v>
      </c>
      <c r="H107" s="108"/>
      <c r="I107" s="109"/>
      <c r="J107" s="70" t="s">
        <v>16</v>
      </c>
      <c r="K107" s="66"/>
      <c r="L107" s="71">
        <v>60000000</v>
      </c>
      <c r="M107" s="92">
        <v>60000000</v>
      </c>
      <c r="N107" s="72">
        <v>45233</v>
      </c>
      <c r="O107" s="91">
        <v>45233</v>
      </c>
      <c r="P107" s="72">
        <v>45446</v>
      </c>
      <c r="Q107" s="91">
        <v>47060</v>
      </c>
      <c r="R107" s="53">
        <f t="shared" si="2"/>
        <v>5.0054794520547947</v>
      </c>
      <c r="S107" s="72"/>
      <c r="T107" s="73">
        <v>0.5</v>
      </c>
      <c r="U107" s="71">
        <v>60000000</v>
      </c>
      <c r="V107" s="94"/>
      <c r="W107" s="97">
        <v>60000000</v>
      </c>
      <c r="X107" s="101">
        <v>0</v>
      </c>
      <c r="Y107" s="98">
        <f t="shared" si="3"/>
        <v>30000000</v>
      </c>
      <c r="Z107" s="100" t="s">
        <v>7</v>
      </c>
      <c r="AA107" s="92">
        <v>0</v>
      </c>
      <c r="AB107" s="102">
        <v>0</v>
      </c>
      <c r="AC107" s="114"/>
      <c r="AD107" s="81"/>
      <c r="AE107" s="83"/>
      <c r="AF107" s="82"/>
      <c r="AG107" s="119"/>
      <c r="AH107" s="79">
        <v>38</v>
      </c>
      <c r="AI107" s="74">
        <v>0</v>
      </c>
      <c r="AJ107" s="75">
        <v>0</v>
      </c>
      <c r="AK107" s="123"/>
      <c r="AL107" s="124"/>
      <c r="AM107" s="124"/>
      <c r="AN107" s="124"/>
      <c r="AO107" s="124"/>
      <c r="AP107" s="124"/>
      <c r="AQ107" s="124"/>
      <c r="AR107" s="124"/>
      <c r="AS107" s="124"/>
      <c r="AT107" s="124"/>
      <c r="AU107" s="124"/>
      <c r="AV107" s="124"/>
      <c r="AW107" s="124"/>
      <c r="AX107" s="125"/>
    </row>
    <row r="108" spans="1:50" s="40" customFormat="1" ht="25" customHeight="1" thickBot="1" x14ac:dyDescent="0.35">
      <c r="A108" s="42">
        <v>92</v>
      </c>
      <c r="B108" s="66" t="s">
        <v>273</v>
      </c>
      <c r="C108" s="67" t="s">
        <v>274</v>
      </c>
      <c r="D108" s="91">
        <v>38420</v>
      </c>
      <c r="E108" s="90" t="s">
        <v>15</v>
      </c>
      <c r="F108" s="68" t="s">
        <v>22</v>
      </c>
      <c r="G108" s="69">
        <v>602721600</v>
      </c>
      <c r="H108" s="108"/>
      <c r="I108" s="109"/>
      <c r="J108" s="70" t="s">
        <v>16</v>
      </c>
      <c r="K108" s="66"/>
      <c r="L108" s="71">
        <v>20000000</v>
      </c>
      <c r="M108" s="92">
        <v>20000000</v>
      </c>
      <c r="N108" s="72">
        <v>45251</v>
      </c>
      <c r="O108" s="91">
        <v>45251</v>
      </c>
      <c r="P108" s="72">
        <v>45281</v>
      </c>
      <c r="Q108" s="91">
        <v>45617</v>
      </c>
      <c r="R108" s="53">
        <f t="shared" si="2"/>
        <v>1.0027397260273974</v>
      </c>
      <c r="S108" s="72"/>
      <c r="T108" s="73">
        <v>0.5</v>
      </c>
      <c r="U108" s="71">
        <v>20000000</v>
      </c>
      <c r="V108" s="94">
        <v>0.1</v>
      </c>
      <c r="W108" s="97">
        <v>20000000</v>
      </c>
      <c r="X108" s="101">
        <v>0</v>
      </c>
      <c r="Y108" s="98">
        <f t="shared" si="3"/>
        <v>10000000</v>
      </c>
      <c r="Z108" s="100" t="s">
        <v>7</v>
      </c>
      <c r="AA108" s="92">
        <v>0</v>
      </c>
      <c r="AB108" s="102">
        <v>0</v>
      </c>
      <c r="AC108" s="114"/>
      <c r="AD108" s="81"/>
      <c r="AE108" s="83"/>
      <c r="AF108" s="82"/>
      <c r="AG108" s="119"/>
      <c r="AH108" s="79">
        <v>7</v>
      </c>
      <c r="AI108" s="74">
        <v>0</v>
      </c>
      <c r="AJ108" s="75">
        <v>0</v>
      </c>
      <c r="AK108" s="123"/>
      <c r="AL108" s="124"/>
      <c r="AM108" s="124"/>
      <c r="AN108" s="124"/>
      <c r="AO108" s="124"/>
      <c r="AP108" s="124"/>
      <c r="AQ108" s="124"/>
      <c r="AR108" s="124"/>
      <c r="AS108" s="124"/>
      <c r="AT108" s="124"/>
      <c r="AU108" s="124"/>
      <c r="AV108" s="124"/>
      <c r="AW108" s="124"/>
      <c r="AX108" s="125"/>
    </row>
    <row r="109" spans="1:50" s="40" customFormat="1" ht="25" customHeight="1" thickBot="1" x14ac:dyDescent="0.35">
      <c r="A109" s="42">
        <v>93</v>
      </c>
      <c r="B109" s="66" t="s">
        <v>315</v>
      </c>
      <c r="C109" s="67" t="s">
        <v>275</v>
      </c>
      <c r="D109" s="91">
        <v>43941</v>
      </c>
      <c r="E109" s="90" t="s">
        <v>8</v>
      </c>
      <c r="F109" s="68" t="s">
        <v>22</v>
      </c>
      <c r="G109" s="69">
        <v>115625321</v>
      </c>
      <c r="H109" s="108"/>
      <c r="I109" s="109"/>
      <c r="J109" s="70" t="s">
        <v>16</v>
      </c>
      <c r="K109" s="66"/>
      <c r="L109" s="71">
        <v>8970000</v>
      </c>
      <c r="M109" s="92">
        <v>8970000</v>
      </c>
      <c r="N109" s="72">
        <v>0</v>
      </c>
      <c r="O109" s="91"/>
      <c r="P109" s="72"/>
      <c r="Q109" s="91"/>
      <c r="R109" s="53" t="str">
        <f t="shared" si="2"/>
        <v/>
      </c>
      <c r="S109" s="72"/>
      <c r="T109" s="73">
        <v>0.5</v>
      </c>
      <c r="U109" s="71">
        <v>8970000</v>
      </c>
      <c r="V109" s="94"/>
      <c r="W109" s="97"/>
      <c r="X109" s="101"/>
      <c r="Y109" s="98" t="str">
        <f t="shared" si="3"/>
        <v/>
      </c>
      <c r="Z109" s="100"/>
      <c r="AA109" s="92"/>
      <c r="AB109" s="102"/>
      <c r="AC109" s="114"/>
      <c r="AD109" s="81"/>
      <c r="AE109" s="83"/>
      <c r="AF109" s="82"/>
      <c r="AG109" s="119"/>
      <c r="AH109" s="79">
        <v>15</v>
      </c>
      <c r="AI109" s="74">
        <v>0</v>
      </c>
      <c r="AJ109" s="75">
        <v>0</v>
      </c>
      <c r="AK109" s="123"/>
      <c r="AL109" s="124"/>
      <c r="AM109" s="124"/>
      <c r="AN109" s="124"/>
      <c r="AO109" s="124"/>
      <c r="AP109" s="124"/>
      <c r="AQ109" s="124"/>
      <c r="AR109" s="124"/>
      <c r="AS109" s="124"/>
      <c r="AT109" s="124"/>
      <c r="AU109" s="124"/>
      <c r="AV109" s="124"/>
      <c r="AW109" s="124"/>
      <c r="AX109" s="125"/>
    </row>
    <row r="110" spans="1:50" s="40" customFormat="1" ht="25" customHeight="1" thickBot="1" x14ac:dyDescent="0.35">
      <c r="A110" s="42">
        <v>94</v>
      </c>
      <c r="B110" s="66" t="s">
        <v>276</v>
      </c>
      <c r="C110" s="67" t="s">
        <v>277</v>
      </c>
      <c r="D110" s="91">
        <v>41233</v>
      </c>
      <c r="E110" s="90" t="s">
        <v>8</v>
      </c>
      <c r="F110" s="68" t="s">
        <v>29</v>
      </c>
      <c r="G110" s="69">
        <v>934000000</v>
      </c>
      <c r="H110" s="108"/>
      <c r="I110" s="109"/>
      <c r="J110" s="70" t="s">
        <v>16</v>
      </c>
      <c r="K110" s="66"/>
      <c r="L110" s="71">
        <v>69000000</v>
      </c>
      <c r="M110" s="92">
        <v>69000000</v>
      </c>
      <c r="N110" s="72">
        <v>45266</v>
      </c>
      <c r="O110" s="91">
        <v>45275</v>
      </c>
      <c r="P110" s="72">
        <v>45306</v>
      </c>
      <c r="Q110" s="91">
        <v>46006</v>
      </c>
      <c r="R110" s="53">
        <f t="shared" si="2"/>
        <v>2.0027397260273974</v>
      </c>
      <c r="S110" s="72"/>
      <c r="T110" s="73">
        <v>0.5</v>
      </c>
      <c r="U110" s="71">
        <v>69000000</v>
      </c>
      <c r="V110" s="94">
        <v>0.12</v>
      </c>
      <c r="W110" s="97">
        <v>69000000</v>
      </c>
      <c r="X110" s="101">
        <v>0</v>
      </c>
      <c r="Y110" s="98">
        <f t="shared" si="3"/>
        <v>34500000</v>
      </c>
      <c r="Z110" s="100" t="s">
        <v>7</v>
      </c>
      <c r="AA110" s="92">
        <v>0</v>
      </c>
      <c r="AB110" s="102">
        <v>0</v>
      </c>
      <c r="AC110" s="114"/>
      <c r="AD110" s="81"/>
      <c r="AE110" s="83"/>
      <c r="AF110" s="82"/>
      <c r="AG110" s="119"/>
      <c r="AH110" s="79">
        <v>5</v>
      </c>
      <c r="AI110" s="74">
        <v>0</v>
      </c>
      <c r="AJ110" s="75">
        <v>0</v>
      </c>
      <c r="AK110" s="123"/>
      <c r="AL110" s="124"/>
      <c r="AM110" s="124"/>
      <c r="AN110" s="124"/>
      <c r="AO110" s="124"/>
      <c r="AP110" s="124"/>
      <c r="AQ110" s="124"/>
      <c r="AR110" s="124"/>
      <c r="AS110" s="124"/>
      <c r="AT110" s="124"/>
      <c r="AU110" s="124"/>
      <c r="AV110" s="124"/>
      <c r="AW110" s="124"/>
      <c r="AX110" s="125"/>
    </row>
    <row r="111" spans="1:50" s="40" customFormat="1" ht="25" customHeight="1" thickBot="1" x14ac:dyDescent="0.35">
      <c r="A111" s="42">
        <v>95</v>
      </c>
      <c r="B111" s="66" t="s">
        <v>285</v>
      </c>
      <c r="C111" s="67" t="s">
        <v>153</v>
      </c>
      <c r="D111" s="91">
        <v>43423</v>
      </c>
      <c r="E111" s="90" t="s">
        <v>8</v>
      </c>
      <c r="F111" s="68" t="s">
        <v>22</v>
      </c>
      <c r="G111" s="69">
        <v>966000000</v>
      </c>
      <c r="H111" s="108"/>
      <c r="I111" s="109"/>
      <c r="J111" s="70" t="s">
        <v>16</v>
      </c>
      <c r="K111" s="66"/>
      <c r="L111" s="71">
        <v>150000000</v>
      </c>
      <c r="M111" s="92">
        <v>150000000</v>
      </c>
      <c r="N111" s="72">
        <v>45253</v>
      </c>
      <c r="O111" s="91">
        <v>45253</v>
      </c>
      <c r="P111" s="72">
        <v>45289</v>
      </c>
      <c r="Q111" s="91">
        <v>47116</v>
      </c>
      <c r="R111" s="53">
        <f t="shared" si="2"/>
        <v>5.1041095890410961</v>
      </c>
      <c r="S111" s="72"/>
      <c r="T111" s="73">
        <v>0.5</v>
      </c>
      <c r="U111" s="71">
        <v>150000000</v>
      </c>
      <c r="V111" s="94"/>
      <c r="W111" s="97">
        <v>150000000</v>
      </c>
      <c r="X111" s="101">
        <v>0</v>
      </c>
      <c r="Y111" s="98">
        <f t="shared" si="3"/>
        <v>75000000</v>
      </c>
      <c r="Z111" s="100" t="s">
        <v>7</v>
      </c>
      <c r="AA111" s="92">
        <v>0</v>
      </c>
      <c r="AB111" s="102">
        <v>0</v>
      </c>
      <c r="AC111" s="114"/>
      <c r="AD111" s="81"/>
      <c r="AE111" s="83"/>
      <c r="AF111" s="82"/>
      <c r="AG111" s="119"/>
      <c r="AH111" s="79">
        <v>4</v>
      </c>
      <c r="AI111" s="74">
        <v>2</v>
      </c>
      <c r="AJ111" s="75">
        <v>0</v>
      </c>
      <c r="AK111" s="123"/>
      <c r="AL111" s="124"/>
      <c r="AM111" s="124"/>
      <c r="AN111" s="124"/>
      <c r="AO111" s="124"/>
      <c r="AP111" s="124"/>
      <c r="AQ111" s="124"/>
      <c r="AR111" s="124"/>
      <c r="AS111" s="124"/>
      <c r="AT111" s="124"/>
      <c r="AU111" s="124"/>
      <c r="AV111" s="124"/>
      <c r="AW111" s="124"/>
      <c r="AX111" s="125"/>
    </row>
    <row r="112" spans="1:50" s="40" customFormat="1" ht="25" customHeight="1" thickBot="1" x14ac:dyDescent="0.35">
      <c r="A112" s="42">
        <v>96</v>
      </c>
      <c r="B112" s="66" t="s">
        <v>278</v>
      </c>
      <c r="C112" s="67" t="s">
        <v>279</v>
      </c>
      <c r="D112" s="91">
        <v>37370</v>
      </c>
      <c r="E112" s="90" t="s">
        <v>10</v>
      </c>
      <c r="F112" s="68" t="s">
        <v>29</v>
      </c>
      <c r="G112" s="69">
        <v>61116370</v>
      </c>
      <c r="H112" s="108"/>
      <c r="I112" s="109"/>
      <c r="J112" s="70" t="s">
        <v>16</v>
      </c>
      <c r="K112" s="66"/>
      <c r="L112" s="71">
        <v>25000000</v>
      </c>
      <c r="M112" s="92">
        <v>25000000</v>
      </c>
      <c r="N112" s="72">
        <v>45169</v>
      </c>
      <c r="O112" s="91">
        <v>45169</v>
      </c>
      <c r="P112" s="72">
        <v>45560</v>
      </c>
      <c r="Q112" s="91">
        <v>47355</v>
      </c>
      <c r="R112" s="53">
        <f t="shared" si="2"/>
        <v>5.9890410958904106</v>
      </c>
      <c r="S112" s="72"/>
      <c r="T112" s="73">
        <v>0.5</v>
      </c>
      <c r="U112" s="71">
        <v>25000000</v>
      </c>
      <c r="V112" s="94">
        <v>0.12</v>
      </c>
      <c r="W112" s="97">
        <v>25000000</v>
      </c>
      <c r="X112" s="101">
        <v>0</v>
      </c>
      <c r="Y112" s="98">
        <f t="shared" si="3"/>
        <v>12500000</v>
      </c>
      <c r="Z112" s="100" t="s">
        <v>7</v>
      </c>
      <c r="AA112" s="92">
        <v>0</v>
      </c>
      <c r="AB112" s="102">
        <v>0</v>
      </c>
      <c r="AC112" s="114"/>
      <c r="AD112" s="81"/>
      <c r="AE112" s="83"/>
      <c r="AF112" s="82"/>
      <c r="AG112" s="119"/>
      <c r="AH112" s="79">
        <v>5</v>
      </c>
      <c r="AI112" s="74">
        <v>0</v>
      </c>
      <c r="AJ112" s="75">
        <v>0</v>
      </c>
      <c r="AK112" s="123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5"/>
    </row>
    <row r="113" spans="1:50" s="40" customFormat="1" ht="25" customHeight="1" thickBot="1" x14ac:dyDescent="0.35">
      <c r="A113" s="42">
        <v>97</v>
      </c>
      <c r="B113" s="66" t="s">
        <v>280</v>
      </c>
      <c r="C113" s="67" t="s">
        <v>281</v>
      </c>
      <c r="D113" s="91">
        <v>36595</v>
      </c>
      <c r="E113" s="90" t="s">
        <v>8</v>
      </c>
      <c r="F113" s="68" t="s">
        <v>28</v>
      </c>
      <c r="G113" s="69">
        <v>106900000</v>
      </c>
      <c r="H113" s="108"/>
      <c r="I113" s="109"/>
      <c r="J113" s="70" t="s">
        <v>16</v>
      </c>
      <c r="K113" s="66"/>
      <c r="L113" s="71">
        <v>115000000</v>
      </c>
      <c r="M113" s="92">
        <v>115000000</v>
      </c>
      <c r="N113" s="72">
        <v>45147</v>
      </c>
      <c r="O113" s="91">
        <v>45147</v>
      </c>
      <c r="P113" s="72">
        <v>45147</v>
      </c>
      <c r="Q113" s="91">
        <v>45513</v>
      </c>
      <c r="R113" s="53">
        <f t="shared" si="2"/>
        <v>1.0027397260273974</v>
      </c>
      <c r="S113" s="72"/>
      <c r="T113" s="73">
        <v>0.5</v>
      </c>
      <c r="U113" s="71">
        <v>115000000</v>
      </c>
      <c r="V113" s="94">
        <v>7.4999999999999997E-2</v>
      </c>
      <c r="W113" s="97">
        <v>87178949</v>
      </c>
      <c r="X113" s="101">
        <v>0</v>
      </c>
      <c r="Y113" s="98">
        <f t="shared" si="3"/>
        <v>43589474.5</v>
      </c>
      <c r="Z113" s="100" t="s">
        <v>7</v>
      </c>
      <c r="AA113" s="92">
        <v>0</v>
      </c>
      <c r="AB113" s="102">
        <v>0</v>
      </c>
      <c r="AC113" s="114"/>
      <c r="AD113" s="81"/>
      <c r="AE113" s="83"/>
      <c r="AF113" s="82"/>
      <c r="AG113" s="119"/>
      <c r="AH113" s="79">
        <v>0</v>
      </c>
      <c r="AI113" s="74">
        <v>0</v>
      </c>
      <c r="AJ113" s="75">
        <v>0</v>
      </c>
      <c r="AK113" s="123"/>
      <c r="AL113" s="124"/>
      <c r="AM113" s="124"/>
      <c r="AN113" s="124"/>
      <c r="AO113" s="124"/>
      <c r="AP113" s="124"/>
      <c r="AQ113" s="124"/>
      <c r="AR113" s="124"/>
      <c r="AS113" s="124"/>
      <c r="AT113" s="124"/>
      <c r="AU113" s="124"/>
      <c r="AV113" s="124"/>
      <c r="AW113" s="124"/>
      <c r="AX113" s="125"/>
    </row>
    <row r="114" spans="1:50" s="40" customFormat="1" ht="25" customHeight="1" thickBot="1" x14ac:dyDescent="0.35">
      <c r="A114" s="42">
        <v>98</v>
      </c>
      <c r="B114" s="66" t="s">
        <v>282</v>
      </c>
      <c r="C114" s="67" t="s">
        <v>283</v>
      </c>
      <c r="D114" s="91">
        <v>43836</v>
      </c>
      <c r="E114" s="90" t="s">
        <v>8</v>
      </c>
      <c r="F114" s="68" t="s">
        <v>17</v>
      </c>
      <c r="G114" s="69">
        <v>1138500000</v>
      </c>
      <c r="H114" s="108"/>
      <c r="I114" s="109"/>
      <c r="J114" s="70" t="s">
        <v>16</v>
      </c>
      <c r="K114" s="66"/>
      <c r="L114" s="71">
        <v>105000000</v>
      </c>
      <c r="M114" s="92">
        <v>105000000</v>
      </c>
      <c r="N114" s="72">
        <v>45299</v>
      </c>
      <c r="O114" s="91">
        <v>45299</v>
      </c>
      <c r="P114" s="72">
        <v>45299</v>
      </c>
      <c r="Q114" s="91">
        <v>46693</v>
      </c>
      <c r="R114" s="53">
        <f t="shared" si="2"/>
        <v>3.8191780821917809</v>
      </c>
      <c r="S114" s="72"/>
      <c r="T114" s="73">
        <v>0.5</v>
      </c>
      <c r="U114" s="71">
        <v>105000000</v>
      </c>
      <c r="V114" s="94">
        <v>0.09</v>
      </c>
      <c r="W114" s="97">
        <v>101447477</v>
      </c>
      <c r="X114" s="101">
        <v>0</v>
      </c>
      <c r="Y114" s="98">
        <f t="shared" si="3"/>
        <v>50723738.5</v>
      </c>
      <c r="Z114" s="100" t="s">
        <v>7</v>
      </c>
      <c r="AA114" s="92">
        <v>0</v>
      </c>
      <c r="AB114" s="102">
        <v>0</v>
      </c>
      <c r="AC114" s="114"/>
      <c r="AD114" s="81"/>
      <c r="AE114" s="83"/>
      <c r="AF114" s="82"/>
      <c r="AG114" s="119"/>
      <c r="AH114" s="79">
        <v>13</v>
      </c>
      <c r="AI114" s="74">
        <v>0</v>
      </c>
      <c r="AJ114" s="75">
        <v>0</v>
      </c>
      <c r="AK114" s="123"/>
      <c r="AL114" s="124"/>
      <c r="AM114" s="124"/>
      <c r="AN114" s="124"/>
      <c r="AO114" s="124"/>
      <c r="AP114" s="124"/>
      <c r="AQ114" s="124"/>
      <c r="AR114" s="124"/>
      <c r="AS114" s="124"/>
      <c r="AT114" s="124"/>
      <c r="AU114" s="124"/>
      <c r="AV114" s="124"/>
      <c r="AW114" s="124"/>
      <c r="AX114" s="125"/>
    </row>
    <row r="115" spans="1:50" s="40" customFormat="1" ht="25" customHeight="1" thickBot="1" x14ac:dyDescent="0.35">
      <c r="A115" s="42">
        <v>99</v>
      </c>
      <c r="B115" s="66" t="s">
        <v>286</v>
      </c>
      <c r="C115" s="67" t="s">
        <v>287</v>
      </c>
      <c r="D115" s="91">
        <v>39884</v>
      </c>
      <c r="E115" s="90" t="s">
        <v>15</v>
      </c>
      <c r="F115" s="68" t="s">
        <v>23</v>
      </c>
      <c r="G115" s="69">
        <v>61000000</v>
      </c>
      <c r="H115" s="108"/>
      <c r="I115" s="109"/>
      <c r="J115" s="70" t="s">
        <v>12</v>
      </c>
      <c r="K115" s="66"/>
      <c r="L115" s="71">
        <v>19900000</v>
      </c>
      <c r="M115" s="92">
        <v>19900000</v>
      </c>
      <c r="N115" s="72">
        <v>1</v>
      </c>
      <c r="O115" s="91"/>
      <c r="P115" s="72"/>
      <c r="Q115" s="91"/>
      <c r="R115" s="53" t="str">
        <f t="shared" si="2"/>
        <v/>
      </c>
      <c r="S115" s="72"/>
      <c r="T115" s="73">
        <v>0.5</v>
      </c>
      <c r="U115" s="71"/>
      <c r="V115" s="94"/>
      <c r="W115" s="97"/>
      <c r="X115" s="101"/>
      <c r="Y115" s="98" t="str">
        <f t="shared" si="3"/>
        <v/>
      </c>
      <c r="Z115" s="100"/>
      <c r="AA115" s="92"/>
      <c r="AB115" s="102"/>
      <c r="AC115" s="114"/>
      <c r="AD115" s="81"/>
      <c r="AE115" s="83"/>
      <c r="AF115" s="82"/>
      <c r="AG115" s="119"/>
      <c r="AH115" s="79">
        <v>8</v>
      </c>
      <c r="AI115" s="74">
        <v>0</v>
      </c>
      <c r="AJ115" s="75">
        <v>0</v>
      </c>
      <c r="AK115" s="123"/>
      <c r="AL115" s="124"/>
      <c r="AM115" s="124"/>
      <c r="AN115" s="124"/>
      <c r="AO115" s="124"/>
      <c r="AP115" s="124"/>
      <c r="AQ115" s="124"/>
      <c r="AR115" s="124"/>
      <c r="AS115" s="124"/>
      <c r="AT115" s="124"/>
      <c r="AU115" s="124"/>
      <c r="AV115" s="124"/>
      <c r="AW115" s="124"/>
      <c r="AX115" s="125"/>
    </row>
    <row r="116" spans="1:50" s="40" customFormat="1" ht="25" customHeight="1" thickBot="1" x14ac:dyDescent="0.35">
      <c r="A116" s="42">
        <v>100</v>
      </c>
      <c r="B116" s="66" t="s">
        <v>288</v>
      </c>
      <c r="C116" s="67" t="s">
        <v>289</v>
      </c>
      <c r="D116" s="91">
        <v>39244</v>
      </c>
      <c r="E116" s="90" t="s">
        <v>8</v>
      </c>
      <c r="F116" s="68" t="s">
        <v>19</v>
      </c>
      <c r="G116" s="69">
        <v>18632195</v>
      </c>
      <c r="H116" s="108"/>
      <c r="I116" s="109"/>
      <c r="J116" s="70" t="s">
        <v>12</v>
      </c>
      <c r="K116" s="66"/>
      <c r="L116" s="71">
        <v>200000000</v>
      </c>
      <c r="M116" s="92">
        <v>200000000</v>
      </c>
      <c r="N116" s="72">
        <v>45041</v>
      </c>
      <c r="O116" s="91">
        <v>45041</v>
      </c>
      <c r="P116" s="72">
        <v>45071</v>
      </c>
      <c r="Q116" s="91">
        <v>46502</v>
      </c>
      <c r="R116" s="53">
        <f t="shared" si="2"/>
        <v>4.0027397260273974</v>
      </c>
      <c r="S116" s="72"/>
      <c r="T116" s="73">
        <v>0.5</v>
      </c>
      <c r="U116" s="71">
        <v>200000000</v>
      </c>
      <c r="V116" s="94">
        <v>7.0000000000000007E-2</v>
      </c>
      <c r="W116" s="97">
        <v>171031545</v>
      </c>
      <c r="X116" s="101">
        <v>0</v>
      </c>
      <c r="Y116" s="98">
        <f t="shared" si="3"/>
        <v>85515772.5</v>
      </c>
      <c r="Z116" s="100" t="s">
        <v>7</v>
      </c>
      <c r="AA116" s="92">
        <v>0</v>
      </c>
      <c r="AB116" s="102">
        <v>0</v>
      </c>
      <c r="AC116" s="114"/>
      <c r="AD116" s="81"/>
      <c r="AE116" s="83"/>
      <c r="AF116" s="82"/>
      <c r="AG116" s="119"/>
      <c r="AH116" s="79">
        <v>50</v>
      </c>
      <c r="AI116" s="74">
        <v>0</v>
      </c>
      <c r="AJ116" s="75">
        <v>0</v>
      </c>
      <c r="AK116" s="123"/>
      <c r="AL116" s="124"/>
      <c r="AM116" s="124"/>
      <c r="AN116" s="124"/>
      <c r="AO116" s="124"/>
      <c r="AP116" s="124"/>
      <c r="AQ116" s="124"/>
      <c r="AR116" s="124"/>
      <c r="AS116" s="124"/>
      <c r="AT116" s="124"/>
      <c r="AU116" s="124"/>
      <c r="AV116" s="124"/>
      <c r="AW116" s="124"/>
      <c r="AX116" s="125"/>
    </row>
    <row r="117" spans="1:50" s="40" customFormat="1" ht="25" customHeight="1" thickBot="1" x14ac:dyDescent="0.35">
      <c r="A117" s="42">
        <v>101</v>
      </c>
      <c r="B117" s="66" t="s">
        <v>290</v>
      </c>
      <c r="C117" s="67" t="s">
        <v>291</v>
      </c>
      <c r="D117" s="91">
        <v>29952</v>
      </c>
      <c r="E117" s="90" t="s">
        <v>15</v>
      </c>
      <c r="F117" s="68" t="s">
        <v>22</v>
      </c>
      <c r="G117" s="69">
        <v>2448978455</v>
      </c>
      <c r="H117" s="108"/>
      <c r="I117" s="109"/>
      <c r="J117" s="70" t="s">
        <v>12</v>
      </c>
      <c r="K117" s="66"/>
      <c r="L117" s="71">
        <v>75000000</v>
      </c>
      <c r="M117" s="92">
        <v>75000000</v>
      </c>
      <c r="N117" s="72">
        <v>44993</v>
      </c>
      <c r="O117" s="91">
        <v>44993</v>
      </c>
      <c r="P117" s="72">
        <v>45024</v>
      </c>
      <c r="Q117" s="91">
        <v>45724</v>
      </c>
      <c r="R117" s="53">
        <f t="shared" si="2"/>
        <v>2.0027397260273974</v>
      </c>
      <c r="S117" s="72"/>
      <c r="T117" s="73">
        <v>0.5</v>
      </c>
      <c r="U117" s="71">
        <v>75000000</v>
      </c>
      <c r="V117" s="94">
        <v>7.3999999999999996E-2</v>
      </c>
      <c r="W117" s="97">
        <v>48379676</v>
      </c>
      <c r="X117" s="101">
        <v>0</v>
      </c>
      <c r="Y117" s="98">
        <f t="shared" si="3"/>
        <v>24189838</v>
      </c>
      <c r="Z117" s="100" t="s">
        <v>7</v>
      </c>
      <c r="AA117" s="92">
        <v>0</v>
      </c>
      <c r="AB117" s="102">
        <v>0</v>
      </c>
      <c r="AC117" s="114"/>
      <c r="AD117" s="81"/>
      <c r="AE117" s="83"/>
      <c r="AF117" s="82"/>
      <c r="AG117" s="119"/>
      <c r="AH117" s="79">
        <v>9</v>
      </c>
      <c r="AI117" s="74">
        <v>0</v>
      </c>
      <c r="AJ117" s="75">
        <v>0</v>
      </c>
      <c r="AK117" s="123"/>
      <c r="AL117" s="124"/>
      <c r="AM117" s="124"/>
      <c r="AN117" s="124"/>
      <c r="AO117" s="124"/>
      <c r="AP117" s="124"/>
      <c r="AQ117" s="124"/>
      <c r="AR117" s="124"/>
      <c r="AS117" s="124"/>
      <c r="AT117" s="124"/>
      <c r="AU117" s="124"/>
      <c r="AV117" s="124"/>
      <c r="AW117" s="124"/>
      <c r="AX117" s="125"/>
    </row>
    <row r="118" spans="1:50" s="40" customFormat="1" ht="25" customHeight="1" thickBot="1" x14ac:dyDescent="0.35">
      <c r="A118" s="42">
        <v>102</v>
      </c>
      <c r="B118" s="66">
        <v>502497</v>
      </c>
      <c r="C118" s="67" t="s">
        <v>292</v>
      </c>
      <c r="D118" s="91">
        <v>36445</v>
      </c>
      <c r="E118" s="90" t="s">
        <v>12</v>
      </c>
      <c r="F118" s="68" t="s">
        <v>30</v>
      </c>
      <c r="G118" s="69">
        <v>250359776</v>
      </c>
      <c r="H118" s="108"/>
      <c r="I118" s="109"/>
      <c r="J118" s="70" t="s">
        <v>12</v>
      </c>
      <c r="K118" s="66"/>
      <c r="L118" s="71">
        <v>200000000</v>
      </c>
      <c r="M118" s="92">
        <v>200000000</v>
      </c>
      <c r="N118" s="72">
        <v>44774</v>
      </c>
      <c r="O118" s="91">
        <v>44774</v>
      </c>
      <c r="P118" s="72">
        <v>44805</v>
      </c>
      <c r="Q118" s="91">
        <v>45870</v>
      </c>
      <c r="R118" s="53">
        <f t="shared" si="2"/>
        <v>3.0027397260273974</v>
      </c>
      <c r="S118" s="72"/>
      <c r="T118" s="73">
        <v>0.5</v>
      </c>
      <c r="U118" s="71">
        <v>200000000</v>
      </c>
      <c r="V118" s="94">
        <v>7.0000000000000007E-2</v>
      </c>
      <c r="W118" s="97">
        <v>117122351</v>
      </c>
      <c r="X118" s="101">
        <v>0</v>
      </c>
      <c r="Y118" s="98">
        <f t="shared" si="3"/>
        <v>58561175.5</v>
      </c>
      <c r="Z118" s="100" t="s">
        <v>7</v>
      </c>
      <c r="AA118" s="92">
        <v>0</v>
      </c>
      <c r="AB118" s="102">
        <v>0</v>
      </c>
      <c r="AC118" s="114"/>
      <c r="AD118" s="81"/>
      <c r="AE118" s="83"/>
      <c r="AF118" s="82"/>
      <c r="AG118" s="119"/>
      <c r="AH118" s="79">
        <v>15</v>
      </c>
      <c r="AI118" s="74">
        <v>0</v>
      </c>
      <c r="AJ118" s="75">
        <v>0</v>
      </c>
      <c r="AK118" s="123"/>
      <c r="AL118" s="124"/>
      <c r="AM118" s="124"/>
      <c r="AN118" s="124"/>
      <c r="AO118" s="124"/>
      <c r="AP118" s="124"/>
      <c r="AQ118" s="124"/>
      <c r="AR118" s="124"/>
      <c r="AS118" s="124"/>
      <c r="AT118" s="124"/>
      <c r="AU118" s="124"/>
      <c r="AV118" s="124"/>
      <c r="AW118" s="124"/>
      <c r="AX118" s="125"/>
    </row>
    <row r="119" spans="1:50" s="40" customFormat="1" ht="25" customHeight="1" thickBot="1" x14ac:dyDescent="0.35">
      <c r="A119" s="42">
        <v>103</v>
      </c>
      <c r="B119" s="66" t="s">
        <v>294</v>
      </c>
      <c r="C119" s="67" t="s">
        <v>293</v>
      </c>
      <c r="D119" s="91">
        <v>42286</v>
      </c>
      <c r="E119" s="90" t="s">
        <v>8</v>
      </c>
      <c r="F119" s="68" t="s">
        <v>30</v>
      </c>
      <c r="G119" s="69">
        <v>2984297653</v>
      </c>
      <c r="H119" s="108"/>
      <c r="I119" s="109"/>
      <c r="J119" s="70" t="s">
        <v>12</v>
      </c>
      <c r="K119" s="66"/>
      <c r="L119" s="71">
        <v>400000000</v>
      </c>
      <c r="M119" s="92">
        <v>400000000</v>
      </c>
      <c r="N119" s="72">
        <v>44818</v>
      </c>
      <c r="O119" s="91">
        <v>44818</v>
      </c>
      <c r="P119" s="72">
        <v>44565</v>
      </c>
      <c r="Q119" s="91">
        <v>45914</v>
      </c>
      <c r="R119" s="53">
        <f t="shared" si="2"/>
        <v>3.0027397260273974</v>
      </c>
      <c r="S119" s="72"/>
      <c r="T119" s="73">
        <v>0.5</v>
      </c>
      <c r="U119" s="71">
        <v>400000000</v>
      </c>
      <c r="V119" s="94">
        <v>7.4999999999999997E-2</v>
      </c>
      <c r="W119" s="97">
        <v>245973200</v>
      </c>
      <c r="X119" s="101">
        <v>12678047</v>
      </c>
      <c r="Y119" s="98">
        <f t="shared" si="3"/>
        <v>122986600</v>
      </c>
      <c r="Z119" s="100" t="s">
        <v>6</v>
      </c>
      <c r="AA119" s="92">
        <v>17</v>
      </c>
      <c r="AB119" s="102">
        <v>259816575</v>
      </c>
      <c r="AC119" s="114"/>
      <c r="AD119" s="81"/>
      <c r="AE119" s="83"/>
      <c r="AF119" s="82"/>
      <c r="AG119" s="119"/>
      <c r="AH119" s="79">
        <v>0</v>
      </c>
      <c r="AI119" s="74">
        <v>0</v>
      </c>
      <c r="AJ119" s="75">
        <v>0</v>
      </c>
      <c r="AK119" s="123"/>
      <c r="AL119" s="124"/>
      <c r="AM119" s="124"/>
      <c r="AN119" s="124"/>
      <c r="AO119" s="124"/>
      <c r="AP119" s="124"/>
      <c r="AQ119" s="124"/>
      <c r="AR119" s="124"/>
      <c r="AS119" s="124"/>
      <c r="AT119" s="124"/>
      <c r="AU119" s="124"/>
      <c r="AV119" s="124"/>
      <c r="AW119" s="124"/>
      <c r="AX119" s="125"/>
    </row>
    <row r="120" spans="1:50" s="40" customFormat="1" ht="25" customHeight="1" thickBot="1" x14ac:dyDescent="0.35">
      <c r="A120" s="42">
        <v>104</v>
      </c>
      <c r="B120" s="66" t="s">
        <v>295</v>
      </c>
      <c r="C120" s="67" t="s">
        <v>289</v>
      </c>
      <c r="D120" s="91">
        <v>39244</v>
      </c>
      <c r="E120" s="90" t="s">
        <v>8</v>
      </c>
      <c r="F120" s="68" t="s">
        <v>19</v>
      </c>
      <c r="G120" s="69">
        <v>18632195</v>
      </c>
      <c r="H120" s="108"/>
      <c r="I120" s="109"/>
      <c r="J120" s="70" t="s">
        <v>12</v>
      </c>
      <c r="K120" s="66"/>
      <c r="L120" s="71">
        <v>500000000</v>
      </c>
      <c r="M120" s="92">
        <v>500000000</v>
      </c>
      <c r="N120" s="72">
        <v>44834</v>
      </c>
      <c r="O120" s="91">
        <v>44834</v>
      </c>
      <c r="P120" s="72">
        <v>44864</v>
      </c>
      <c r="Q120" s="91">
        <v>46660</v>
      </c>
      <c r="R120" s="53">
        <f t="shared" si="2"/>
        <v>5.0027397260273974</v>
      </c>
      <c r="S120" s="72"/>
      <c r="T120" s="73">
        <v>0.5</v>
      </c>
      <c r="U120" s="71">
        <v>500000000</v>
      </c>
      <c r="V120" s="94">
        <v>6.5000000000000002E-2</v>
      </c>
      <c r="W120" s="97">
        <v>399680030</v>
      </c>
      <c r="X120" s="101">
        <v>0</v>
      </c>
      <c r="Y120" s="98">
        <f t="shared" si="3"/>
        <v>199840015</v>
      </c>
      <c r="Z120" s="100" t="s">
        <v>7</v>
      </c>
      <c r="AA120" s="92">
        <v>0</v>
      </c>
      <c r="AB120" s="102">
        <v>0</v>
      </c>
      <c r="AC120" s="114"/>
      <c r="AD120" s="81"/>
      <c r="AE120" s="83"/>
      <c r="AF120" s="82"/>
      <c r="AG120" s="119"/>
      <c r="AH120" s="79">
        <v>50</v>
      </c>
      <c r="AI120" s="74">
        <v>0</v>
      </c>
      <c r="AJ120" s="75">
        <v>0</v>
      </c>
      <c r="AK120" s="123"/>
      <c r="AL120" s="124"/>
      <c r="AM120" s="124"/>
      <c r="AN120" s="124"/>
      <c r="AO120" s="124"/>
      <c r="AP120" s="124"/>
      <c r="AQ120" s="124"/>
      <c r="AR120" s="124"/>
      <c r="AS120" s="124"/>
      <c r="AT120" s="124"/>
      <c r="AU120" s="124"/>
      <c r="AV120" s="124"/>
      <c r="AW120" s="124"/>
      <c r="AX120" s="125"/>
    </row>
    <row r="121" spans="1:50" s="40" customFormat="1" ht="25" customHeight="1" thickBot="1" x14ac:dyDescent="0.35">
      <c r="A121" s="42">
        <v>105</v>
      </c>
      <c r="B121" s="66">
        <v>507442</v>
      </c>
      <c r="C121" s="67" t="s">
        <v>296</v>
      </c>
      <c r="D121" s="91">
        <v>44362</v>
      </c>
      <c r="E121" s="90" t="s">
        <v>8</v>
      </c>
      <c r="F121" s="68" t="s">
        <v>30</v>
      </c>
      <c r="G121" s="69">
        <v>260000000</v>
      </c>
      <c r="H121" s="108"/>
      <c r="I121" s="109"/>
      <c r="J121" s="70" t="s">
        <v>12</v>
      </c>
      <c r="K121" s="66"/>
      <c r="L121" s="71">
        <v>34000000</v>
      </c>
      <c r="M121" s="92">
        <v>34000000</v>
      </c>
      <c r="N121" s="72">
        <v>44925</v>
      </c>
      <c r="O121" s="91">
        <v>44956</v>
      </c>
      <c r="P121" s="72">
        <v>44956</v>
      </c>
      <c r="Q121" s="91">
        <v>46386</v>
      </c>
      <c r="R121" s="53">
        <f t="shared" si="2"/>
        <v>3.9178082191780823</v>
      </c>
      <c r="S121" s="72"/>
      <c r="T121" s="73">
        <v>0.5</v>
      </c>
      <c r="U121" s="71">
        <v>34000000</v>
      </c>
      <c r="V121" s="94">
        <v>0.09</v>
      </c>
      <c r="W121" s="97">
        <v>27416976</v>
      </c>
      <c r="X121" s="101">
        <v>1742016</v>
      </c>
      <c r="Y121" s="98">
        <f t="shared" si="3"/>
        <v>13708488</v>
      </c>
      <c r="Z121" s="100" t="s">
        <v>5</v>
      </c>
      <c r="AA121" s="92">
        <v>0</v>
      </c>
      <c r="AB121" s="102">
        <v>0</v>
      </c>
      <c r="AC121" s="114"/>
      <c r="AD121" s="81"/>
      <c r="AE121" s="83"/>
      <c r="AF121" s="82"/>
      <c r="AG121" s="119"/>
      <c r="AH121" s="79">
        <v>5</v>
      </c>
      <c r="AI121" s="74">
        <v>0</v>
      </c>
      <c r="AJ121" s="75">
        <v>0</v>
      </c>
      <c r="AK121" s="123"/>
      <c r="AL121" s="124"/>
      <c r="AM121" s="124"/>
      <c r="AN121" s="124"/>
      <c r="AO121" s="124"/>
      <c r="AP121" s="124"/>
      <c r="AQ121" s="124"/>
      <c r="AR121" s="124"/>
      <c r="AS121" s="124"/>
      <c r="AT121" s="124"/>
      <c r="AU121" s="124"/>
      <c r="AV121" s="124"/>
      <c r="AW121" s="124"/>
      <c r="AX121" s="125"/>
    </row>
    <row r="122" spans="1:50" s="40" customFormat="1" ht="25" customHeight="1" thickBot="1" x14ac:dyDescent="0.35">
      <c r="A122" s="42">
        <v>106</v>
      </c>
      <c r="B122" s="66">
        <v>511833</v>
      </c>
      <c r="C122" s="67" t="s">
        <v>297</v>
      </c>
      <c r="D122" s="91">
        <v>43396</v>
      </c>
      <c r="E122" s="90" t="s">
        <v>8</v>
      </c>
      <c r="F122" s="68" t="s">
        <v>23</v>
      </c>
      <c r="G122" s="69">
        <v>3688000000</v>
      </c>
      <c r="H122" s="108"/>
      <c r="I122" s="109"/>
      <c r="J122" s="70" t="s">
        <v>12</v>
      </c>
      <c r="K122" s="66"/>
      <c r="L122" s="71">
        <v>50000000</v>
      </c>
      <c r="M122" s="92">
        <v>50000000</v>
      </c>
      <c r="N122" s="72">
        <v>44991</v>
      </c>
      <c r="O122" s="91">
        <v>44991</v>
      </c>
      <c r="P122" s="72">
        <v>45022</v>
      </c>
      <c r="Q122" s="91">
        <v>45357</v>
      </c>
      <c r="R122" s="53">
        <f t="shared" si="2"/>
        <v>1.0027397260273974</v>
      </c>
      <c r="S122" s="72"/>
      <c r="T122" s="73">
        <v>0.5</v>
      </c>
      <c r="U122" s="71">
        <v>50000000</v>
      </c>
      <c r="V122" s="94">
        <v>0.06</v>
      </c>
      <c r="W122" s="97">
        <v>12829996</v>
      </c>
      <c r="X122" s="101">
        <v>0</v>
      </c>
      <c r="Y122" s="98">
        <f t="shared" si="3"/>
        <v>6414998</v>
      </c>
      <c r="Z122" s="100" t="s">
        <v>7</v>
      </c>
      <c r="AA122" s="92">
        <v>0</v>
      </c>
      <c r="AB122" s="102">
        <v>0</v>
      </c>
      <c r="AC122" s="114"/>
      <c r="AD122" s="81"/>
      <c r="AE122" s="83"/>
      <c r="AF122" s="82"/>
      <c r="AG122" s="119"/>
      <c r="AH122" s="79">
        <v>38</v>
      </c>
      <c r="AI122" s="74">
        <v>0</v>
      </c>
      <c r="AJ122" s="75">
        <v>0</v>
      </c>
      <c r="AK122" s="123"/>
      <c r="AL122" s="124"/>
      <c r="AM122" s="124"/>
      <c r="AN122" s="124"/>
      <c r="AO122" s="124"/>
      <c r="AP122" s="124"/>
      <c r="AQ122" s="124"/>
      <c r="AR122" s="124"/>
      <c r="AS122" s="124"/>
      <c r="AT122" s="124"/>
      <c r="AU122" s="124"/>
      <c r="AV122" s="124"/>
      <c r="AW122" s="124"/>
      <c r="AX122" s="125"/>
    </row>
    <row r="123" spans="1:50" s="40" customFormat="1" ht="25" customHeight="1" thickBot="1" x14ac:dyDescent="0.35">
      <c r="A123" s="42">
        <v>107</v>
      </c>
      <c r="B123" s="66" t="s">
        <v>298</v>
      </c>
      <c r="C123" s="67" t="s">
        <v>297</v>
      </c>
      <c r="D123" s="91">
        <v>43396</v>
      </c>
      <c r="E123" s="90" t="s">
        <v>8</v>
      </c>
      <c r="F123" s="68" t="s">
        <v>23</v>
      </c>
      <c r="G123" s="69">
        <v>3688000000</v>
      </c>
      <c r="H123" s="108"/>
      <c r="I123" s="109"/>
      <c r="J123" s="70" t="s">
        <v>12</v>
      </c>
      <c r="K123" s="66"/>
      <c r="L123" s="71">
        <v>400000000</v>
      </c>
      <c r="M123" s="92">
        <v>400000000</v>
      </c>
      <c r="N123" s="72">
        <v>44925</v>
      </c>
      <c r="O123" s="91">
        <v>44925</v>
      </c>
      <c r="P123" s="72">
        <v>44956</v>
      </c>
      <c r="Q123" s="91">
        <v>46386</v>
      </c>
      <c r="R123" s="53">
        <f t="shared" si="2"/>
        <v>4.0027397260273974</v>
      </c>
      <c r="S123" s="72"/>
      <c r="T123" s="73">
        <v>0.5</v>
      </c>
      <c r="U123" s="71">
        <v>400000000</v>
      </c>
      <c r="V123" s="94">
        <v>7.4999999999999997E-2</v>
      </c>
      <c r="W123" s="97">
        <v>320277924</v>
      </c>
      <c r="X123" s="101">
        <v>0</v>
      </c>
      <c r="Y123" s="98">
        <f t="shared" si="3"/>
        <v>160138962</v>
      </c>
      <c r="Z123" s="100" t="s">
        <v>7</v>
      </c>
      <c r="AA123" s="92">
        <v>0</v>
      </c>
      <c r="AB123" s="102">
        <v>0</v>
      </c>
      <c r="AC123" s="114"/>
      <c r="AD123" s="81"/>
      <c r="AE123" s="83"/>
      <c r="AF123" s="82"/>
      <c r="AG123" s="119"/>
      <c r="AH123" s="79">
        <v>38</v>
      </c>
      <c r="AI123" s="74">
        <v>0</v>
      </c>
      <c r="AJ123" s="75">
        <v>0</v>
      </c>
      <c r="AK123" s="123"/>
      <c r="AL123" s="124"/>
      <c r="AM123" s="124"/>
      <c r="AN123" s="124"/>
      <c r="AO123" s="124"/>
      <c r="AP123" s="124"/>
      <c r="AQ123" s="124"/>
      <c r="AR123" s="124"/>
      <c r="AS123" s="124"/>
      <c r="AT123" s="124"/>
      <c r="AU123" s="124"/>
      <c r="AV123" s="124"/>
      <c r="AW123" s="124"/>
      <c r="AX123" s="125"/>
    </row>
    <row r="124" spans="1:50" s="40" customFormat="1" ht="25" customHeight="1" thickBot="1" x14ac:dyDescent="0.35">
      <c r="A124" s="42">
        <v>108</v>
      </c>
      <c r="B124" s="66">
        <v>511172</v>
      </c>
      <c r="C124" s="67" t="s">
        <v>299</v>
      </c>
      <c r="D124" s="91">
        <v>39287</v>
      </c>
      <c r="E124" s="90" t="s">
        <v>8</v>
      </c>
      <c r="F124" s="68" t="s">
        <v>30</v>
      </c>
      <c r="G124" s="69">
        <v>2724000000</v>
      </c>
      <c r="H124" s="108"/>
      <c r="I124" s="109"/>
      <c r="J124" s="70" t="s">
        <v>12</v>
      </c>
      <c r="K124" s="66"/>
      <c r="L124" s="71">
        <v>300000000</v>
      </c>
      <c r="M124" s="92">
        <v>300000000</v>
      </c>
      <c r="N124" s="72">
        <v>44978</v>
      </c>
      <c r="O124" s="91">
        <v>45006</v>
      </c>
      <c r="P124" s="72">
        <v>45006</v>
      </c>
      <c r="Q124" s="91">
        <v>46439</v>
      </c>
      <c r="R124" s="53">
        <f t="shared" si="2"/>
        <v>3.9260273972602739</v>
      </c>
      <c r="S124" s="72"/>
      <c r="T124" s="73">
        <v>0.5</v>
      </c>
      <c r="U124" s="71">
        <v>300000000</v>
      </c>
      <c r="V124" s="94">
        <v>7.4999999999999997E-2</v>
      </c>
      <c r="W124" s="97">
        <v>245844208</v>
      </c>
      <c r="X124" s="101">
        <v>0</v>
      </c>
      <c r="Y124" s="98">
        <f t="shared" si="3"/>
        <v>122922104</v>
      </c>
      <c r="Z124" s="100" t="s">
        <v>7</v>
      </c>
      <c r="AA124" s="92">
        <v>0</v>
      </c>
      <c r="AB124" s="102">
        <v>0</v>
      </c>
      <c r="AC124" s="114"/>
      <c r="AD124" s="81"/>
      <c r="AE124" s="83"/>
      <c r="AF124" s="82"/>
      <c r="AG124" s="119"/>
      <c r="AH124" s="79">
        <v>34</v>
      </c>
      <c r="AI124" s="74">
        <v>0</v>
      </c>
      <c r="AJ124" s="75">
        <v>0</v>
      </c>
      <c r="AK124" s="123"/>
      <c r="AL124" s="124"/>
      <c r="AM124" s="124"/>
      <c r="AN124" s="124"/>
      <c r="AO124" s="124"/>
      <c r="AP124" s="124"/>
      <c r="AQ124" s="124"/>
      <c r="AR124" s="124"/>
      <c r="AS124" s="124"/>
      <c r="AT124" s="124"/>
      <c r="AU124" s="124"/>
      <c r="AV124" s="124"/>
      <c r="AW124" s="124"/>
      <c r="AX124" s="125"/>
    </row>
    <row r="125" spans="1:50" s="40" customFormat="1" ht="25" customHeight="1" thickBot="1" x14ac:dyDescent="0.35">
      <c r="A125" s="42">
        <v>109</v>
      </c>
      <c r="B125" s="66">
        <v>508097</v>
      </c>
      <c r="C125" s="67" t="s">
        <v>300</v>
      </c>
      <c r="D125" s="91">
        <v>42027</v>
      </c>
      <c r="E125" s="90" t="s">
        <v>8</v>
      </c>
      <c r="F125" s="68" t="s">
        <v>30</v>
      </c>
      <c r="G125" s="69">
        <v>2733000000</v>
      </c>
      <c r="H125" s="108"/>
      <c r="I125" s="109"/>
      <c r="J125" s="70" t="s">
        <v>12</v>
      </c>
      <c r="K125" s="66"/>
      <c r="L125" s="71">
        <v>400000000</v>
      </c>
      <c r="M125" s="92">
        <v>400000000</v>
      </c>
      <c r="N125" s="72">
        <v>44920</v>
      </c>
      <c r="O125" s="91">
        <v>44920</v>
      </c>
      <c r="P125" s="72">
        <v>44951</v>
      </c>
      <c r="Q125" s="91">
        <v>45833</v>
      </c>
      <c r="R125" s="53">
        <f t="shared" si="2"/>
        <v>2.5013698630136987</v>
      </c>
      <c r="S125" s="72"/>
      <c r="T125" s="73">
        <v>0.5</v>
      </c>
      <c r="U125" s="71">
        <v>400000000</v>
      </c>
      <c r="V125" s="94">
        <v>0.08</v>
      </c>
      <c r="W125" s="97">
        <v>251089486</v>
      </c>
      <c r="X125" s="101">
        <v>123192617</v>
      </c>
      <c r="Y125" s="98">
        <f t="shared" si="3"/>
        <v>125544743</v>
      </c>
      <c r="Z125" s="100" t="s">
        <v>6</v>
      </c>
      <c r="AA125" s="92">
        <v>194</v>
      </c>
      <c r="AB125" s="102">
        <v>311394814</v>
      </c>
      <c r="AC125" s="114"/>
      <c r="AD125" s="81"/>
      <c r="AE125" s="83"/>
      <c r="AF125" s="82"/>
      <c r="AG125" s="119"/>
      <c r="AH125" s="79">
        <v>17</v>
      </c>
      <c r="AI125" s="74">
        <v>0</v>
      </c>
      <c r="AJ125" s="75">
        <v>0</v>
      </c>
      <c r="AK125" s="123"/>
      <c r="AL125" s="124"/>
      <c r="AM125" s="124"/>
      <c r="AN125" s="124"/>
      <c r="AO125" s="124"/>
      <c r="AP125" s="124"/>
      <c r="AQ125" s="124"/>
      <c r="AR125" s="124"/>
      <c r="AS125" s="124"/>
      <c r="AT125" s="124"/>
      <c r="AU125" s="124"/>
      <c r="AV125" s="124"/>
      <c r="AW125" s="124"/>
      <c r="AX125" s="125"/>
    </row>
    <row r="126" spans="1:50" s="40" customFormat="1" ht="25" customHeight="1" thickBot="1" x14ac:dyDescent="0.35">
      <c r="A126" s="42">
        <v>110</v>
      </c>
      <c r="B126" s="66">
        <v>532127</v>
      </c>
      <c r="C126" s="67" t="s">
        <v>301</v>
      </c>
      <c r="D126" s="91">
        <v>37747</v>
      </c>
      <c r="E126" s="90" t="s">
        <v>10</v>
      </c>
      <c r="F126" s="68" t="s">
        <v>29</v>
      </c>
      <c r="G126" s="69">
        <v>1</v>
      </c>
      <c r="H126" s="108"/>
      <c r="I126" s="109"/>
      <c r="J126" s="70" t="s">
        <v>12</v>
      </c>
      <c r="K126" s="66"/>
      <c r="L126" s="71">
        <v>40000000</v>
      </c>
      <c r="M126" s="92">
        <v>40000000</v>
      </c>
      <c r="N126" s="72">
        <v>45303</v>
      </c>
      <c r="O126" s="91">
        <v>45303</v>
      </c>
      <c r="P126" s="72">
        <v>45334</v>
      </c>
      <c r="Q126" s="91">
        <v>47130</v>
      </c>
      <c r="R126" s="53">
        <f t="shared" si="2"/>
        <v>5.0054794520547947</v>
      </c>
      <c r="S126" s="72"/>
      <c r="T126" s="73">
        <v>0.5</v>
      </c>
      <c r="U126" s="71">
        <v>40000000</v>
      </c>
      <c r="V126" s="94">
        <v>0.09</v>
      </c>
      <c r="W126" s="97">
        <v>40000000</v>
      </c>
      <c r="X126" s="101">
        <v>0</v>
      </c>
      <c r="Y126" s="98">
        <f t="shared" si="3"/>
        <v>20000000</v>
      </c>
      <c r="Z126" s="100" t="s">
        <v>7</v>
      </c>
      <c r="AA126" s="92">
        <v>0</v>
      </c>
      <c r="AB126" s="102">
        <v>0</v>
      </c>
      <c r="AC126" s="114"/>
      <c r="AD126" s="81"/>
      <c r="AE126" s="83"/>
      <c r="AF126" s="82"/>
      <c r="AG126" s="119"/>
      <c r="AH126" s="79">
        <v>0</v>
      </c>
      <c r="AI126" s="74">
        <v>0</v>
      </c>
      <c r="AJ126" s="75">
        <v>0</v>
      </c>
      <c r="AK126" s="123"/>
      <c r="AL126" s="124"/>
      <c r="AM126" s="124"/>
      <c r="AN126" s="124"/>
      <c r="AO126" s="124"/>
      <c r="AP126" s="124"/>
      <c r="AQ126" s="124"/>
      <c r="AR126" s="124"/>
      <c r="AS126" s="124"/>
      <c r="AT126" s="124"/>
      <c r="AU126" s="124"/>
      <c r="AV126" s="124"/>
      <c r="AW126" s="124"/>
      <c r="AX126" s="125"/>
    </row>
    <row r="127" spans="1:50" s="40" customFormat="1" ht="25" customHeight="1" thickBot="1" x14ac:dyDescent="0.35">
      <c r="A127" s="42">
        <v>111</v>
      </c>
      <c r="B127" s="66">
        <v>515427</v>
      </c>
      <c r="C127" s="67" t="s">
        <v>302</v>
      </c>
      <c r="D127" s="91">
        <v>38958</v>
      </c>
      <c r="E127" s="90" t="s">
        <v>8</v>
      </c>
      <c r="F127" s="68" t="s">
        <v>22</v>
      </c>
      <c r="G127" s="69">
        <v>11814442</v>
      </c>
      <c r="H127" s="108"/>
      <c r="I127" s="109"/>
      <c r="J127" s="70" t="s">
        <v>12</v>
      </c>
      <c r="K127" s="66"/>
      <c r="L127" s="71">
        <v>350000000</v>
      </c>
      <c r="M127" s="92">
        <v>350000000</v>
      </c>
      <c r="N127" s="72">
        <v>45010</v>
      </c>
      <c r="O127" s="91">
        <v>45010</v>
      </c>
      <c r="P127" s="72">
        <v>45102</v>
      </c>
      <c r="Q127" s="91">
        <v>45802</v>
      </c>
      <c r="R127" s="53">
        <f t="shared" si="2"/>
        <v>2.1698630136986301</v>
      </c>
      <c r="S127" s="72"/>
      <c r="T127" s="73">
        <v>0.5</v>
      </c>
      <c r="U127" s="71">
        <v>350000000</v>
      </c>
      <c r="V127" s="94">
        <v>7.0000000000000007E-2</v>
      </c>
      <c r="W127" s="97">
        <v>253749091</v>
      </c>
      <c r="X127" s="101">
        <v>15859899</v>
      </c>
      <c r="Y127" s="98">
        <f t="shared" si="3"/>
        <v>126874545.5</v>
      </c>
      <c r="Z127" s="100" t="s">
        <v>5</v>
      </c>
      <c r="AA127" s="92">
        <v>5</v>
      </c>
      <c r="AB127" s="102">
        <v>0</v>
      </c>
      <c r="AC127" s="114"/>
      <c r="AD127" s="81"/>
      <c r="AE127" s="83"/>
      <c r="AF127" s="82"/>
      <c r="AG127" s="119"/>
      <c r="AH127" s="79">
        <v>6</v>
      </c>
      <c r="AI127" s="74">
        <v>0</v>
      </c>
      <c r="AJ127" s="75">
        <v>0</v>
      </c>
      <c r="AK127" s="123"/>
      <c r="AL127" s="124"/>
      <c r="AM127" s="124"/>
      <c r="AN127" s="124"/>
      <c r="AO127" s="124"/>
      <c r="AP127" s="124"/>
      <c r="AQ127" s="124"/>
      <c r="AR127" s="124"/>
      <c r="AS127" s="124"/>
      <c r="AT127" s="124"/>
      <c r="AU127" s="124"/>
      <c r="AV127" s="124"/>
      <c r="AW127" s="124"/>
      <c r="AX127" s="125"/>
    </row>
    <row r="128" spans="1:50" s="40" customFormat="1" ht="25" customHeight="1" thickBot="1" x14ac:dyDescent="0.35">
      <c r="A128" s="42">
        <v>112</v>
      </c>
      <c r="B128" s="66">
        <v>521852</v>
      </c>
      <c r="C128" s="67" t="s">
        <v>303</v>
      </c>
      <c r="D128" s="91">
        <v>39938</v>
      </c>
      <c r="E128" s="90" t="s">
        <v>8</v>
      </c>
      <c r="F128" s="68" t="s">
        <v>19</v>
      </c>
      <c r="G128" s="69">
        <v>11814442</v>
      </c>
      <c r="H128" s="108"/>
      <c r="I128" s="109"/>
      <c r="J128" s="70" t="s">
        <v>12</v>
      </c>
      <c r="K128" s="66"/>
      <c r="L128" s="71">
        <v>500000000</v>
      </c>
      <c r="M128" s="92">
        <v>500000000</v>
      </c>
      <c r="N128" s="72">
        <v>45184</v>
      </c>
      <c r="O128" s="91">
        <v>45184</v>
      </c>
      <c r="P128" s="72">
        <v>45580</v>
      </c>
      <c r="Q128" s="91">
        <v>47376</v>
      </c>
      <c r="R128" s="53">
        <f t="shared" si="2"/>
        <v>6.0054794520547947</v>
      </c>
      <c r="S128" s="72"/>
      <c r="T128" s="73">
        <v>0.5</v>
      </c>
      <c r="U128" s="71">
        <v>500000000</v>
      </c>
      <c r="V128" s="94">
        <v>7.0000000000000007E-2</v>
      </c>
      <c r="W128" s="97">
        <v>500000000</v>
      </c>
      <c r="X128" s="101">
        <v>0</v>
      </c>
      <c r="Y128" s="98">
        <f t="shared" si="3"/>
        <v>250000000</v>
      </c>
      <c r="Z128" s="100" t="s">
        <v>7</v>
      </c>
      <c r="AA128" s="92">
        <v>0</v>
      </c>
      <c r="AB128" s="102">
        <v>0</v>
      </c>
      <c r="AC128" s="114"/>
      <c r="AD128" s="81"/>
      <c r="AE128" s="83"/>
      <c r="AF128" s="82"/>
      <c r="AG128" s="119"/>
      <c r="AH128" s="79">
        <v>0</v>
      </c>
      <c r="AI128" s="74">
        <v>0</v>
      </c>
      <c r="AJ128" s="75">
        <v>0</v>
      </c>
      <c r="AK128" s="123"/>
      <c r="AL128" s="124"/>
      <c r="AM128" s="124"/>
      <c r="AN128" s="124"/>
      <c r="AO128" s="124"/>
      <c r="AP128" s="124"/>
      <c r="AQ128" s="124"/>
      <c r="AR128" s="124"/>
      <c r="AS128" s="124"/>
      <c r="AT128" s="124"/>
      <c r="AU128" s="124"/>
      <c r="AV128" s="124"/>
      <c r="AW128" s="124"/>
      <c r="AX128" s="125"/>
    </row>
    <row r="129" spans="1:50" s="40" customFormat="1" ht="25" customHeight="1" thickBot="1" x14ac:dyDescent="0.35">
      <c r="A129" s="42">
        <v>113</v>
      </c>
      <c r="B129" s="66"/>
      <c r="C129" s="67"/>
      <c r="D129" s="91"/>
      <c r="E129" s="90"/>
      <c r="F129" s="68"/>
      <c r="G129" s="69"/>
      <c r="H129" s="108"/>
      <c r="I129" s="109"/>
      <c r="J129" s="70"/>
      <c r="K129" s="66"/>
      <c r="L129" s="71"/>
      <c r="M129" s="92"/>
      <c r="N129" s="72"/>
      <c r="O129" s="91"/>
      <c r="P129" s="72"/>
      <c r="Q129" s="91"/>
      <c r="R129" s="53" t="str">
        <f t="shared" si="2"/>
        <v/>
      </c>
      <c r="S129" s="72"/>
      <c r="T129" s="73"/>
      <c r="U129" s="71"/>
      <c r="V129" s="94"/>
      <c r="W129" s="97"/>
      <c r="X129" s="101"/>
      <c r="Y129" s="98" t="str">
        <f t="shared" si="3"/>
        <v/>
      </c>
      <c r="Z129" s="100"/>
      <c r="AA129" s="92"/>
      <c r="AB129" s="102"/>
      <c r="AC129" s="114"/>
      <c r="AD129" s="81"/>
      <c r="AE129" s="83"/>
      <c r="AF129" s="82"/>
      <c r="AG129" s="119"/>
      <c r="AH129" s="79"/>
      <c r="AI129" s="74"/>
      <c r="AJ129" s="75"/>
      <c r="AK129" s="123"/>
      <c r="AL129" s="124"/>
      <c r="AM129" s="124"/>
      <c r="AN129" s="124"/>
      <c r="AO129" s="124"/>
      <c r="AP129" s="124"/>
      <c r="AQ129" s="124"/>
      <c r="AR129" s="124"/>
      <c r="AS129" s="124"/>
      <c r="AT129" s="124"/>
      <c r="AU129" s="124"/>
      <c r="AV129" s="124"/>
      <c r="AW129" s="124"/>
      <c r="AX129" s="125"/>
    </row>
    <row r="130" spans="1:50" s="40" customFormat="1" ht="25" customHeight="1" thickBot="1" x14ac:dyDescent="0.35">
      <c r="A130" s="42">
        <v>114</v>
      </c>
      <c r="B130" s="66"/>
      <c r="C130" s="67"/>
      <c r="D130" s="91"/>
      <c r="E130" s="90"/>
      <c r="F130" s="68"/>
      <c r="G130" s="69"/>
      <c r="H130" s="108"/>
      <c r="I130" s="109"/>
      <c r="J130" s="70"/>
      <c r="K130" s="66"/>
      <c r="L130" s="71"/>
      <c r="M130" s="92"/>
      <c r="N130" s="72"/>
      <c r="O130" s="91"/>
      <c r="P130" s="72"/>
      <c r="Q130" s="91"/>
      <c r="R130" s="53" t="str">
        <f t="shared" si="2"/>
        <v/>
      </c>
      <c r="S130" s="72"/>
      <c r="T130" s="73"/>
      <c r="U130" s="71"/>
      <c r="V130" s="94"/>
      <c r="W130" s="97"/>
      <c r="X130" s="101"/>
      <c r="Y130" s="98" t="str">
        <f t="shared" si="3"/>
        <v/>
      </c>
      <c r="Z130" s="100"/>
      <c r="AA130" s="92"/>
      <c r="AB130" s="102"/>
      <c r="AC130" s="114"/>
      <c r="AD130" s="81"/>
      <c r="AE130" s="83"/>
      <c r="AF130" s="82"/>
      <c r="AG130" s="119"/>
      <c r="AH130" s="79"/>
      <c r="AI130" s="74"/>
      <c r="AJ130" s="75"/>
      <c r="AK130" s="123"/>
      <c r="AL130" s="124"/>
      <c r="AM130" s="124"/>
      <c r="AN130" s="124"/>
      <c r="AO130" s="124"/>
      <c r="AP130" s="124"/>
      <c r="AQ130" s="124"/>
      <c r="AR130" s="124"/>
      <c r="AS130" s="124"/>
      <c r="AT130" s="124"/>
      <c r="AU130" s="124"/>
      <c r="AV130" s="124"/>
      <c r="AW130" s="124"/>
      <c r="AX130" s="125"/>
    </row>
    <row r="131" spans="1:50" s="40" customFormat="1" ht="25" customHeight="1" thickBot="1" x14ac:dyDescent="0.35">
      <c r="A131" s="42">
        <v>115</v>
      </c>
      <c r="B131" s="66"/>
      <c r="C131" s="67"/>
      <c r="D131" s="91"/>
      <c r="E131" s="90"/>
      <c r="F131" s="68"/>
      <c r="G131" s="69"/>
      <c r="H131" s="108"/>
      <c r="I131" s="109"/>
      <c r="J131" s="70"/>
      <c r="K131" s="66"/>
      <c r="L131" s="71"/>
      <c r="M131" s="92"/>
      <c r="N131" s="72"/>
      <c r="O131" s="91"/>
      <c r="P131" s="72"/>
      <c r="Q131" s="91"/>
      <c r="R131" s="53" t="str">
        <f t="shared" si="2"/>
        <v/>
      </c>
      <c r="S131" s="72"/>
      <c r="T131" s="73"/>
      <c r="U131" s="71"/>
      <c r="V131" s="94"/>
      <c r="W131" s="97"/>
      <c r="X131" s="101"/>
      <c r="Y131" s="98" t="str">
        <f t="shared" si="3"/>
        <v/>
      </c>
      <c r="Z131" s="100"/>
      <c r="AA131" s="92"/>
      <c r="AB131" s="102"/>
      <c r="AC131" s="114"/>
      <c r="AD131" s="81"/>
      <c r="AE131" s="83"/>
      <c r="AF131" s="82"/>
      <c r="AG131" s="119"/>
      <c r="AH131" s="79"/>
      <c r="AI131" s="74"/>
      <c r="AJ131" s="75"/>
      <c r="AK131" s="123"/>
      <c r="AL131" s="124"/>
      <c r="AM131" s="124"/>
      <c r="AN131" s="124"/>
      <c r="AO131" s="124"/>
      <c r="AP131" s="124"/>
      <c r="AQ131" s="124"/>
      <c r="AR131" s="124"/>
      <c r="AS131" s="124"/>
      <c r="AT131" s="124"/>
      <c r="AU131" s="124"/>
      <c r="AV131" s="124"/>
      <c r="AW131" s="124"/>
      <c r="AX131" s="125"/>
    </row>
    <row r="132" spans="1:50" s="40" customFormat="1" ht="25" customHeight="1" thickBot="1" x14ac:dyDescent="0.35">
      <c r="A132" s="42">
        <v>116</v>
      </c>
      <c r="B132" s="66"/>
      <c r="C132" s="67"/>
      <c r="D132" s="91"/>
      <c r="E132" s="90"/>
      <c r="F132" s="68"/>
      <c r="G132" s="69"/>
      <c r="H132" s="108"/>
      <c r="I132" s="109"/>
      <c r="J132" s="70"/>
      <c r="K132" s="66"/>
      <c r="L132" s="71"/>
      <c r="M132" s="92"/>
      <c r="N132" s="72"/>
      <c r="O132" s="91"/>
      <c r="P132" s="72"/>
      <c r="Q132" s="91"/>
      <c r="R132" s="53" t="str">
        <f t="shared" si="2"/>
        <v/>
      </c>
      <c r="S132" s="72"/>
      <c r="T132" s="73"/>
      <c r="U132" s="71"/>
      <c r="V132" s="94"/>
      <c r="W132" s="97"/>
      <c r="X132" s="101"/>
      <c r="Y132" s="98" t="str">
        <f t="shared" si="3"/>
        <v/>
      </c>
      <c r="Z132" s="100"/>
      <c r="AA132" s="92"/>
      <c r="AB132" s="102"/>
      <c r="AC132" s="114"/>
      <c r="AD132" s="81"/>
      <c r="AE132" s="83"/>
      <c r="AF132" s="82"/>
      <c r="AG132" s="119"/>
      <c r="AH132" s="79"/>
      <c r="AI132" s="74"/>
      <c r="AJ132" s="75"/>
      <c r="AK132" s="123"/>
      <c r="AL132" s="124"/>
      <c r="AM132" s="124"/>
      <c r="AN132" s="124"/>
      <c r="AO132" s="124"/>
      <c r="AP132" s="124"/>
      <c r="AQ132" s="124"/>
      <c r="AR132" s="124"/>
      <c r="AS132" s="124"/>
      <c r="AT132" s="124"/>
      <c r="AU132" s="124"/>
      <c r="AV132" s="124"/>
      <c r="AW132" s="124"/>
      <c r="AX132" s="125"/>
    </row>
    <row r="133" spans="1:50" s="40" customFormat="1" ht="25" customHeight="1" thickBot="1" x14ac:dyDescent="0.35">
      <c r="A133" s="42">
        <v>117</v>
      </c>
      <c r="B133" s="66"/>
      <c r="C133" s="67"/>
      <c r="D133" s="91"/>
      <c r="E133" s="90"/>
      <c r="F133" s="68"/>
      <c r="G133" s="69"/>
      <c r="H133" s="108"/>
      <c r="I133" s="109"/>
      <c r="J133" s="70"/>
      <c r="K133" s="66"/>
      <c r="L133" s="71"/>
      <c r="M133" s="92"/>
      <c r="N133" s="72"/>
      <c r="O133" s="91"/>
      <c r="P133" s="72"/>
      <c r="Q133" s="91"/>
      <c r="R133" s="53" t="str">
        <f t="shared" si="2"/>
        <v/>
      </c>
      <c r="S133" s="72"/>
      <c r="T133" s="73"/>
      <c r="U133" s="71"/>
      <c r="V133" s="94"/>
      <c r="W133" s="97"/>
      <c r="X133" s="101"/>
      <c r="Y133" s="98" t="str">
        <f t="shared" si="3"/>
        <v/>
      </c>
      <c r="Z133" s="100"/>
      <c r="AA133" s="92"/>
      <c r="AB133" s="102"/>
      <c r="AC133" s="114"/>
      <c r="AD133" s="81"/>
      <c r="AE133" s="83"/>
      <c r="AF133" s="82"/>
      <c r="AG133" s="119"/>
      <c r="AH133" s="79"/>
      <c r="AI133" s="74"/>
      <c r="AJ133" s="75"/>
      <c r="AK133" s="123"/>
      <c r="AL133" s="124"/>
      <c r="AM133" s="124"/>
      <c r="AN133" s="124"/>
      <c r="AO133" s="124"/>
      <c r="AP133" s="124"/>
      <c r="AQ133" s="124"/>
      <c r="AR133" s="124"/>
      <c r="AS133" s="124"/>
      <c r="AT133" s="124"/>
      <c r="AU133" s="124"/>
      <c r="AV133" s="124"/>
      <c r="AW133" s="124"/>
      <c r="AX133" s="125"/>
    </row>
    <row r="134" spans="1:50" s="40" customFormat="1" ht="25" customHeight="1" thickBot="1" x14ac:dyDescent="0.35">
      <c r="A134" s="42">
        <v>118</v>
      </c>
      <c r="B134" s="66"/>
      <c r="C134" s="67"/>
      <c r="D134" s="91"/>
      <c r="E134" s="90"/>
      <c r="F134" s="68"/>
      <c r="G134" s="69"/>
      <c r="H134" s="108"/>
      <c r="I134" s="109"/>
      <c r="J134" s="70"/>
      <c r="K134" s="66"/>
      <c r="L134" s="71"/>
      <c r="M134" s="92"/>
      <c r="N134" s="72"/>
      <c r="O134" s="91"/>
      <c r="P134" s="72"/>
      <c r="Q134" s="91"/>
      <c r="R134" s="53" t="str">
        <f t="shared" si="2"/>
        <v/>
      </c>
      <c r="S134" s="72"/>
      <c r="T134" s="73"/>
      <c r="U134" s="71"/>
      <c r="V134" s="94"/>
      <c r="W134" s="97"/>
      <c r="X134" s="101"/>
      <c r="Y134" s="98" t="str">
        <f t="shared" si="3"/>
        <v/>
      </c>
      <c r="Z134" s="100"/>
      <c r="AA134" s="92"/>
      <c r="AB134" s="102"/>
      <c r="AC134" s="114"/>
      <c r="AD134" s="81"/>
      <c r="AE134" s="83"/>
      <c r="AF134" s="82"/>
      <c r="AG134" s="119"/>
      <c r="AH134" s="79"/>
      <c r="AI134" s="74"/>
      <c r="AJ134" s="75"/>
      <c r="AK134" s="123"/>
      <c r="AL134" s="124"/>
      <c r="AM134" s="124"/>
      <c r="AN134" s="124"/>
      <c r="AO134" s="124"/>
      <c r="AP134" s="124"/>
      <c r="AQ134" s="124"/>
      <c r="AR134" s="124"/>
      <c r="AS134" s="124"/>
      <c r="AT134" s="124"/>
      <c r="AU134" s="124"/>
      <c r="AV134" s="124"/>
      <c r="AW134" s="124"/>
      <c r="AX134" s="125"/>
    </row>
    <row r="135" spans="1:50" s="40" customFormat="1" ht="25" customHeight="1" thickBot="1" x14ac:dyDescent="0.35">
      <c r="A135" s="42">
        <v>119</v>
      </c>
      <c r="B135" s="66"/>
      <c r="C135" s="67"/>
      <c r="D135" s="91"/>
      <c r="E135" s="90"/>
      <c r="F135" s="68"/>
      <c r="G135" s="69"/>
      <c r="H135" s="108"/>
      <c r="I135" s="109"/>
      <c r="J135" s="70"/>
      <c r="K135" s="66"/>
      <c r="L135" s="71"/>
      <c r="M135" s="92"/>
      <c r="N135" s="72"/>
      <c r="O135" s="91"/>
      <c r="P135" s="72"/>
      <c r="Q135" s="91"/>
      <c r="R135" s="53" t="str">
        <f t="shared" si="2"/>
        <v/>
      </c>
      <c r="S135" s="72"/>
      <c r="T135" s="73"/>
      <c r="U135" s="71"/>
      <c r="V135" s="94"/>
      <c r="W135" s="97"/>
      <c r="X135" s="101"/>
      <c r="Y135" s="98" t="str">
        <f t="shared" si="3"/>
        <v/>
      </c>
      <c r="Z135" s="100"/>
      <c r="AA135" s="92"/>
      <c r="AB135" s="102"/>
      <c r="AC135" s="114"/>
      <c r="AD135" s="81"/>
      <c r="AE135" s="83"/>
      <c r="AF135" s="82"/>
      <c r="AG135" s="119"/>
      <c r="AH135" s="79"/>
      <c r="AI135" s="74"/>
      <c r="AJ135" s="75"/>
      <c r="AK135" s="123"/>
      <c r="AL135" s="124"/>
      <c r="AM135" s="124"/>
      <c r="AN135" s="124"/>
      <c r="AO135" s="124"/>
      <c r="AP135" s="124"/>
      <c r="AQ135" s="124"/>
      <c r="AR135" s="124"/>
      <c r="AS135" s="124"/>
      <c r="AT135" s="124"/>
      <c r="AU135" s="124"/>
      <c r="AV135" s="124"/>
      <c r="AW135" s="124"/>
      <c r="AX135" s="125"/>
    </row>
    <row r="136" spans="1:50" s="40" customFormat="1" ht="25" customHeight="1" thickBot="1" x14ac:dyDescent="0.35">
      <c r="A136" s="42">
        <v>120</v>
      </c>
      <c r="B136" s="66"/>
      <c r="C136" s="67"/>
      <c r="D136" s="91"/>
      <c r="E136" s="90"/>
      <c r="F136" s="68"/>
      <c r="G136" s="69"/>
      <c r="H136" s="108"/>
      <c r="I136" s="109"/>
      <c r="J136" s="70"/>
      <c r="K136" s="66"/>
      <c r="L136" s="71"/>
      <c r="M136" s="92"/>
      <c r="N136" s="72"/>
      <c r="O136" s="91"/>
      <c r="P136" s="72"/>
      <c r="Q136" s="91"/>
      <c r="R136" s="53" t="str">
        <f t="shared" si="2"/>
        <v/>
      </c>
      <c r="S136" s="72"/>
      <c r="T136" s="73"/>
      <c r="U136" s="71"/>
      <c r="V136" s="94"/>
      <c r="W136" s="97"/>
      <c r="X136" s="101"/>
      <c r="Y136" s="98" t="str">
        <f t="shared" si="3"/>
        <v/>
      </c>
      <c r="Z136" s="100"/>
      <c r="AA136" s="92"/>
      <c r="AB136" s="102"/>
      <c r="AC136" s="114"/>
      <c r="AD136" s="81"/>
      <c r="AE136" s="83"/>
      <c r="AF136" s="82"/>
      <c r="AG136" s="119"/>
      <c r="AH136" s="79"/>
      <c r="AI136" s="74"/>
      <c r="AJ136" s="75"/>
      <c r="AK136" s="123"/>
      <c r="AL136" s="124"/>
      <c r="AM136" s="124"/>
      <c r="AN136" s="124"/>
      <c r="AO136" s="124"/>
      <c r="AP136" s="124"/>
      <c r="AQ136" s="124"/>
      <c r="AR136" s="124"/>
      <c r="AS136" s="124"/>
      <c r="AT136" s="124"/>
      <c r="AU136" s="124"/>
      <c r="AV136" s="124"/>
      <c r="AW136" s="124"/>
      <c r="AX136" s="125"/>
    </row>
    <row r="137" spans="1:50" s="40" customFormat="1" ht="25" customHeight="1" thickBot="1" x14ac:dyDescent="0.35">
      <c r="A137" s="42">
        <v>121</v>
      </c>
      <c r="B137" s="66"/>
      <c r="C137" s="67"/>
      <c r="D137" s="91"/>
      <c r="E137" s="90"/>
      <c r="F137" s="68"/>
      <c r="G137" s="69"/>
      <c r="H137" s="108"/>
      <c r="I137" s="109"/>
      <c r="J137" s="70"/>
      <c r="K137" s="66"/>
      <c r="L137" s="71"/>
      <c r="M137" s="92"/>
      <c r="N137" s="72"/>
      <c r="O137" s="91"/>
      <c r="P137" s="72"/>
      <c r="Q137" s="91"/>
      <c r="R137" s="53" t="str">
        <f t="shared" si="2"/>
        <v/>
      </c>
      <c r="S137" s="72"/>
      <c r="T137" s="73"/>
      <c r="U137" s="71"/>
      <c r="V137" s="94"/>
      <c r="W137" s="97"/>
      <c r="X137" s="101"/>
      <c r="Y137" s="98" t="str">
        <f t="shared" si="3"/>
        <v/>
      </c>
      <c r="Z137" s="100"/>
      <c r="AA137" s="92"/>
      <c r="AB137" s="102"/>
      <c r="AC137" s="114"/>
      <c r="AD137" s="81"/>
      <c r="AE137" s="83"/>
      <c r="AF137" s="82"/>
      <c r="AG137" s="119"/>
      <c r="AH137" s="79"/>
      <c r="AI137" s="74"/>
      <c r="AJ137" s="75"/>
      <c r="AK137" s="123"/>
      <c r="AL137" s="124"/>
      <c r="AM137" s="124"/>
      <c r="AN137" s="124"/>
      <c r="AO137" s="124"/>
      <c r="AP137" s="124"/>
      <c r="AQ137" s="124"/>
      <c r="AR137" s="124"/>
      <c r="AS137" s="124"/>
      <c r="AT137" s="124"/>
      <c r="AU137" s="124"/>
      <c r="AV137" s="124"/>
      <c r="AW137" s="124"/>
      <c r="AX137" s="125"/>
    </row>
    <row r="138" spans="1:50" s="40" customFormat="1" ht="25" customHeight="1" thickBot="1" x14ac:dyDescent="0.35">
      <c r="A138" s="42">
        <v>122</v>
      </c>
      <c r="B138" s="66"/>
      <c r="C138" s="67"/>
      <c r="D138" s="91"/>
      <c r="E138" s="90"/>
      <c r="F138" s="68"/>
      <c r="G138" s="69"/>
      <c r="H138" s="108"/>
      <c r="I138" s="109"/>
      <c r="J138" s="70"/>
      <c r="K138" s="66"/>
      <c r="L138" s="71"/>
      <c r="M138" s="92"/>
      <c r="N138" s="72"/>
      <c r="O138" s="91"/>
      <c r="P138" s="72"/>
      <c r="Q138" s="91"/>
      <c r="R138" s="53" t="str">
        <f t="shared" si="2"/>
        <v/>
      </c>
      <c r="S138" s="72"/>
      <c r="T138" s="73"/>
      <c r="U138" s="71"/>
      <c r="V138" s="94"/>
      <c r="W138" s="97"/>
      <c r="X138" s="101"/>
      <c r="Y138" s="98" t="str">
        <f t="shared" si="3"/>
        <v/>
      </c>
      <c r="Z138" s="100"/>
      <c r="AA138" s="92"/>
      <c r="AB138" s="102"/>
      <c r="AC138" s="114"/>
      <c r="AD138" s="81"/>
      <c r="AE138" s="83"/>
      <c r="AF138" s="82"/>
      <c r="AG138" s="119"/>
      <c r="AH138" s="79"/>
      <c r="AI138" s="74"/>
      <c r="AJ138" s="75"/>
      <c r="AK138" s="123"/>
      <c r="AL138" s="124"/>
      <c r="AM138" s="124"/>
      <c r="AN138" s="124"/>
      <c r="AO138" s="124"/>
      <c r="AP138" s="124"/>
      <c r="AQ138" s="124"/>
      <c r="AR138" s="124"/>
      <c r="AS138" s="124"/>
      <c r="AT138" s="124"/>
      <c r="AU138" s="124"/>
      <c r="AV138" s="124"/>
      <c r="AW138" s="124"/>
      <c r="AX138" s="125"/>
    </row>
    <row r="139" spans="1:50" s="40" customFormat="1" ht="25" customHeight="1" thickBot="1" x14ac:dyDescent="0.35">
      <c r="A139" s="42">
        <v>123</v>
      </c>
      <c r="B139" s="66"/>
      <c r="C139" s="67"/>
      <c r="D139" s="91"/>
      <c r="E139" s="90"/>
      <c r="F139" s="68"/>
      <c r="G139" s="69"/>
      <c r="H139" s="108"/>
      <c r="I139" s="109"/>
      <c r="J139" s="70"/>
      <c r="K139" s="66"/>
      <c r="L139" s="71"/>
      <c r="M139" s="92"/>
      <c r="N139" s="72"/>
      <c r="O139" s="91"/>
      <c r="P139" s="72"/>
      <c r="Q139" s="91"/>
      <c r="R139" s="53" t="str">
        <f t="shared" si="2"/>
        <v/>
      </c>
      <c r="S139" s="72"/>
      <c r="T139" s="73"/>
      <c r="U139" s="71"/>
      <c r="V139" s="94"/>
      <c r="W139" s="97"/>
      <c r="X139" s="101"/>
      <c r="Y139" s="98" t="str">
        <f t="shared" si="3"/>
        <v/>
      </c>
      <c r="Z139" s="100"/>
      <c r="AA139" s="92"/>
      <c r="AB139" s="102"/>
      <c r="AC139" s="114"/>
      <c r="AD139" s="81"/>
      <c r="AE139" s="83"/>
      <c r="AF139" s="82"/>
      <c r="AG139" s="119"/>
      <c r="AH139" s="79"/>
      <c r="AI139" s="74"/>
      <c r="AJ139" s="75"/>
      <c r="AK139" s="123"/>
      <c r="AL139" s="124"/>
      <c r="AM139" s="124"/>
      <c r="AN139" s="124"/>
      <c r="AO139" s="124"/>
      <c r="AP139" s="124"/>
      <c r="AQ139" s="124"/>
      <c r="AR139" s="124"/>
      <c r="AS139" s="124"/>
      <c r="AT139" s="124"/>
      <c r="AU139" s="124"/>
      <c r="AV139" s="124"/>
      <c r="AW139" s="124"/>
      <c r="AX139" s="125"/>
    </row>
    <row r="140" spans="1:50" s="40" customFormat="1" ht="25" customHeight="1" thickBot="1" x14ac:dyDescent="0.35">
      <c r="A140" s="42">
        <v>124</v>
      </c>
      <c r="B140" s="66"/>
      <c r="C140" s="67"/>
      <c r="D140" s="91"/>
      <c r="E140" s="90"/>
      <c r="F140" s="68"/>
      <c r="G140" s="69"/>
      <c r="H140" s="108"/>
      <c r="I140" s="109"/>
      <c r="J140" s="70"/>
      <c r="K140" s="66"/>
      <c r="L140" s="71"/>
      <c r="M140" s="92"/>
      <c r="N140" s="72"/>
      <c r="O140" s="91"/>
      <c r="P140" s="72"/>
      <c r="Q140" s="91"/>
      <c r="R140" s="53" t="str">
        <f t="shared" si="2"/>
        <v/>
      </c>
      <c r="S140" s="72"/>
      <c r="T140" s="73"/>
      <c r="U140" s="71"/>
      <c r="V140" s="94"/>
      <c r="W140" s="97"/>
      <c r="X140" s="101"/>
      <c r="Y140" s="98" t="str">
        <f t="shared" si="3"/>
        <v/>
      </c>
      <c r="Z140" s="100"/>
      <c r="AA140" s="92"/>
      <c r="AB140" s="102"/>
      <c r="AC140" s="114"/>
      <c r="AD140" s="81"/>
      <c r="AE140" s="83"/>
      <c r="AF140" s="82"/>
      <c r="AG140" s="119"/>
      <c r="AH140" s="79"/>
      <c r="AI140" s="74"/>
      <c r="AJ140" s="75"/>
      <c r="AK140" s="123"/>
      <c r="AL140" s="124"/>
      <c r="AM140" s="124"/>
      <c r="AN140" s="124"/>
      <c r="AO140" s="124"/>
      <c r="AP140" s="124"/>
      <c r="AQ140" s="124"/>
      <c r="AR140" s="124"/>
      <c r="AS140" s="124"/>
      <c r="AT140" s="124"/>
      <c r="AU140" s="124"/>
      <c r="AV140" s="124"/>
      <c r="AW140" s="124"/>
      <c r="AX140" s="125"/>
    </row>
    <row r="141" spans="1:50" s="40" customFormat="1" ht="25" customHeight="1" thickBot="1" x14ac:dyDescent="0.35">
      <c r="A141" s="42">
        <v>125</v>
      </c>
      <c r="B141" s="66"/>
      <c r="C141" s="67"/>
      <c r="D141" s="91"/>
      <c r="E141" s="90"/>
      <c r="F141" s="68"/>
      <c r="G141" s="69"/>
      <c r="H141" s="108"/>
      <c r="I141" s="109"/>
      <c r="J141" s="70"/>
      <c r="K141" s="66"/>
      <c r="L141" s="71"/>
      <c r="M141" s="92"/>
      <c r="N141" s="72"/>
      <c r="O141" s="91"/>
      <c r="P141" s="72"/>
      <c r="Q141" s="91"/>
      <c r="R141" s="53" t="str">
        <f t="shared" si="2"/>
        <v/>
      </c>
      <c r="S141" s="72"/>
      <c r="T141" s="73"/>
      <c r="U141" s="71"/>
      <c r="V141" s="94"/>
      <c r="W141" s="97"/>
      <c r="X141" s="101"/>
      <c r="Y141" s="98" t="str">
        <f t="shared" si="3"/>
        <v/>
      </c>
      <c r="Z141" s="100"/>
      <c r="AA141" s="92"/>
      <c r="AB141" s="102"/>
      <c r="AC141" s="114"/>
      <c r="AD141" s="81"/>
      <c r="AE141" s="83"/>
      <c r="AF141" s="82"/>
      <c r="AG141" s="119"/>
      <c r="AH141" s="79"/>
      <c r="AI141" s="74"/>
      <c r="AJ141" s="75"/>
      <c r="AK141" s="123"/>
      <c r="AL141" s="124"/>
      <c r="AM141" s="124"/>
      <c r="AN141" s="124"/>
      <c r="AO141" s="124"/>
      <c r="AP141" s="124"/>
      <c r="AQ141" s="124"/>
      <c r="AR141" s="124"/>
      <c r="AS141" s="124"/>
      <c r="AT141" s="124"/>
      <c r="AU141" s="124"/>
      <c r="AV141" s="124"/>
      <c r="AW141" s="124"/>
      <c r="AX141" s="125"/>
    </row>
    <row r="142" spans="1:50" s="40" customFormat="1" ht="25" customHeight="1" thickBot="1" x14ac:dyDescent="0.35">
      <c r="A142" s="42">
        <v>126</v>
      </c>
      <c r="B142" s="66"/>
      <c r="C142" s="67"/>
      <c r="D142" s="91"/>
      <c r="E142" s="90"/>
      <c r="F142" s="68"/>
      <c r="G142" s="69"/>
      <c r="H142" s="108"/>
      <c r="I142" s="109"/>
      <c r="J142" s="70"/>
      <c r="K142" s="66"/>
      <c r="L142" s="71"/>
      <c r="M142" s="92"/>
      <c r="N142" s="72"/>
      <c r="O142" s="91"/>
      <c r="P142" s="72"/>
      <c r="Q142" s="91"/>
      <c r="R142" s="53" t="str">
        <f t="shared" si="2"/>
        <v/>
      </c>
      <c r="S142" s="72"/>
      <c r="T142" s="73"/>
      <c r="U142" s="71"/>
      <c r="V142" s="94"/>
      <c r="W142" s="97"/>
      <c r="X142" s="101"/>
      <c r="Y142" s="98" t="str">
        <f t="shared" si="3"/>
        <v/>
      </c>
      <c r="Z142" s="100"/>
      <c r="AA142" s="92"/>
      <c r="AB142" s="102"/>
      <c r="AC142" s="114"/>
      <c r="AD142" s="81"/>
      <c r="AE142" s="83"/>
      <c r="AF142" s="82"/>
      <c r="AG142" s="119"/>
      <c r="AH142" s="79"/>
      <c r="AI142" s="74"/>
      <c r="AJ142" s="75"/>
      <c r="AK142" s="123"/>
      <c r="AL142" s="124"/>
      <c r="AM142" s="124"/>
      <c r="AN142" s="124"/>
      <c r="AO142" s="124"/>
      <c r="AP142" s="124"/>
      <c r="AQ142" s="124"/>
      <c r="AR142" s="124"/>
      <c r="AS142" s="124"/>
      <c r="AT142" s="124"/>
      <c r="AU142" s="124"/>
      <c r="AV142" s="124"/>
      <c r="AW142" s="124"/>
      <c r="AX142" s="125"/>
    </row>
    <row r="143" spans="1:50" s="40" customFormat="1" ht="25" customHeight="1" thickBot="1" x14ac:dyDescent="0.35">
      <c r="A143" s="42">
        <v>127</v>
      </c>
      <c r="B143" s="66"/>
      <c r="C143" s="67"/>
      <c r="D143" s="91"/>
      <c r="E143" s="90"/>
      <c r="F143" s="68"/>
      <c r="G143" s="69"/>
      <c r="H143" s="108"/>
      <c r="I143" s="109"/>
      <c r="J143" s="70"/>
      <c r="K143" s="66"/>
      <c r="L143" s="71"/>
      <c r="M143" s="92"/>
      <c r="N143" s="72"/>
      <c r="O143" s="91"/>
      <c r="P143" s="72"/>
      <c r="Q143" s="91"/>
      <c r="R143" s="53" t="str">
        <f t="shared" si="2"/>
        <v/>
      </c>
      <c r="S143" s="72"/>
      <c r="T143" s="73"/>
      <c r="U143" s="71"/>
      <c r="V143" s="94"/>
      <c r="W143" s="97"/>
      <c r="X143" s="101"/>
      <c r="Y143" s="98" t="str">
        <f t="shared" si="3"/>
        <v/>
      </c>
      <c r="Z143" s="100"/>
      <c r="AA143" s="92"/>
      <c r="AB143" s="102"/>
      <c r="AC143" s="114"/>
      <c r="AD143" s="81"/>
      <c r="AE143" s="83"/>
      <c r="AF143" s="82"/>
      <c r="AG143" s="119"/>
      <c r="AH143" s="79"/>
      <c r="AI143" s="74"/>
      <c r="AJ143" s="75"/>
      <c r="AK143" s="123"/>
      <c r="AL143" s="124"/>
      <c r="AM143" s="124"/>
      <c r="AN143" s="124"/>
      <c r="AO143" s="124"/>
      <c r="AP143" s="124"/>
      <c r="AQ143" s="124"/>
      <c r="AR143" s="124"/>
      <c r="AS143" s="124"/>
      <c r="AT143" s="124"/>
      <c r="AU143" s="124"/>
      <c r="AV143" s="124"/>
      <c r="AW143" s="124"/>
      <c r="AX143" s="125"/>
    </row>
    <row r="144" spans="1:50" s="40" customFormat="1" ht="25" customHeight="1" thickBot="1" x14ac:dyDescent="0.35">
      <c r="A144" s="42">
        <v>128</v>
      </c>
      <c r="B144" s="66"/>
      <c r="C144" s="67"/>
      <c r="D144" s="91"/>
      <c r="E144" s="90"/>
      <c r="F144" s="68"/>
      <c r="G144" s="69"/>
      <c r="H144" s="108"/>
      <c r="I144" s="109"/>
      <c r="J144" s="70"/>
      <c r="K144" s="66"/>
      <c r="L144" s="71"/>
      <c r="M144" s="92"/>
      <c r="N144" s="72"/>
      <c r="O144" s="91"/>
      <c r="P144" s="72"/>
      <c r="Q144" s="91"/>
      <c r="R144" s="53" t="str">
        <f t="shared" si="2"/>
        <v/>
      </c>
      <c r="S144" s="72"/>
      <c r="T144" s="73"/>
      <c r="U144" s="71"/>
      <c r="V144" s="94"/>
      <c r="W144" s="97"/>
      <c r="X144" s="101"/>
      <c r="Y144" s="98" t="str">
        <f t="shared" si="3"/>
        <v/>
      </c>
      <c r="Z144" s="100"/>
      <c r="AA144" s="92"/>
      <c r="AB144" s="102"/>
      <c r="AC144" s="114"/>
      <c r="AD144" s="81"/>
      <c r="AE144" s="83"/>
      <c r="AF144" s="82"/>
      <c r="AG144" s="119"/>
      <c r="AH144" s="79"/>
      <c r="AI144" s="74"/>
      <c r="AJ144" s="75"/>
      <c r="AK144" s="123"/>
      <c r="AL144" s="124"/>
      <c r="AM144" s="124"/>
      <c r="AN144" s="124"/>
      <c r="AO144" s="124"/>
      <c r="AP144" s="124"/>
      <c r="AQ144" s="124"/>
      <c r="AR144" s="124"/>
      <c r="AS144" s="124"/>
      <c r="AT144" s="124"/>
      <c r="AU144" s="124"/>
      <c r="AV144" s="124"/>
      <c r="AW144" s="124"/>
      <c r="AX144" s="125"/>
    </row>
    <row r="145" spans="1:50" s="40" customFormat="1" ht="25" customHeight="1" thickBot="1" x14ac:dyDescent="0.35">
      <c r="A145" s="42">
        <v>129</v>
      </c>
      <c r="B145" s="66"/>
      <c r="C145" s="67"/>
      <c r="D145" s="91"/>
      <c r="E145" s="90"/>
      <c r="F145" s="68"/>
      <c r="G145" s="69"/>
      <c r="H145" s="108"/>
      <c r="I145" s="109"/>
      <c r="J145" s="70"/>
      <c r="K145" s="66"/>
      <c r="L145" s="71"/>
      <c r="M145" s="92"/>
      <c r="N145" s="72"/>
      <c r="O145" s="91"/>
      <c r="P145" s="72"/>
      <c r="Q145" s="91"/>
      <c r="R145" s="53" t="str">
        <f t="shared" si="2"/>
        <v/>
      </c>
      <c r="S145" s="72"/>
      <c r="T145" s="73"/>
      <c r="U145" s="71"/>
      <c r="V145" s="94"/>
      <c r="W145" s="97"/>
      <c r="X145" s="101"/>
      <c r="Y145" s="98" t="str">
        <f t="shared" si="3"/>
        <v/>
      </c>
      <c r="Z145" s="100"/>
      <c r="AA145" s="92"/>
      <c r="AB145" s="102"/>
      <c r="AC145" s="114"/>
      <c r="AD145" s="81"/>
      <c r="AE145" s="83"/>
      <c r="AF145" s="82"/>
      <c r="AG145" s="119"/>
      <c r="AH145" s="79"/>
      <c r="AI145" s="74"/>
      <c r="AJ145" s="75"/>
      <c r="AK145" s="123"/>
      <c r="AL145" s="124"/>
      <c r="AM145" s="124"/>
      <c r="AN145" s="124"/>
      <c r="AO145" s="124"/>
      <c r="AP145" s="124"/>
      <c r="AQ145" s="124"/>
      <c r="AR145" s="124"/>
      <c r="AS145" s="124"/>
      <c r="AT145" s="124"/>
      <c r="AU145" s="124"/>
      <c r="AV145" s="124"/>
      <c r="AW145" s="124"/>
      <c r="AX145" s="125"/>
    </row>
    <row r="146" spans="1:50" s="40" customFormat="1" ht="25" customHeight="1" thickBot="1" x14ac:dyDescent="0.35">
      <c r="A146" s="42">
        <v>130</v>
      </c>
      <c r="B146" s="66"/>
      <c r="C146" s="67"/>
      <c r="D146" s="91"/>
      <c r="E146" s="90"/>
      <c r="F146" s="68"/>
      <c r="G146" s="69"/>
      <c r="H146" s="108"/>
      <c r="I146" s="109"/>
      <c r="J146" s="70"/>
      <c r="K146" s="66"/>
      <c r="L146" s="71"/>
      <c r="M146" s="92"/>
      <c r="N146" s="72"/>
      <c r="O146" s="91"/>
      <c r="P146" s="72"/>
      <c r="Q146" s="91"/>
      <c r="R146" s="53" t="str">
        <f t="shared" ref="R146:R209" si="4">IF(Q146="","",DATEDIF(O146,Q146,"d")/365)</f>
        <v/>
      </c>
      <c r="S146" s="72"/>
      <c r="T146" s="73"/>
      <c r="U146" s="71"/>
      <c r="V146" s="94"/>
      <c r="W146" s="97"/>
      <c r="X146" s="101"/>
      <c r="Y146" s="98" t="str">
        <f t="shared" ref="Y146:Y209" si="5">IF(W146="","",W146*$I$7)</f>
        <v/>
      </c>
      <c r="Z146" s="100"/>
      <c r="AA146" s="92"/>
      <c r="AB146" s="102"/>
      <c r="AC146" s="114"/>
      <c r="AD146" s="81"/>
      <c r="AE146" s="83"/>
      <c r="AF146" s="82"/>
      <c r="AG146" s="119"/>
      <c r="AH146" s="79"/>
      <c r="AI146" s="74"/>
      <c r="AJ146" s="75"/>
      <c r="AK146" s="123"/>
      <c r="AL146" s="124"/>
      <c r="AM146" s="124"/>
      <c r="AN146" s="124"/>
      <c r="AO146" s="124"/>
      <c r="AP146" s="124"/>
      <c r="AQ146" s="124"/>
      <c r="AR146" s="124"/>
      <c r="AS146" s="124"/>
      <c r="AT146" s="124"/>
      <c r="AU146" s="124"/>
      <c r="AV146" s="124"/>
      <c r="AW146" s="124"/>
      <c r="AX146" s="125"/>
    </row>
    <row r="147" spans="1:50" s="40" customFormat="1" ht="25" customHeight="1" thickBot="1" x14ac:dyDescent="0.35">
      <c r="A147" s="42">
        <v>131</v>
      </c>
      <c r="B147" s="66"/>
      <c r="C147" s="67"/>
      <c r="D147" s="91"/>
      <c r="E147" s="90"/>
      <c r="F147" s="68"/>
      <c r="G147" s="69"/>
      <c r="H147" s="108"/>
      <c r="I147" s="109"/>
      <c r="J147" s="70"/>
      <c r="K147" s="66"/>
      <c r="L147" s="71"/>
      <c r="M147" s="92"/>
      <c r="N147" s="72"/>
      <c r="O147" s="91"/>
      <c r="P147" s="72"/>
      <c r="Q147" s="91"/>
      <c r="R147" s="53" t="str">
        <f t="shared" si="4"/>
        <v/>
      </c>
      <c r="S147" s="72"/>
      <c r="T147" s="73"/>
      <c r="U147" s="71"/>
      <c r="V147" s="94"/>
      <c r="W147" s="97"/>
      <c r="X147" s="101"/>
      <c r="Y147" s="98" t="str">
        <f t="shared" si="5"/>
        <v/>
      </c>
      <c r="Z147" s="100"/>
      <c r="AA147" s="92"/>
      <c r="AB147" s="102"/>
      <c r="AC147" s="114"/>
      <c r="AD147" s="81"/>
      <c r="AE147" s="83"/>
      <c r="AF147" s="82"/>
      <c r="AG147" s="119"/>
      <c r="AH147" s="79"/>
      <c r="AI147" s="74"/>
      <c r="AJ147" s="75"/>
      <c r="AK147" s="123"/>
      <c r="AL147" s="124"/>
      <c r="AM147" s="124"/>
      <c r="AN147" s="124"/>
      <c r="AO147" s="124"/>
      <c r="AP147" s="124"/>
      <c r="AQ147" s="124"/>
      <c r="AR147" s="124"/>
      <c r="AS147" s="124"/>
      <c r="AT147" s="124"/>
      <c r="AU147" s="124"/>
      <c r="AV147" s="124"/>
      <c r="AW147" s="124"/>
      <c r="AX147" s="125"/>
    </row>
    <row r="148" spans="1:50" s="40" customFormat="1" ht="25" customHeight="1" thickBot="1" x14ac:dyDescent="0.35">
      <c r="A148" s="42">
        <v>132</v>
      </c>
      <c r="B148" s="66"/>
      <c r="C148" s="67"/>
      <c r="D148" s="91"/>
      <c r="E148" s="90"/>
      <c r="F148" s="68"/>
      <c r="G148" s="69"/>
      <c r="H148" s="108"/>
      <c r="I148" s="109"/>
      <c r="J148" s="70"/>
      <c r="K148" s="66"/>
      <c r="L148" s="71"/>
      <c r="M148" s="92"/>
      <c r="N148" s="72"/>
      <c r="O148" s="91"/>
      <c r="P148" s="72"/>
      <c r="Q148" s="91"/>
      <c r="R148" s="53" t="str">
        <f t="shared" si="4"/>
        <v/>
      </c>
      <c r="S148" s="72"/>
      <c r="T148" s="73"/>
      <c r="U148" s="71"/>
      <c r="V148" s="94"/>
      <c r="W148" s="97"/>
      <c r="X148" s="101"/>
      <c r="Y148" s="98" t="str">
        <f t="shared" si="5"/>
        <v/>
      </c>
      <c r="Z148" s="100"/>
      <c r="AA148" s="92"/>
      <c r="AB148" s="102"/>
      <c r="AC148" s="114"/>
      <c r="AD148" s="81"/>
      <c r="AE148" s="83"/>
      <c r="AF148" s="82"/>
      <c r="AG148" s="119"/>
      <c r="AH148" s="79"/>
      <c r="AI148" s="74"/>
      <c r="AJ148" s="75"/>
      <c r="AK148" s="123"/>
      <c r="AL148" s="124"/>
      <c r="AM148" s="124"/>
      <c r="AN148" s="124"/>
      <c r="AO148" s="124"/>
      <c r="AP148" s="124"/>
      <c r="AQ148" s="124"/>
      <c r="AR148" s="124"/>
      <c r="AS148" s="124"/>
      <c r="AT148" s="124"/>
      <c r="AU148" s="124"/>
      <c r="AV148" s="124"/>
      <c r="AW148" s="124"/>
      <c r="AX148" s="125"/>
    </row>
    <row r="149" spans="1:50" s="40" customFormat="1" ht="25" customHeight="1" thickBot="1" x14ac:dyDescent="0.35">
      <c r="A149" s="42">
        <v>133</v>
      </c>
      <c r="B149" s="66"/>
      <c r="C149" s="67"/>
      <c r="D149" s="91"/>
      <c r="E149" s="90"/>
      <c r="F149" s="68"/>
      <c r="G149" s="69"/>
      <c r="H149" s="108"/>
      <c r="I149" s="109"/>
      <c r="J149" s="70"/>
      <c r="K149" s="66"/>
      <c r="L149" s="71"/>
      <c r="M149" s="92"/>
      <c r="N149" s="72"/>
      <c r="O149" s="91"/>
      <c r="P149" s="72"/>
      <c r="Q149" s="91"/>
      <c r="R149" s="53" t="str">
        <f t="shared" si="4"/>
        <v/>
      </c>
      <c r="S149" s="72"/>
      <c r="T149" s="73"/>
      <c r="U149" s="71"/>
      <c r="V149" s="94"/>
      <c r="W149" s="97"/>
      <c r="X149" s="101"/>
      <c r="Y149" s="98" t="str">
        <f t="shared" si="5"/>
        <v/>
      </c>
      <c r="Z149" s="100"/>
      <c r="AA149" s="92"/>
      <c r="AB149" s="102"/>
      <c r="AC149" s="114"/>
      <c r="AD149" s="81"/>
      <c r="AE149" s="83"/>
      <c r="AF149" s="82"/>
      <c r="AG149" s="119"/>
      <c r="AH149" s="79"/>
      <c r="AI149" s="74"/>
      <c r="AJ149" s="75"/>
      <c r="AK149" s="123"/>
      <c r="AL149" s="124"/>
      <c r="AM149" s="124"/>
      <c r="AN149" s="124"/>
      <c r="AO149" s="124"/>
      <c r="AP149" s="124"/>
      <c r="AQ149" s="124"/>
      <c r="AR149" s="124"/>
      <c r="AS149" s="124"/>
      <c r="AT149" s="124"/>
      <c r="AU149" s="124"/>
      <c r="AV149" s="124"/>
      <c r="AW149" s="124"/>
      <c r="AX149" s="125"/>
    </row>
    <row r="150" spans="1:50" s="40" customFormat="1" ht="25" customHeight="1" thickBot="1" x14ac:dyDescent="0.35">
      <c r="A150" s="42">
        <v>134</v>
      </c>
      <c r="B150" s="66"/>
      <c r="C150" s="67"/>
      <c r="D150" s="91"/>
      <c r="E150" s="90"/>
      <c r="F150" s="68"/>
      <c r="G150" s="69"/>
      <c r="H150" s="108"/>
      <c r="I150" s="109"/>
      <c r="J150" s="70"/>
      <c r="K150" s="66"/>
      <c r="L150" s="71"/>
      <c r="M150" s="92"/>
      <c r="N150" s="72"/>
      <c r="O150" s="91"/>
      <c r="P150" s="72"/>
      <c r="Q150" s="91"/>
      <c r="R150" s="53" t="str">
        <f t="shared" si="4"/>
        <v/>
      </c>
      <c r="S150" s="72"/>
      <c r="T150" s="73"/>
      <c r="U150" s="71"/>
      <c r="V150" s="94"/>
      <c r="W150" s="97"/>
      <c r="X150" s="101"/>
      <c r="Y150" s="98" t="str">
        <f t="shared" si="5"/>
        <v/>
      </c>
      <c r="Z150" s="100"/>
      <c r="AA150" s="92"/>
      <c r="AB150" s="102"/>
      <c r="AC150" s="114"/>
      <c r="AD150" s="81"/>
      <c r="AE150" s="83"/>
      <c r="AF150" s="82"/>
      <c r="AG150" s="119"/>
      <c r="AH150" s="79"/>
      <c r="AI150" s="74"/>
      <c r="AJ150" s="75"/>
      <c r="AK150" s="123"/>
      <c r="AL150" s="124"/>
      <c r="AM150" s="124"/>
      <c r="AN150" s="124"/>
      <c r="AO150" s="124"/>
      <c r="AP150" s="124"/>
      <c r="AQ150" s="124"/>
      <c r="AR150" s="124"/>
      <c r="AS150" s="124"/>
      <c r="AT150" s="124"/>
      <c r="AU150" s="124"/>
      <c r="AV150" s="124"/>
      <c r="AW150" s="124"/>
      <c r="AX150" s="125"/>
    </row>
    <row r="151" spans="1:50" s="40" customFormat="1" ht="25" customHeight="1" thickBot="1" x14ac:dyDescent="0.35">
      <c r="A151" s="42">
        <v>135</v>
      </c>
      <c r="B151" s="66"/>
      <c r="C151" s="67"/>
      <c r="D151" s="91"/>
      <c r="E151" s="90"/>
      <c r="F151" s="68"/>
      <c r="G151" s="69"/>
      <c r="H151" s="108"/>
      <c r="I151" s="109"/>
      <c r="J151" s="70"/>
      <c r="K151" s="66"/>
      <c r="L151" s="71"/>
      <c r="M151" s="92"/>
      <c r="N151" s="72"/>
      <c r="O151" s="91"/>
      <c r="P151" s="72"/>
      <c r="Q151" s="91"/>
      <c r="R151" s="53" t="str">
        <f t="shared" si="4"/>
        <v/>
      </c>
      <c r="S151" s="72"/>
      <c r="T151" s="73"/>
      <c r="U151" s="71"/>
      <c r="V151" s="94"/>
      <c r="W151" s="97"/>
      <c r="X151" s="101"/>
      <c r="Y151" s="98" t="str">
        <f t="shared" si="5"/>
        <v/>
      </c>
      <c r="Z151" s="100"/>
      <c r="AA151" s="92"/>
      <c r="AB151" s="102"/>
      <c r="AC151" s="114"/>
      <c r="AD151" s="81"/>
      <c r="AE151" s="83"/>
      <c r="AF151" s="82"/>
      <c r="AG151" s="119"/>
      <c r="AH151" s="79"/>
      <c r="AI151" s="74"/>
      <c r="AJ151" s="75"/>
      <c r="AK151" s="123"/>
      <c r="AL151" s="124"/>
      <c r="AM151" s="124"/>
      <c r="AN151" s="124"/>
      <c r="AO151" s="124"/>
      <c r="AP151" s="124"/>
      <c r="AQ151" s="124"/>
      <c r="AR151" s="124"/>
      <c r="AS151" s="124"/>
      <c r="AT151" s="124"/>
      <c r="AU151" s="124"/>
      <c r="AV151" s="124"/>
      <c r="AW151" s="124"/>
      <c r="AX151" s="125"/>
    </row>
    <row r="152" spans="1:50" s="40" customFormat="1" ht="25" customHeight="1" thickBot="1" x14ac:dyDescent="0.35">
      <c r="A152" s="42">
        <v>136</v>
      </c>
      <c r="B152" s="66"/>
      <c r="C152" s="67"/>
      <c r="D152" s="91"/>
      <c r="E152" s="90"/>
      <c r="F152" s="68"/>
      <c r="G152" s="69"/>
      <c r="H152" s="108"/>
      <c r="I152" s="109"/>
      <c r="J152" s="70"/>
      <c r="K152" s="66"/>
      <c r="L152" s="71"/>
      <c r="M152" s="92"/>
      <c r="N152" s="72"/>
      <c r="O152" s="91"/>
      <c r="P152" s="72"/>
      <c r="Q152" s="91"/>
      <c r="R152" s="53" t="str">
        <f t="shared" si="4"/>
        <v/>
      </c>
      <c r="S152" s="72"/>
      <c r="T152" s="73"/>
      <c r="U152" s="71"/>
      <c r="V152" s="94"/>
      <c r="W152" s="97"/>
      <c r="X152" s="101"/>
      <c r="Y152" s="98" t="str">
        <f t="shared" si="5"/>
        <v/>
      </c>
      <c r="Z152" s="100"/>
      <c r="AA152" s="92"/>
      <c r="AB152" s="102"/>
      <c r="AC152" s="114"/>
      <c r="AD152" s="81"/>
      <c r="AE152" s="83"/>
      <c r="AF152" s="82"/>
      <c r="AG152" s="119"/>
      <c r="AH152" s="79"/>
      <c r="AI152" s="74"/>
      <c r="AJ152" s="75"/>
      <c r="AK152" s="123"/>
      <c r="AL152" s="124"/>
      <c r="AM152" s="124"/>
      <c r="AN152" s="124"/>
      <c r="AO152" s="124"/>
      <c r="AP152" s="124"/>
      <c r="AQ152" s="124"/>
      <c r="AR152" s="124"/>
      <c r="AS152" s="124"/>
      <c r="AT152" s="124"/>
      <c r="AU152" s="124"/>
      <c r="AV152" s="124"/>
      <c r="AW152" s="124"/>
      <c r="AX152" s="125"/>
    </row>
    <row r="153" spans="1:50" s="40" customFormat="1" ht="25" customHeight="1" thickBot="1" x14ac:dyDescent="0.35">
      <c r="A153" s="42">
        <v>137</v>
      </c>
      <c r="B153" s="66"/>
      <c r="C153" s="67"/>
      <c r="D153" s="91"/>
      <c r="E153" s="90"/>
      <c r="F153" s="68"/>
      <c r="G153" s="69"/>
      <c r="H153" s="108"/>
      <c r="I153" s="109"/>
      <c r="J153" s="70"/>
      <c r="K153" s="66"/>
      <c r="L153" s="71"/>
      <c r="M153" s="92"/>
      <c r="N153" s="72"/>
      <c r="O153" s="91"/>
      <c r="P153" s="72"/>
      <c r="Q153" s="91"/>
      <c r="R153" s="53" t="str">
        <f t="shared" si="4"/>
        <v/>
      </c>
      <c r="S153" s="72"/>
      <c r="T153" s="73"/>
      <c r="U153" s="71"/>
      <c r="V153" s="94"/>
      <c r="W153" s="97"/>
      <c r="X153" s="101"/>
      <c r="Y153" s="98" t="str">
        <f t="shared" si="5"/>
        <v/>
      </c>
      <c r="Z153" s="100"/>
      <c r="AA153" s="92"/>
      <c r="AB153" s="102"/>
      <c r="AC153" s="114"/>
      <c r="AD153" s="81"/>
      <c r="AE153" s="83"/>
      <c r="AF153" s="82"/>
      <c r="AG153" s="119"/>
      <c r="AH153" s="79"/>
      <c r="AI153" s="74"/>
      <c r="AJ153" s="75"/>
      <c r="AK153" s="123"/>
      <c r="AL153" s="124"/>
      <c r="AM153" s="124"/>
      <c r="AN153" s="124"/>
      <c r="AO153" s="124"/>
      <c r="AP153" s="124"/>
      <c r="AQ153" s="124"/>
      <c r="AR153" s="124"/>
      <c r="AS153" s="124"/>
      <c r="AT153" s="124"/>
      <c r="AU153" s="124"/>
      <c r="AV153" s="124"/>
      <c r="AW153" s="124"/>
      <c r="AX153" s="125"/>
    </row>
    <row r="154" spans="1:50" s="40" customFormat="1" ht="25" customHeight="1" thickBot="1" x14ac:dyDescent="0.35">
      <c r="A154" s="42">
        <v>138</v>
      </c>
      <c r="B154" s="66"/>
      <c r="C154" s="67"/>
      <c r="D154" s="91"/>
      <c r="E154" s="90"/>
      <c r="F154" s="68"/>
      <c r="G154" s="69"/>
      <c r="H154" s="108"/>
      <c r="I154" s="109"/>
      <c r="J154" s="70"/>
      <c r="K154" s="66"/>
      <c r="L154" s="71"/>
      <c r="M154" s="92"/>
      <c r="N154" s="72"/>
      <c r="O154" s="91"/>
      <c r="P154" s="72"/>
      <c r="Q154" s="91"/>
      <c r="R154" s="53" t="str">
        <f t="shared" si="4"/>
        <v/>
      </c>
      <c r="S154" s="72"/>
      <c r="T154" s="73"/>
      <c r="U154" s="71"/>
      <c r="V154" s="94"/>
      <c r="W154" s="97"/>
      <c r="X154" s="101"/>
      <c r="Y154" s="98" t="str">
        <f t="shared" si="5"/>
        <v/>
      </c>
      <c r="Z154" s="100"/>
      <c r="AA154" s="92"/>
      <c r="AB154" s="102"/>
      <c r="AC154" s="114"/>
      <c r="AD154" s="81"/>
      <c r="AE154" s="83"/>
      <c r="AF154" s="82"/>
      <c r="AG154" s="119"/>
      <c r="AH154" s="79"/>
      <c r="AI154" s="74"/>
      <c r="AJ154" s="75"/>
      <c r="AK154" s="123"/>
      <c r="AL154" s="124"/>
      <c r="AM154" s="124"/>
      <c r="AN154" s="124"/>
      <c r="AO154" s="124"/>
      <c r="AP154" s="124"/>
      <c r="AQ154" s="124"/>
      <c r="AR154" s="124"/>
      <c r="AS154" s="124"/>
      <c r="AT154" s="124"/>
      <c r="AU154" s="124"/>
      <c r="AV154" s="124"/>
      <c r="AW154" s="124"/>
      <c r="AX154" s="125"/>
    </row>
    <row r="155" spans="1:50" s="40" customFormat="1" ht="25" customHeight="1" thickBot="1" x14ac:dyDescent="0.35">
      <c r="A155" s="42">
        <v>139</v>
      </c>
      <c r="B155" s="66"/>
      <c r="C155" s="67"/>
      <c r="D155" s="91"/>
      <c r="E155" s="90"/>
      <c r="F155" s="68"/>
      <c r="G155" s="69"/>
      <c r="H155" s="108"/>
      <c r="I155" s="109"/>
      <c r="J155" s="70"/>
      <c r="K155" s="66"/>
      <c r="L155" s="71"/>
      <c r="M155" s="92"/>
      <c r="N155" s="72"/>
      <c r="O155" s="91"/>
      <c r="P155" s="72"/>
      <c r="Q155" s="91"/>
      <c r="R155" s="53" t="str">
        <f t="shared" si="4"/>
        <v/>
      </c>
      <c r="S155" s="72"/>
      <c r="T155" s="73"/>
      <c r="U155" s="71"/>
      <c r="V155" s="94"/>
      <c r="W155" s="97"/>
      <c r="X155" s="101"/>
      <c r="Y155" s="98" t="str">
        <f t="shared" si="5"/>
        <v/>
      </c>
      <c r="Z155" s="100"/>
      <c r="AA155" s="92"/>
      <c r="AB155" s="102"/>
      <c r="AC155" s="114"/>
      <c r="AD155" s="81"/>
      <c r="AE155" s="83"/>
      <c r="AF155" s="82"/>
      <c r="AG155" s="119"/>
      <c r="AH155" s="79"/>
      <c r="AI155" s="74"/>
      <c r="AJ155" s="75"/>
      <c r="AK155" s="123"/>
      <c r="AL155" s="124"/>
      <c r="AM155" s="124"/>
      <c r="AN155" s="124"/>
      <c r="AO155" s="124"/>
      <c r="AP155" s="124"/>
      <c r="AQ155" s="124"/>
      <c r="AR155" s="124"/>
      <c r="AS155" s="124"/>
      <c r="AT155" s="124"/>
      <c r="AU155" s="124"/>
      <c r="AV155" s="124"/>
      <c r="AW155" s="124"/>
      <c r="AX155" s="125"/>
    </row>
    <row r="156" spans="1:50" s="40" customFormat="1" ht="25" customHeight="1" thickBot="1" x14ac:dyDescent="0.35">
      <c r="A156" s="42">
        <v>140</v>
      </c>
      <c r="B156" s="66"/>
      <c r="C156" s="67"/>
      <c r="D156" s="91"/>
      <c r="E156" s="90"/>
      <c r="F156" s="68"/>
      <c r="G156" s="69"/>
      <c r="H156" s="108"/>
      <c r="I156" s="109"/>
      <c r="J156" s="70"/>
      <c r="K156" s="66"/>
      <c r="L156" s="71"/>
      <c r="M156" s="92"/>
      <c r="N156" s="72"/>
      <c r="O156" s="91"/>
      <c r="P156" s="72"/>
      <c r="Q156" s="91"/>
      <c r="R156" s="53" t="str">
        <f t="shared" si="4"/>
        <v/>
      </c>
      <c r="S156" s="72"/>
      <c r="T156" s="73"/>
      <c r="U156" s="71"/>
      <c r="V156" s="94"/>
      <c r="W156" s="97"/>
      <c r="X156" s="101"/>
      <c r="Y156" s="98" t="str">
        <f t="shared" si="5"/>
        <v/>
      </c>
      <c r="Z156" s="100"/>
      <c r="AA156" s="92"/>
      <c r="AB156" s="102"/>
      <c r="AC156" s="114"/>
      <c r="AD156" s="81"/>
      <c r="AE156" s="83"/>
      <c r="AF156" s="82"/>
      <c r="AG156" s="119"/>
      <c r="AH156" s="79"/>
      <c r="AI156" s="74"/>
      <c r="AJ156" s="75"/>
      <c r="AK156" s="123"/>
      <c r="AL156" s="124"/>
      <c r="AM156" s="124"/>
      <c r="AN156" s="124"/>
      <c r="AO156" s="124"/>
      <c r="AP156" s="124"/>
      <c r="AQ156" s="124"/>
      <c r="AR156" s="124"/>
      <c r="AS156" s="124"/>
      <c r="AT156" s="124"/>
      <c r="AU156" s="124"/>
      <c r="AV156" s="124"/>
      <c r="AW156" s="124"/>
      <c r="AX156" s="125"/>
    </row>
    <row r="157" spans="1:50" s="40" customFormat="1" ht="25" customHeight="1" thickBot="1" x14ac:dyDescent="0.35">
      <c r="A157" s="42">
        <v>141</v>
      </c>
      <c r="B157" s="66"/>
      <c r="C157" s="67"/>
      <c r="D157" s="91"/>
      <c r="E157" s="90"/>
      <c r="F157" s="68"/>
      <c r="G157" s="69"/>
      <c r="H157" s="108"/>
      <c r="I157" s="109"/>
      <c r="J157" s="70"/>
      <c r="K157" s="66"/>
      <c r="L157" s="71"/>
      <c r="M157" s="92"/>
      <c r="N157" s="72"/>
      <c r="O157" s="91"/>
      <c r="P157" s="72"/>
      <c r="Q157" s="91"/>
      <c r="R157" s="53" t="str">
        <f t="shared" si="4"/>
        <v/>
      </c>
      <c r="S157" s="72"/>
      <c r="T157" s="73"/>
      <c r="U157" s="71"/>
      <c r="V157" s="94"/>
      <c r="W157" s="97"/>
      <c r="X157" s="101"/>
      <c r="Y157" s="98" t="str">
        <f t="shared" si="5"/>
        <v/>
      </c>
      <c r="Z157" s="100"/>
      <c r="AA157" s="92"/>
      <c r="AB157" s="102"/>
      <c r="AC157" s="114"/>
      <c r="AD157" s="81"/>
      <c r="AE157" s="83"/>
      <c r="AF157" s="82"/>
      <c r="AG157" s="119"/>
      <c r="AH157" s="79"/>
      <c r="AI157" s="74"/>
      <c r="AJ157" s="75"/>
      <c r="AK157" s="123"/>
      <c r="AL157" s="124"/>
      <c r="AM157" s="124"/>
      <c r="AN157" s="124"/>
      <c r="AO157" s="124"/>
      <c r="AP157" s="124"/>
      <c r="AQ157" s="124"/>
      <c r="AR157" s="124"/>
      <c r="AS157" s="124"/>
      <c r="AT157" s="124"/>
      <c r="AU157" s="124"/>
      <c r="AV157" s="124"/>
      <c r="AW157" s="124"/>
      <c r="AX157" s="125"/>
    </row>
    <row r="158" spans="1:50" s="40" customFormat="1" ht="25" customHeight="1" thickBot="1" x14ac:dyDescent="0.35">
      <c r="A158" s="42">
        <v>142</v>
      </c>
      <c r="B158" s="66"/>
      <c r="C158" s="67"/>
      <c r="D158" s="91"/>
      <c r="E158" s="90"/>
      <c r="F158" s="68"/>
      <c r="G158" s="69"/>
      <c r="H158" s="108"/>
      <c r="I158" s="109"/>
      <c r="J158" s="70"/>
      <c r="K158" s="66"/>
      <c r="L158" s="71"/>
      <c r="M158" s="92"/>
      <c r="N158" s="72"/>
      <c r="O158" s="91"/>
      <c r="P158" s="72"/>
      <c r="Q158" s="91"/>
      <c r="R158" s="53" t="str">
        <f t="shared" si="4"/>
        <v/>
      </c>
      <c r="S158" s="72"/>
      <c r="T158" s="73"/>
      <c r="U158" s="71"/>
      <c r="V158" s="94"/>
      <c r="W158" s="97"/>
      <c r="X158" s="101"/>
      <c r="Y158" s="98" t="str">
        <f t="shared" si="5"/>
        <v/>
      </c>
      <c r="Z158" s="100"/>
      <c r="AA158" s="92"/>
      <c r="AB158" s="102"/>
      <c r="AC158" s="114"/>
      <c r="AD158" s="81"/>
      <c r="AE158" s="83"/>
      <c r="AF158" s="82"/>
      <c r="AG158" s="119"/>
      <c r="AH158" s="79"/>
      <c r="AI158" s="74"/>
      <c r="AJ158" s="75"/>
      <c r="AK158" s="123"/>
      <c r="AL158" s="124"/>
      <c r="AM158" s="124"/>
      <c r="AN158" s="124"/>
      <c r="AO158" s="124"/>
      <c r="AP158" s="124"/>
      <c r="AQ158" s="124"/>
      <c r="AR158" s="124"/>
      <c r="AS158" s="124"/>
      <c r="AT158" s="124"/>
      <c r="AU158" s="124"/>
      <c r="AV158" s="124"/>
      <c r="AW158" s="124"/>
      <c r="AX158" s="125"/>
    </row>
    <row r="159" spans="1:50" s="40" customFormat="1" ht="25" customHeight="1" thickBot="1" x14ac:dyDescent="0.35">
      <c r="A159" s="42">
        <v>143</v>
      </c>
      <c r="B159" s="66"/>
      <c r="C159" s="67"/>
      <c r="D159" s="91"/>
      <c r="E159" s="90"/>
      <c r="F159" s="68"/>
      <c r="G159" s="69"/>
      <c r="H159" s="108"/>
      <c r="I159" s="109"/>
      <c r="J159" s="70"/>
      <c r="K159" s="66"/>
      <c r="L159" s="71"/>
      <c r="M159" s="92"/>
      <c r="N159" s="72"/>
      <c r="O159" s="91"/>
      <c r="P159" s="72"/>
      <c r="Q159" s="91"/>
      <c r="R159" s="53" t="str">
        <f t="shared" si="4"/>
        <v/>
      </c>
      <c r="S159" s="72"/>
      <c r="T159" s="73"/>
      <c r="U159" s="71"/>
      <c r="V159" s="94"/>
      <c r="W159" s="97"/>
      <c r="X159" s="101"/>
      <c r="Y159" s="98" t="str">
        <f t="shared" si="5"/>
        <v/>
      </c>
      <c r="Z159" s="100"/>
      <c r="AA159" s="92"/>
      <c r="AB159" s="102"/>
      <c r="AC159" s="114"/>
      <c r="AD159" s="81"/>
      <c r="AE159" s="83"/>
      <c r="AF159" s="82"/>
      <c r="AG159" s="119"/>
      <c r="AH159" s="79"/>
      <c r="AI159" s="74"/>
      <c r="AJ159" s="75"/>
      <c r="AK159" s="123"/>
      <c r="AL159" s="124"/>
      <c r="AM159" s="124"/>
      <c r="AN159" s="124"/>
      <c r="AO159" s="124"/>
      <c r="AP159" s="124"/>
      <c r="AQ159" s="124"/>
      <c r="AR159" s="124"/>
      <c r="AS159" s="124"/>
      <c r="AT159" s="124"/>
      <c r="AU159" s="124"/>
      <c r="AV159" s="124"/>
      <c r="AW159" s="124"/>
      <c r="AX159" s="125"/>
    </row>
    <row r="160" spans="1:50" s="40" customFormat="1" ht="25" customHeight="1" thickBot="1" x14ac:dyDescent="0.35">
      <c r="A160" s="42">
        <v>144</v>
      </c>
      <c r="B160" s="66"/>
      <c r="C160" s="67"/>
      <c r="D160" s="91"/>
      <c r="E160" s="90"/>
      <c r="F160" s="68"/>
      <c r="G160" s="69"/>
      <c r="H160" s="108"/>
      <c r="I160" s="109"/>
      <c r="J160" s="70"/>
      <c r="K160" s="66"/>
      <c r="L160" s="71"/>
      <c r="M160" s="92"/>
      <c r="N160" s="72"/>
      <c r="O160" s="91"/>
      <c r="P160" s="72"/>
      <c r="Q160" s="91"/>
      <c r="R160" s="53" t="str">
        <f t="shared" si="4"/>
        <v/>
      </c>
      <c r="S160" s="72"/>
      <c r="T160" s="73"/>
      <c r="U160" s="71"/>
      <c r="V160" s="94"/>
      <c r="W160" s="97"/>
      <c r="X160" s="101"/>
      <c r="Y160" s="98" t="str">
        <f t="shared" si="5"/>
        <v/>
      </c>
      <c r="Z160" s="100"/>
      <c r="AA160" s="92"/>
      <c r="AB160" s="102"/>
      <c r="AC160" s="114"/>
      <c r="AD160" s="81"/>
      <c r="AE160" s="83"/>
      <c r="AF160" s="82"/>
      <c r="AG160" s="119"/>
      <c r="AH160" s="79"/>
      <c r="AI160" s="74"/>
      <c r="AJ160" s="75"/>
      <c r="AK160" s="123"/>
      <c r="AL160" s="124"/>
      <c r="AM160" s="124"/>
      <c r="AN160" s="124"/>
      <c r="AO160" s="124"/>
      <c r="AP160" s="124"/>
      <c r="AQ160" s="124"/>
      <c r="AR160" s="124"/>
      <c r="AS160" s="124"/>
      <c r="AT160" s="124"/>
      <c r="AU160" s="124"/>
      <c r="AV160" s="124"/>
      <c r="AW160" s="124"/>
      <c r="AX160" s="125"/>
    </row>
    <row r="161" spans="1:50" s="40" customFormat="1" ht="25" customHeight="1" thickBot="1" x14ac:dyDescent="0.35">
      <c r="A161" s="42">
        <v>145</v>
      </c>
      <c r="B161" s="66"/>
      <c r="C161" s="67"/>
      <c r="D161" s="91"/>
      <c r="E161" s="90"/>
      <c r="F161" s="68"/>
      <c r="G161" s="69"/>
      <c r="H161" s="108"/>
      <c r="I161" s="109"/>
      <c r="J161" s="70"/>
      <c r="K161" s="66"/>
      <c r="L161" s="71"/>
      <c r="M161" s="92"/>
      <c r="N161" s="72"/>
      <c r="O161" s="91"/>
      <c r="P161" s="72"/>
      <c r="Q161" s="91"/>
      <c r="R161" s="53" t="str">
        <f t="shared" si="4"/>
        <v/>
      </c>
      <c r="S161" s="72"/>
      <c r="T161" s="73"/>
      <c r="U161" s="71"/>
      <c r="V161" s="94"/>
      <c r="W161" s="97"/>
      <c r="X161" s="101"/>
      <c r="Y161" s="98" t="str">
        <f t="shared" si="5"/>
        <v/>
      </c>
      <c r="Z161" s="100"/>
      <c r="AA161" s="92"/>
      <c r="AB161" s="102"/>
      <c r="AC161" s="114"/>
      <c r="AD161" s="81"/>
      <c r="AE161" s="83"/>
      <c r="AF161" s="82"/>
      <c r="AG161" s="119"/>
      <c r="AH161" s="79"/>
      <c r="AI161" s="74"/>
      <c r="AJ161" s="75"/>
      <c r="AK161" s="123"/>
      <c r="AL161" s="124"/>
      <c r="AM161" s="124"/>
      <c r="AN161" s="124"/>
      <c r="AO161" s="124"/>
      <c r="AP161" s="124"/>
      <c r="AQ161" s="124"/>
      <c r="AR161" s="124"/>
      <c r="AS161" s="124"/>
      <c r="AT161" s="124"/>
      <c r="AU161" s="124"/>
      <c r="AV161" s="124"/>
      <c r="AW161" s="124"/>
      <c r="AX161" s="125"/>
    </row>
    <row r="162" spans="1:50" s="40" customFormat="1" ht="25" customHeight="1" thickBot="1" x14ac:dyDescent="0.35">
      <c r="A162" s="42">
        <v>146</v>
      </c>
      <c r="B162" s="66"/>
      <c r="C162" s="67"/>
      <c r="D162" s="91"/>
      <c r="E162" s="90"/>
      <c r="F162" s="68"/>
      <c r="G162" s="69"/>
      <c r="H162" s="108"/>
      <c r="I162" s="109"/>
      <c r="J162" s="70"/>
      <c r="K162" s="66"/>
      <c r="L162" s="71"/>
      <c r="M162" s="92"/>
      <c r="N162" s="72"/>
      <c r="O162" s="91"/>
      <c r="P162" s="72"/>
      <c r="Q162" s="91"/>
      <c r="R162" s="53" t="str">
        <f t="shared" si="4"/>
        <v/>
      </c>
      <c r="S162" s="72"/>
      <c r="T162" s="73"/>
      <c r="U162" s="71"/>
      <c r="V162" s="94"/>
      <c r="W162" s="97"/>
      <c r="X162" s="101"/>
      <c r="Y162" s="98" t="str">
        <f t="shared" si="5"/>
        <v/>
      </c>
      <c r="Z162" s="100"/>
      <c r="AA162" s="92"/>
      <c r="AB162" s="102"/>
      <c r="AC162" s="114"/>
      <c r="AD162" s="81"/>
      <c r="AE162" s="83"/>
      <c r="AF162" s="82"/>
      <c r="AG162" s="119"/>
      <c r="AH162" s="79"/>
      <c r="AI162" s="74"/>
      <c r="AJ162" s="75"/>
      <c r="AK162" s="123"/>
      <c r="AL162" s="124"/>
      <c r="AM162" s="124"/>
      <c r="AN162" s="124"/>
      <c r="AO162" s="124"/>
      <c r="AP162" s="124"/>
      <c r="AQ162" s="124"/>
      <c r="AR162" s="124"/>
      <c r="AS162" s="124"/>
      <c r="AT162" s="124"/>
      <c r="AU162" s="124"/>
      <c r="AV162" s="124"/>
      <c r="AW162" s="124"/>
      <c r="AX162" s="125"/>
    </row>
    <row r="163" spans="1:50" s="40" customFormat="1" ht="25" customHeight="1" thickBot="1" x14ac:dyDescent="0.35">
      <c r="A163" s="42">
        <v>147</v>
      </c>
      <c r="B163" s="66"/>
      <c r="C163" s="67"/>
      <c r="D163" s="91"/>
      <c r="E163" s="90"/>
      <c r="F163" s="68"/>
      <c r="G163" s="69"/>
      <c r="H163" s="108"/>
      <c r="I163" s="109"/>
      <c r="J163" s="70"/>
      <c r="K163" s="66"/>
      <c r="L163" s="71"/>
      <c r="M163" s="92"/>
      <c r="N163" s="72"/>
      <c r="O163" s="91"/>
      <c r="P163" s="72"/>
      <c r="Q163" s="91"/>
      <c r="R163" s="53" t="str">
        <f t="shared" si="4"/>
        <v/>
      </c>
      <c r="S163" s="72"/>
      <c r="T163" s="73"/>
      <c r="U163" s="71"/>
      <c r="V163" s="94"/>
      <c r="W163" s="97"/>
      <c r="X163" s="101"/>
      <c r="Y163" s="98" t="str">
        <f t="shared" si="5"/>
        <v/>
      </c>
      <c r="Z163" s="100"/>
      <c r="AA163" s="92"/>
      <c r="AB163" s="102"/>
      <c r="AC163" s="114"/>
      <c r="AD163" s="81"/>
      <c r="AE163" s="83"/>
      <c r="AF163" s="82"/>
      <c r="AG163" s="119"/>
      <c r="AH163" s="79"/>
      <c r="AI163" s="74"/>
      <c r="AJ163" s="75"/>
      <c r="AK163" s="123"/>
      <c r="AL163" s="124"/>
      <c r="AM163" s="124"/>
      <c r="AN163" s="124"/>
      <c r="AO163" s="124"/>
      <c r="AP163" s="124"/>
      <c r="AQ163" s="124"/>
      <c r="AR163" s="124"/>
      <c r="AS163" s="124"/>
      <c r="AT163" s="124"/>
      <c r="AU163" s="124"/>
      <c r="AV163" s="124"/>
      <c r="AW163" s="124"/>
      <c r="AX163" s="125"/>
    </row>
    <row r="164" spans="1:50" s="40" customFormat="1" ht="25" customHeight="1" thickBot="1" x14ac:dyDescent="0.35">
      <c r="A164" s="42">
        <v>148</v>
      </c>
      <c r="B164" s="66"/>
      <c r="C164" s="67"/>
      <c r="D164" s="91"/>
      <c r="E164" s="90"/>
      <c r="F164" s="68"/>
      <c r="G164" s="69"/>
      <c r="H164" s="108"/>
      <c r="I164" s="109"/>
      <c r="J164" s="70"/>
      <c r="K164" s="66"/>
      <c r="L164" s="71"/>
      <c r="M164" s="92"/>
      <c r="N164" s="72"/>
      <c r="O164" s="91"/>
      <c r="P164" s="72"/>
      <c r="Q164" s="91"/>
      <c r="R164" s="53" t="str">
        <f t="shared" si="4"/>
        <v/>
      </c>
      <c r="S164" s="72"/>
      <c r="T164" s="73"/>
      <c r="U164" s="71"/>
      <c r="V164" s="94"/>
      <c r="W164" s="97"/>
      <c r="X164" s="101"/>
      <c r="Y164" s="98" t="str">
        <f t="shared" si="5"/>
        <v/>
      </c>
      <c r="Z164" s="100"/>
      <c r="AA164" s="92"/>
      <c r="AB164" s="102"/>
      <c r="AC164" s="114"/>
      <c r="AD164" s="81"/>
      <c r="AE164" s="83"/>
      <c r="AF164" s="82"/>
      <c r="AG164" s="119"/>
      <c r="AH164" s="79"/>
      <c r="AI164" s="74"/>
      <c r="AJ164" s="75"/>
      <c r="AK164" s="123"/>
      <c r="AL164" s="124"/>
      <c r="AM164" s="124"/>
      <c r="AN164" s="124"/>
      <c r="AO164" s="124"/>
      <c r="AP164" s="124"/>
      <c r="AQ164" s="124"/>
      <c r="AR164" s="124"/>
      <c r="AS164" s="124"/>
      <c r="AT164" s="124"/>
      <c r="AU164" s="124"/>
      <c r="AV164" s="124"/>
      <c r="AW164" s="124"/>
      <c r="AX164" s="125"/>
    </row>
    <row r="165" spans="1:50" s="40" customFormat="1" ht="25" customHeight="1" thickBot="1" x14ac:dyDescent="0.35">
      <c r="A165" s="42">
        <v>149</v>
      </c>
      <c r="B165" s="66"/>
      <c r="C165" s="67"/>
      <c r="D165" s="91"/>
      <c r="E165" s="90"/>
      <c r="F165" s="68"/>
      <c r="G165" s="69"/>
      <c r="H165" s="108"/>
      <c r="I165" s="109"/>
      <c r="J165" s="70"/>
      <c r="K165" s="66"/>
      <c r="L165" s="71"/>
      <c r="M165" s="92"/>
      <c r="N165" s="72"/>
      <c r="O165" s="91"/>
      <c r="P165" s="72"/>
      <c r="Q165" s="91"/>
      <c r="R165" s="53" t="str">
        <f t="shared" si="4"/>
        <v/>
      </c>
      <c r="S165" s="72"/>
      <c r="T165" s="73"/>
      <c r="U165" s="71"/>
      <c r="V165" s="94"/>
      <c r="W165" s="97"/>
      <c r="X165" s="101"/>
      <c r="Y165" s="98" t="str">
        <f t="shared" si="5"/>
        <v/>
      </c>
      <c r="Z165" s="100"/>
      <c r="AA165" s="92"/>
      <c r="AB165" s="102"/>
      <c r="AC165" s="114"/>
      <c r="AD165" s="81"/>
      <c r="AE165" s="83"/>
      <c r="AF165" s="82"/>
      <c r="AG165" s="119"/>
      <c r="AH165" s="79"/>
      <c r="AI165" s="74"/>
      <c r="AJ165" s="75"/>
      <c r="AK165" s="123"/>
      <c r="AL165" s="124"/>
      <c r="AM165" s="124"/>
      <c r="AN165" s="124"/>
      <c r="AO165" s="124"/>
      <c r="AP165" s="124"/>
      <c r="AQ165" s="124"/>
      <c r="AR165" s="124"/>
      <c r="AS165" s="124"/>
      <c r="AT165" s="124"/>
      <c r="AU165" s="124"/>
      <c r="AV165" s="124"/>
      <c r="AW165" s="124"/>
      <c r="AX165" s="125"/>
    </row>
    <row r="166" spans="1:50" s="40" customFormat="1" ht="25" customHeight="1" thickBot="1" x14ac:dyDescent="0.35">
      <c r="A166" s="42">
        <v>150</v>
      </c>
      <c r="B166" s="66"/>
      <c r="C166" s="67"/>
      <c r="D166" s="91"/>
      <c r="E166" s="90"/>
      <c r="F166" s="68"/>
      <c r="G166" s="69"/>
      <c r="H166" s="108"/>
      <c r="I166" s="109"/>
      <c r="J166" s="70"/>
      <c r="K166" s="66"/>
      <c r="L166" s="71"/>
      <c r="M166" s="92"/>
      <c r="N166" s="72"/>
      <c r="O166" s="91"/>
      <c r="P166" s="72"/>
      <c r="Q166" s="91"/>
      <c r="R166" s="53" t="str">
        <f t="shared" si="4"/>
        <v/>
      </c>
      <c r="S166" s="72"/>
      <c r="T166" s="73"/>
      <c r="U166" s="71"/>
      <c r="V166" s="94"/>
      <c r="W166" s="97"/>
      <c r="X166" s="101"/>
      <c r="Y166" s="98" t="str">
        <f t="shared" si="5"/>
        <v/>
      </c>
      <c r="Z166" s="100"/>
      <c r="AA166" s="92"/>
      <c r="AB166" s="102"/>
      <c r="AC166" s="114"/>
      <c r="AD166" s="81"/>
      <c r="AE166" s="83"/>
      <c r="AF166" s="82"/>
      <c r="AG166" s="119"/>
      <c r="AH166" s="79"/>
      <c r="AI166" s="74"/>
      <c r="AJ166" s="75"/>
      <c r="AK166" s="123"/>
      <c r="AL166" s="124"/>
      <c r="AM166" s="124"/>
      <c r="AN166" s="124"/>
      <c r="AO166" s="124"/>
      <c r="AP166" s="124"/>
      <c r="AQ166" s="124"/>
      <c r="AR166" s="124"/>
      <c r="AS166" s="124"/>
      <c r="AT166" s="124"/>
      <c r="AU166" s="124"/>
      <c r="AV166" s="124"/>
      <c r="AW166" s="124"/>
      <c r="AX166" s="125"/>
    </row>
    <row r="167" spans="1:50" s="40" customFormat="1" ht="25" customHeight="1" thickBot="1" x14ac:dyDescent="0.35">
      <c r="A167" s="42">
        <v>151</v>
      </c>
      <c r="B167" s="66"/>
      <c r="C167" s="67"/>
      <c r="D167" s="91"/>
      <c r="E167" s="90"/>
      <c r="F167" s="68"/>
      <c r="G167" s="69"/>
      <c r="H167" s="108"/>
      <c r="I167" s="109"/>
      <c r="J167" s="70"/>
      <c r="K167" s="66"/>
      <c r="L167" s="71"/>
      <c r="M167" s="92"/>
      <c r="N167" s="72"/>
      <c r="O167" s="91"/>
      <c r="P167" s="72"/>
      <c r="Q167" s="91"/>
      <c r="R167" s="53" t="str">
        <f t="shared" si="4"/>
        <v/>
      </c>
      <c r="S167" s="72"/>
      <c r="T167" s="73"/>
      <c r="U167" s="71"/>
      <c r="V167" s="94"/>
      <c r="W167" s="97"/>
      <c r="X167" s="101"/>
      <c r="Y167" s="98" t="str">
        <f t="shared" si="5"/>
        <v/>
      </c>
      <c r="Z167" s="100"/>
      <c r="AA167" s="92"/>
      <c r="AB167" s="102"/>
      <c r="AC167" s="114"/>
      <c r="AD167" s="81"/>
      <c r="AE167" s="83"/>
      <c r="AF167" s="82"/>
      <c r="AG167" s="119"/>
      <c r="AH167" s="79"/>
      <c r="AI167" s="74"/>
      <c r="AJ167" s="75"/>
      <c r="AK167" s="123"/>
      <c r="AL167" s="124"/>
      <c r="AM167" s="124"/>
      <c r="AN167" s="124"/>
      <c r="AO167" s="124"/>
      <c r="AP167" s="124"/>
      <c r="AQ167" s="124"/>
      <c r="AR167" s="124"/>
      <c r="AS167" s="124"/>
      <c r="AT167" s="124"/>
      <c r="AU167" s="124"/>
      <c r="AV167" s="124"/>
      <c r="AW167" s="124"/>
      <c r="AX167" s="125"/>
    </row>
    <row r="168" spans="1:50" s="40" customFormat="1" ht="25" customHeight="1" thickBot="1" x14ac:dyDescent="0.35">
      <c r="A168" s="42">
        <v>152</v>
      </c>
      <c r="B168" s="66"/>
      <c r="C168" s="67"/>
      <c r="D168" s="91"/>
      <c r="E168" s="90"/>
      <c r="F168" s="68"/>
      <c r="G168" s="69"/>
      <c r="H168" s="108"/>
      <c r="I168" s="109"/>
      <c r="J168" s="70"/>
      <c r="K168" s="66"/>
      <c r="L168" s="71"/>
      <c r="M168" s="92"/>
      <c r="N168" s="72"/>
      <c r="O168" s="91"/>
      <c r="P168" s="72"/>
      <c r="Q168" s="91"/>
      <c r="R168" s="53" t="str">
        <f t="shared" si="4"/>
        <v/>
      </c>
      <c r="S168" s="72"/>
      <c r="T168" s="73"/>
      <c r="U168" s="71"/>
      <c r="V168" s="94"/>
      <c r="W168" s="97"/>
      <c r="X168" s="101"/>
      <c r="Y168" s="98" t="str">
        <f t="shared" si="5"/>
        <v/>
      </c>
      <c r="Z168" s="100"/>
      <c r="AA168" s="92"/>
      <c r="AB168" s="102"/>
      <c r="AC168" s="114"/>
      <c r="AD168" s="81"/>
      <c r="AE168" s="83"/>
      <c r="AF168" s="82"/>
      <c r="AG168" s="119"/>
      <c r="AH168" s="79"/>
      <c r="AI168" s="74"/>
      <c r="AJ168" s="75"/>
      <c r="AK168" s="123"/>
      <c r="AL168" s="124"/>
      <c r="AM168" s="124"/>
      <c r="AN168" s="124"/>
      <c r="AO168" s="124"/>
      <c r="AP168" s="124"/>
      <c r="AQ168" s="124"/>
      <c r="AR168" s="124"/>
      <c r="AS168" s="124"/>
      <c r="AT168" s="124"/>
      <c r="AU168" s="124"/>
      <c r="AV168" s="124"/>
      <c r="AW168" s="124"/>
      <c r="AX168" s="125"/>
    </row>
    <row r="169" spans="1:50" s="40" customFormat="1" ht="25" customHeight="1" thickBot="1" x14ac:dyDescent="0.35">
      <c r="A169" s="42">
        <v>153</v>
      </c>
      <c r="B169" s="66"/>
      <c r="C169" s="67"/>
      <c r="D169" s="91"/>
      <c r="E169" s="90"/>
      <c r="F169" s="68"/>
      <c r="G169" s="69"/>
      <c r="H169" s="108"/>
      <c r="I169" s="109"/>
      <c r="J169" s="70"/>
      <c r="K169" s="66"/>
      <c r="L169" s="71"/>
      <c r="M169" s="92"/>
      <c r="N169" s="72"/>
      <c r="O169" s="91"/>
      <c r="P169" s="72"/>
      <c r="Q169" s="91"/>
      <c r="R169" s="53" t="str">
        <f t="shared" si="4"/>
        <v/>
      </c>
      <c r="S169" s="72"/>
      <c r="T169" s="73"/>
      <c r="U169" s="71"/>
      <c r="V169" s="94"/>
      <c r="W169" s="97"/>
      <c r="X169" s="101"/>
      <c r="Y169" s="98" t="str">
        <f t="shared" si="5"/>
        <v/>
      </c>
      <c r="Z169" s="100"/>
      <c r="AA169" s="92"/>
      <c r="AB169" s="102"/>
      <c r="AC169" s="114"/>
      <c r="AD169" s="81"/>
      <c r="AE169" s="83"/>
      <c r="AF169" s="82"/>
      <c r="AG169" s="119"/>
      <c r="AH169" s="79"/>
      <c r="AI169" s="74"/>
      <c r="AJ169" s="75"/>
      <c r="AK169" s="123"/>
      <c r="AL169" s="124"/>
      <c r="AM169" s="124"/>
      <c r="AN169" s="124"/>
      <c r="AO169" s="124"/>
      <c r="AP169" s="124"/>
      <c r="AQ169" s="124"/>
      <c r="AR169" s="124"/>
      <c r="AS169" s="124"/>
      <c r="AT169" s="124"/>
      <c r="AU169" s="124"/>
      <c r="AV169" s="124"/>
      <c r="AW169" s="124"/>
      <c r="AX169" s="125"/>
    </row>
    <row r="170" spans="1:50" s="40" customFormat="1" ht="25" customHeight="1" thickBot="1" x14ac:dyDescent="0.35">
      <c r="A170" s="42">
        <v>154</v>
      </c>
      <c r="B170" s="66"/>
      <c r="C170" s="67"/>
      <c r="D170" s="91"/>
      <c r="E170" s="90"/>
      <c r="F170" s="68"/>
      <c r="G170" s="69"/>
      <c r="H170" s="108"/>
      <c r="I170" s="109"/>
      <c r="J170" s="70"/>
      <c r="K170" s="66"/>
      <c r="L170" s="71"/>
      <c r="M170" s="92"/>
      <c r="N170" s="72"/>
      <c r="O170" s="91"/>
      <c r="P170" s="72"/>
      <c r="Q170" s="91"/>
      <c r="R170" s="53" t="str">
        <f t="shared" si="4"/>
        <v/>
      </c>
      <c r="S170" s="72"/>
      <c r="T170" s="73"/>
      <c r="U170" s="71"/>
      <c r="V170" s="94"/>
      <c r="W170" s="97"/>
      <c r="X170" s="101"/>
      <c r="Y170" s="98" t="str">
        <f t="shared" si="5"/>
        <v/>
      </c>
      <c r="Z170" s="100"/>
      <c r="AA170" s="92"/>
      <c r="AB170" s="102"/>
      <c r="AC170" s="114"/>
      <c r="AD170" s="81"/>
      <c r="AE170" s="83"/>
      <c r="AF170" s="82"/>
      <c r="AG170" s="119"/>
      <c r="AH170" s="79"/>
      <c r="AI170" s="74"/>
      <c r="AJ170" s="75"/>
      <c r="AK170" s="123"/>
      <c r="AL170" s="124"/>
      <c r="AM170" s="124"/>
      <c r="AN170" s="124"/>
      <c r="AO170" s="124"/>
      <c r="AP170" s="124"/>
      <c r="AQ170" s="124"/>
      <c r="AR170" s="124"/>
      <c r="AS170" s="124"/>
      <c r="AT170" s="124"/>
      <c r="AU170" s="124"/>
      <c r="AV170" s="124"/>
      <c r="AW170" s="124"/>
      <c r="AX170" s="125"/>
    </row>
    <row r="171" spans="1:50" s="40" customFormat="1" ht="25" customHeight="1" thickBot="1" x14ac:dyDescent="0.35">
      <c r="A171" s="42">
        <v>155</v>
      </c>
      <c r="B171" s="66"/>
      <c r="C171" s="67"/>
      <c r="D171" s="91"/>
      <c r="E171" s="90"/>
      <c r="F171" s="68"/>
      <c r="G171" s="69"/>
      <c r="H171" s="108"/>
      <c r="I171" s="109"/>
      <c r="J171" s="70"/>
      <c r="K171" s="66"/>
      <c r="L171" s="71"/>
      <c r="M171" s="92"/>
      <c r="N171" s="72"/>
      <c r="O171" s="91"/>
      <c r="P171" s="72"/>
      <c r="Q171" s="91"/>
      <c r="R171" s="53" t="str">
        <f t="shared" si="4"/>
        <v/>
      </c>
      <c r="S171" s="72"/>
      <c r="T171" s="73"/>
      <c r="U171" s="71"/>
      <c r="V171" s="94"/>
      <c r="W171" s="97"/>
      <c r="X171" s="101"/>
      <c r="Y171" s="98" t="str">
        <f t="shared" si="5"/>
        <v/>
      </c>
      <c r="Z171" s="100"/>
      <c r="AA171" s="92"/>
      <c r="AB171" s="102"/>
      <c r="AC171" s="114"/>
      <c r="AD171" s="81"/>
      <c r="AE171" s="83"/>
      <c r="AF171" s="82"/>
      <c r="AG171" s="119"/>
      <c r="AH171" s="79"/>
      <c r="AI171" s="74"/>
      <c r="AJ171" s="75"/>
      <c r="AK171" s="123"/>
      <c r="AL171" s="124"/>
      <c r="AM171" s="124"/>
      <c r="AN171" s="124"/>
      <c r="AO171" s="124"/>
      <c r="AP171" s="124"/>
      <c r="AQ171" s="124"/>
      <c r="AR171" s="124"/>
      <c r="AS171" s="124"/>
      <c r="AT171" s="124"/>
      <c r="AU171" s="124"/>
      <c r="AV171" s="124"/>
      <c r="AW171" s="124"/>
      <c r="AX171" s="125"/>
    </row>
    <row r="172" spans="1:50" s="40" customFormat="1" ht="25" customHeight="1" thickBot="1" x14ac:dyDescent="0.35">
      <c r="A172" s="42">
        <v>156</v>
      </c>
      <c r="B172" s="66"/>
      <c r="C172" s="67"/>
      <c r="D172" s="91"/>
      <c r="E172" s="90"/>
      <c r="F172" s="68"/>
      <c r="G172" s="69"/>
      <c r="H172" s="108"/>
      <c r="I172" s="109"/>
      <c r="J172" s="70"/>
      <c r="K172" s="66"/>
      <c r="L172" s="71"/>
      <c r="M172" s="92"/>
      <c r="N172" s="72"/>
      <c r="O172" s="91"/>
      <c r="P172" s="72"/>
      <c r="Q172" s="91"/>
      <c r="R172" s="53" t="str">
        <f t="shared" si="4"/>
        <v/>
      </c>
      <c r="S172" s="72"/>
      <c r="T172" s="73"/>
      <c r="U172" s="71"/>
      <c r="V172" s="94"/>
      <c r="W172" s="97"/>
      <c r="X172" s="101"/>
      <c r="Y172" s="98" t="str">
        <f t="shared" si="5"/>
        <v/>
      </c>
      <c r="Z172" s="100"/>
      <c r="AA172" s="92"/>
      <c r="AB172" s="102"/>
      <c r="AC172" s="114"/>
      <c r="AD172" s="81"/>
      <c r="AE172" s="83"/>
      <c r="AF172" s="82"/>
      <c r="AG172" s="119"/>
      <c r="AH172" s="79"/>
      <c r="AI172" s="74"/>
      <c r="AJ172" s="75"/>
      <c r="AK172" s="123"/>
      <c r="AL172" s="124"/>
      <c r="AM172" s="124"/>
      <c r="AN172" s="124"/>
      <c r="AO172" s="124"/>
      <c r="AP172" s="124"/>
      <c r="AQ172" s="124"/>
      <c r="AR172" s="124"/>
      <c r="AS172" s="124"/>
      <c r="AT172" s="124"/>
      <c r="AU172" s="124"/>
      <c r="AV172" s="124"/>
      <c r="AW172" s="124"/>
      <c r="AX172" s="125"/>
    </row>
    <row r="173" spans="1:50" s="40" customFormat="1" ht="25" customHeight="1" thickBot="1" x14ac:dyDescent="0.35">
      <c r="A173" s="42">
        <v>157</v>
      </c>
      <c r="B173" s="66"/>
      <c r="C173" s="67"/>
      <c r="D173" s="91"/>
      <c r="E173" s="90"/>
      <c r="F173" s="68"/>
      <c r="G173" s="69"/>
      <c r="H173" s="108"/>
      <c r="I173" s="109"/>
      <c r="J173" s="70"/>
      <c r="K173" s="66"/>
      <c r="L173" s="71"/>
      <c r="M173" s="92"/>
      <c r="N173" s="72"/>
      <c r="O173" s="91"/>
      <c r="P173" s="72"/>
      <c r="Q173" s="91"/>
      <c r="R173" s="53" t="str">
        <f t="shared" si="4"/>
        <v/>
      </c>
      <c r="S173" s="72"/>
      <c r="T173" s="73"/>
      <c r="U173" s="71"/>
      <c r="V173" s="94"/>
      <c r="W173" s="97"/>
      <c r="X173" s="101"/>
      <c r="Y173" s="98" t="str">
        <f t="shared" si="5"/>
        <v/>
      </c>
      <c r="Z173" s="100"/>
      <c r="AA173" s="92"/>
      <c r="AB173" s="102"/>
      <c r="AC173" s="114"/>
      <c r="AD173" s="81"/>
      <c r="AE173" s="83"/>
      <c r="AF173" s="82"/>
      <c r="AG173" s="119"/>
      <c r="AH173" s="79"/>
      <c r="AI173" s="74"/>
      <c r="AJ173" s="75"/>
      <c r="AK173" s="123"/>
      <c r="AL173" s="124"/>
      <c r="AM173" s="124"/>
      <c r="AN173" s="124"/>
      <c r="AO173" s="124"/>
      <c r="AP173" s="124"/>
      <c r="AQ173" s="124"/>
      <c r="AR173" s="124"/>
      <c r="AS173" s="124"/>
      <c r="AT173" s="124"/>
      <c r="AU173" s="124"/>
      <c r="AV173" s="124"/>
      <c r="AW173" s="124"/>
      <c r="AX173" s="125"/>
    </row>
    <row r="174" spans="1:50" s="40" customFormat="1" ht="25" customHeight="1" thickBot="1" x14ac:dyDescent="0.35">
      <c r="A174" s="42">
        <v>158</v>
      </c>
      <c r="B174" s="66"/>
      <c r="C174" s="67"/>
      <c r="D174" s="91"/>
      <c r="E174" s="90"/>
      <c r="F174" s="68"/>
      <c r="G174" s="69"/>
      <c r="H174" s="108"/>
      <c r="I174" s="109"/>
      <c r="J174" s="70"/>
      <c r="K174" s="66"/>
      <c r="L174" s="71"/>
      <c r="M174" s="92"/>
      <c r="N174" s="72"/>
      <c r="O174" s="91"/>
      <c r="P174" s="72"/>
      <c r="Q174" s="91"/>
      <c r="R174" s="53" t="str">
        <f t="shared" si="4"/>
        <v/>
      </c>
      <c r="S174" s="72"/>
      <c r="T174" s="73"/>
      <c r="U174" s="71"/>
      <c r="V174" s="94"/>
      <c r="W174" s="97"/>
      <c r="X174" s="101"/>
      <c r="Y174" s="98" t="str">
        <f t="shared" si="5"/>
        <v/>
      </c>
      <c r="Z174" s="100"/>
      <c r="AA174" s="92"/>
      <c r="AB174" s="102"/>
      <c r="AC174" s="114"/>
      <c r="AD174" s="81"/>
      <c r="AE174" s="83"/>
      <c r="AF174" s="82"/>
      <c r="AG174" s="119"/>
      <c r="AH174" s="79"/>
      <c r="AI174" s="74"/>
      <c r="AJ174" s="75"/>
      <c r="AK174" s="123"/>
      <c r="AL174" s="124"/>
      <c r="AM174" s="124"/>
      <c r="AN174" s="124"/>
      <c r="AO174" s="124"/>
      <c r="AP174" s="124"/>
      <c r="AQ174" s="124"/>
      <c r="AR174" s="124"/>
      <c r="AS174" s="124"/>
      <c r="AT174" s="124"/>
      <c r="AU174" s="124"/>
      <c r="AV174" s="124"/>
      <c r="AW174" s="124"/>
      <c r="AX174" s="125"/>
    </row>
    <row r="175" spans="1:50" s="40" customFormat="1" ht="25" customHeight="1" thickBot="1" x14ac:dyDescent="0.35">
      <c r="A175" s="42">
        <v>159</v>
      </c>
      <c r="B175" s="66"/>
      <c r="C175" s="67"/>
      <c r="D175" s="91"/>
      <c r="E175" s="90"/>
      <c r="F175" s="68"/>
      <c r="G175" s="69"/>
      <c r="H175" s="108"/>
      <c r="I175" s="109"/>
      <c r="J175" s="70"/>
      <c r="K175" s="66"/>
      <c r="L175" s="71"/>
      <c r="M175" s="92"/>
      <c r="N175" s="72"/>
      <c r="O175" s="91"/>
      <c r="P175" s="72"/>
      <c r="Q175" s="91"/>
      <c r="R175" s="53" t="str">
        <f t="shared" si="4"/>
        <v/>
      </c>
      <c r="S175" s="72"/>
      <c r="T175" s="73"/>
      <c r="U175" s="71"/>
      <c r="V175" s="94"/>
      <c r="W175" s="97"/>
      <c r="X175" s="101"/>
      <c r="Y175" s="98" t="str">
        <f t="shared" si="5"/>
        <v/>
      </c>
      <c r="Z175" s="100"/>
      <c r="AA175" s="92"/>
      <c r="AB175" s="102"/>
      <c r="AC175" s="114"/>
      <c r="AD175" s="81"/>
      <c r="AE175" s="83"/>
      <c r="AF175" s="82"/>
      <c r="AG175" s="119"/>
      <c r="AH175" s="79"/>
      <c r="AI175" s="74"/>
      <c r="AJ175" s="75"/>
      <c r="AK175" s="123"/>
      <c r="AL175" s="124"/>
      <c r="AM175" s="124"/>
      <c r="AN175" s="124"/>
      <c r="AO175" s="124"/>
      <c r="AP175" s="124"/>
      <c r="AQ175" s="124"/>
      <c r="AR175" s="124"/>
      <c r="AS175" s="124"/>
      <c r="AT175" s="124"/>
      <c r="AU175" s="124"/>
      <c r="AV175" s="124"/>
      <c r="AW175" s="124"/>
      <c r="AX175" s="125"/>
    </row>
    <row r="176" spans="1:50" s="40" customFormat="1" ht="25" customHeight="1" thickBot="1" x14ac:dyDescent="0.35">
      <c r="A176" s="42">
        <v>160</v>
      </c>
      <c r="B176" s="66"/>
      <c r="C176" s="67"/>
      <c r="D176" s="91"/>
      <c r="E176" s="90"/>
      <c r="F176" s="68"/>
      <c r="G176" s="69"/>
      <c r="H176" s="108"/>
      <c r="I176" s="109"/>
      <c r="J176" s="70"/>
      <c r="K176" s="66"/>
      <c r="L176" s="71"/>
      <c r="M176" s="92"/>
      <c r="N176" s="72"/>
      <c r="O176" s="91"/>
      <c r="P176" s="72"/>
      <c r="Q176" s="91"/>
      <c r="R176" s="53" t="str">
        <f t="shared" si="4"/>
        <v/>
      </c>
      <c r="S176" s="72"/>
      <c r="T176" s="73"/>
      <c r="U176" s="71"/>
      <c r="V176" s="94"/>
      <c r="W176" s="97"/>
      <c r="X176" s="101"/>
      <c r="Y176" s="98" t="str">
        <f t="shared" si="5"/>
        <v/>
      </c>
      <c r="Z176" s="100"/>
      <c r="AA176" s="92"/>
      <c r="AB176" s="102"/>
      <c r="AC176" s="114"/>
      <c r="AD176" s="81"/>
      <c r="AE176" s="83"/>
      <c r="AF176" s="82"/>
      <c r="AG176" s="119"/>
      <c r="AH176" s="79"/>
      <c r="AI176" s="74"/>
      <c r="AJ176" s="75"/>
      <c r="AK176" s="123"/>
      <c r="AL176" s="124"/>
      <c r="AM176" s="124"/>
      <c r="AN176" s="124"/>
      <c r="AO176" s="124"/>
      <c r="AP176" s="124"/>
      <c r="AQ176" s="124"/>
      <c r="AR176" s="124"/>
      <c r="AS176" s="124"/>
      <c r="AT176" s="124"/>
      <c r="AU176" s="124"/>
      <c r="AV176" s="124"/>
      <c r="AW176" s="124"/>
      <c r="AX176" s="125"/>
    </row>
    <row r="177" spans="1:50" s="40" customFormat="1" ht="25" customHeight="1" thickBot="1" x14ac:dyDescent="0.35">
      <c r="A177" s="42">
        <v>161</v>
      </c>
      <c r="B177" s="66"/>
      <c r="C177" s="67"/>
      <c r="D177" s="91"/>
      <c r="E177" s="90"/>
      <c r="F177" s="68"/>
      <c r="G177" s="69"/>
      <c r="H177" s="108"/>
      <c r="I177" s="109"/>
      <c r="J177" s="70"/>
      <c r="K177" s="66"/>
      <c r="L177" s="71"/>
      <c r="M177" s="92"/>
      <c r="N177" s="72"/>
      <c r="O177" s="91"/>
      <c r="P177" s="72"/>
      <c r="Q177" s="91"/>
      <c r="R177" s="53" t="str">
        <f t="shared" si="4"/>
        <v/>
      </c>
      <c r="S177" s="72"/>
      <c r="T177" s="73"/>
      <c r="U177" s="71"/>
      <c r="V177" s="94"/>
      <c r="W177" s="97"/>
      <c r="X177" s="101"/>
      <c r="Y177" s="98" t="str">
        <f t="shared" si="5"/>
        <v/>
      </c>
      <c r="Z177" s="100"/>
      <c r="AA177" s="92"/>
      <c r="AB177" s="102"/>
      <c r="AC177" s="114"/>
      <c r="AD177" s="81"/>
      <c r="AE177" s="83"/>
      <c r="AF177" s="82"/>
      <c r="AG177" s="119"/>
      <c r="AH177" s="79"/>
      <c r="AI177" s="74"/>
      <c r="AJ177" s="75"/>
      <c r="AK177" s="123"/>
      <c r="AL177" s="124"/>
      <c r="AM177" s="124"/>
      <c r="AN177" s="124"/>
      <c r="AO177" s="124"/>
      <c r="AP177" s="124"/>
      <c r="AQ177" s="124"/>
      <c r="AR177" s="124"/>
      <c r="AS177" s="124"/>
      <c r="AT177" s="124"/>
      <c r="AU177" s="124"/>
      <c r="AV177" s="124"/>
      <c r="AW177" s="124"/>
      <c r="AX177" s="125"/>
    </row>
    <row r="178" spans="1:50" s="40" customFormat="1" ht="25" customHeight="1" thickBot="1" x14ac:dyDescent="0.35">
      <c r="A178" s="42">
        <v>162</v>
      </c>
      <c r="B178" s="66"/>
      <c r="C178" s="67"/>
      <c r="D178" s="91"/>
      <c r="E178" s="90"/>
      <c r="F178" s="68"/>
      <c r="G178" s="69"/>
      <c r="H178" s="108"/>
      <c r="I178" s="109"/>
      <c r="J178" s="70"/>
      <c r="K178" s="66"/>
      <c r="L178" s="71"/>
      <c r="M178" s="92"/>
      <c r="N178" s="72"/>
      <c r="O178" s="91"/>
      <c r="P178" s="72"/>
      <c r="Q178" s="91"/>
      <c r="R178" s="53" t="str">
        <f t="shared" si="4"/>
        <v/>
      </c>
      <c r="S178" s="72"/>
      <c r="T178" s="73"/>
      <c r="U178" s="71"/>
      <c r="V178" s="94"/>
      <c r="W178" s="97"/>
      <c r="X178" s="101"/>
      <c r="Y178" s="98" t="str">
        <f t="shared" si="5"/>
        <v/>
      </c>
      <c r="Z178" s="100"/>
      <c r="AA178" s="92"/>
      <c r="AB178" s="102"/>
      <c r="AC178" s="114"/>
      <c r="AD178" s="81"/>
      <c r="AE178" s="83"/>
      <c r="AF178" s="82"/>
      <c r="AG178" s="119"/>
      <c r="AH178" s="79"/>
      <c r="AI178" s="74"/>
      <c r="AJ178" s="75"/>
      <c r="AK178" s="123"/>
      <c r="AL178" s="124"/>
      <c r="AM178" s="124"/>
      <c r="AN178" s="124"/>
      <c r="AO178" s="124"/>
      <c r="AP178" s="124"/>
      <c r="AQ178" s="124"/>
      <c r="AR178" s="124"/>
      <c r="AS178" s="124"/>
      <c r="AT178" s="124"/>
      <c r="AU178" s="124"/>
      <c r="AV178" s="124"/>
      <c r="AW178" s="124"/>
      <c r="AX178" s="125"/>
    </row>
    <row r="179" spans="1:50" s="40" customFormat="1" ht="25" customHeight="1" thickBot="1" x14ac:dyDescent="0.35">
      <c r="A179" s="42">
        <v>163</v>
      </c>
      <c r="B179" s="66"/>
      <c r="C179" s="67"/>
      <c r="D179" s="91"/>
      <c r="E179" s="90"/>
      <c r="F179" s="68"/>
      <c r="G179" s="69"/>
      <c r="H179" s="108"/>
      <c r="I179" s="109"/>
      <c r="J179" s="70"/>
      <c r="K179" s="66"/>
      <c r="L179" s="71"/>
      <c r="M179" s="92"/>
      <c r="N179" s="72"/>
      <c r="O179" s="91"/>
      <c r="P179" s="72"/>
      <c r="Q179" s="91"/>
      <c r="R179" s="53" t="str">
        <f t="shared" si="4"/>
        <v/>
      </c>
      <c r="S179" s="72"/>
      <c r="T179" s="73"/>
      <c r="U179" s="71"/>
      <c r="V179" s="94"/>
      <c r="W179" s="97"/>
      <c r="X179" s="101"/>
      <c r="Y179" s="98" t="str">
        <f t="shared" si="5"/>
        <v/>
      </c>
      <c r="Z179" s="100"/>
      <c r="AA179" s="92"/>
      <c r="AB179" s="102"/>
      <c r="AC179" s="114"/>
      <c r="AD179" s="81"/>
      <c r="AE179" s="83"/>
      <c r="AF179" s="82"/>
      <c r="AG179" s="119"/>
      <c r="AH179" s="79"/>
      <c r="AI179" s="74"/>
      <c r="AJ179" s="75"/>
      <c r="AK179" s="123"/>
      <c r="AL179" s="124"/>
      <c r="AM179" s="124"/>
      <c r="AN179" s="124"/>
      <c r="AO179" s="124"/>
      <c r="AP179" s="124"/>
      <c r="AQ179" s="124"/>
      <c r="AR179" s="124"/>
      <c r="AS179" s="124"/>
      <c r="AT179" s="124"/>
      <c r="AU179" s="124"/>
      <c r="AV179" s="124"/>
      <c r="AW179" s="124"/>
      <c r="AX179" s="125"/>
    </row>
    <row r="180" spans="1:50" s="40" customFormat="1" ht="25" customHeight="1" thickBot="1" x14ac:dyDescent="0.35">
      <c r="A180" s="42">
        <v>164</v>
      </c>
      <c r="B180" s="66"/>
      <c r="C180" s="67"/>
      <c r="D180" s="91"/>
      <c r="E180" s="90"/>
      <c r="F180" s="68"/>
      <c r="G180" s="69"/>
      <c r="H180" s="108"/>
      <c r="I180" s="109"/>
      <c r="J180" s="70"/>
      <c r="K180" s="66"/>
      <c r="L180" s="71"/>
      <c r="M180" s="92"/>
      <c r="N180" s="72"/>
      <c r="O180" s="91"/>
      <c r="P180" s="72"/>
      <c r="Q180" s="91"/>
      <c r="R180" s="53" t="str">
        <f t="shared" si="4"/>
        <v/>
      </c>
      <c r="S180" s="72"/>
      <c r="T180" s="73"/>
      <c r="U180" s="71"/>
      <c r="V180" s="94"/>
      <c r="W180" s="97"/>
      <c r="X180" s="101"/>
      <c r="Y180" s="98" t="str">
        <f t="shared" si="5"/>
        <v/>
      </c>
      <c r="Z180" s="100"/>
      <c r="AA180" s="92"/>
      <c r="AB180" s="102"/>
      <c r="AC180" s="114"/>
      <c r="AD180" s="81"/>
      <c r="AE180" s="83"/>
      <c r="AF180" s="82"/>
      <c r="AG180" s="119"/>
      <c r="AH180" s="79"/>
      <c r="AI180" s="74"/>
      <c r="AJ180" s="75"/>
      <c r="AK180" s="123"/>
      <c r="AL180" s="124"/>
      <c r="AM180" s="124"/>
      <c r="AN180" s="124"/>
      <c r="AO180" s="124"/>
      <c r="AP180" s="124"/>
      <c r="AQ180" s="124"/>
      <c r="AR180" s="124"/>
      <c r="AS180" s="124"/>
      <c r="AT180" s="124"/>
      <c r="AU180" s="124"/>
      <c r="AV180" s="124"/>
      <c r="AW180" s="124"/>
      <c r="AX180" s="125"/>
    </row>
    <row r="181" spans="1:50" s="40" customFormat="1" ht="25" customHeight="1" thickBot="1" x14ac:dyDescent="0.35">
      <c r="A181" s="42">
        <v>165</v>
      </c>
      <c r="B181" s="66"/>
      <c r="C181" s="67"/>
      <c r="D181" s="91"/>
      <c r="E181" s="90"/>
      <c r="F181" s="68"/>
      <c r="G181" s="69"/>
      <c r="H181" s="108"/>
      <c r="I181" s="109"/>
      <c r="J181" s="70"/>
      <c r="K181" s="66"/>
      <c r="L181" s="71"/>
      <c r="M181" s="92"/>
      <c r="N181" s="72"/>
      <c r="O181" s="91"/>
      <c r="P181" s="72"/>
      <c r="Q181" s="91"/>
      <c r="R181" s="53" t="str">
        <f t="shared" si="4"/>
        <v/>
      </c>
      <c r="S181" s="72"/>
      <c r="T181" s="73"/>
      <c r="U181" s="71"/>
      <c r="V181" s="94"/>
      <c r="W181" s="97"/>
      <c r="X181" s="101"/>
      <c r="Y181" s="98" t="str">
        <f t="shared" si="5"/>
        <v/>
      </c>
      <c r="Z181" s="100"/>
      <c r="AA181" s="92"/>
      <c r="AB181" s="102"/>
      <c r="AC181" s="114"/>
      <c r="AD181" s="81"/>
      <c r="AE181" s="83"/>
      <c r="AF181" s="82"/>
      <c r="AG181" s="119"/>
      <c r="AH181" s="79"/>
      <c r="AI181" s="74"/>
      <c r="AJ181" s="75"/>
      <c r="AK181" s="123"/>
      <c r="AL181" s="124"/>
      <c r="AM181" s="124"/>
      <c r="AN181" s="124"/>
      <c r="AO181" s="124"/>
      <c r="AP181" s="124"/>
      <c r="AQ181" s="124"/>
      <c r="AR181" s="124"/>
      <c r="AS181" s="124"/>
      <c r="AT181" s="124"/>
      <c r="AU181" s="124"/>
      <c r="AV181" s="124"/>
      <c r="AW181" s="124"/>
      <c r="AX181" s="125"/>
    </row>
    <row r="182" spans="1:50" s="40" customFormat="1" ht="25" customHeight="1" thickBot="1" x14ac:dyDescent="0.35">
      <c r="A182" s="42">
        <v>166</v>
      </c>
      <c r="B182" s="66"/>
      <c r="C182" s="67"/>
      <c r="D182" s="91"/>
      <c r="E182" s="90"/>
      <c r="F182" s="68"/>
      <c r="G182" s="69"/>
      <c r="H182" s="108"/>
      <c r="I182" s="109"/>
      <c r="J182" s="70"/>
      <c r="K182" s="66"/>
      <c r="L182" s="71"/>
      <c r="M182" s="92"/>
      <c r="N182" s="72"/>
      <c r="O182" s="91"/>
      <c r="P182" s="72"/>
      <c r="Q182" s="91"/>
      <c r="R182" s="53" t="str">
        <f t="shared" si="4"/>
        <v/>
      </c>
      <c r="S182" s="72"/>
      <c r="T182" s="73"/>
      <c r="U182" s="71"/>
      <c r="V182" s="94"/>
      <c r="W182" s="97"/>
      <c r="X182" s="101"/>
      <c r="Y182" s="98" t="str">
        <f t="shared" si="5"/>
        <v/>
      </c>
      <c r="Z182" s="100"/>
      <c r="AA182" s="92"/>
      <c r="AB182" s="102"/>
      <c r="AC182" s="114"/>
      <c r="AD182" s="81"/>
      <c r="AE182" s="83"/>
      <c r="AF182" s="82"/>
      <c r="AG182" s="119"/>
      <c r="AH182" s="79"/>
      <c r="AI182" s="74"/>
      <c r="AJ182" s="75"/>
      <c r="AK182" s="123"/>
      <c r="AL182" s="124"/>
      <c r="AM182" s="124"/>
      <c r="AN182" s="124"/>
      <c r="AO182" s="124"/>
      <c r="AP182" s="124"/>
      <c r="AQ182" s="124"/>
      <c r="AR182" s="124"/>
      <c r="AS182" s="124"/>
      <c r="AT182" s="124"/>
      <c r="AU182" s="124"/>
      <c r="AV182" s="124"/>
      <c r="AW182" s="124"/>
      <c r="AX182" s="125"/>
    </row>
    <row r="183" spans="1:50" s="40" customFormat="1" ht="25" customHeight="1" thickBot="1" x14ac:dyDescent="0.35">
      <c r="A183" s="42">
        <v>167</v>
      </c>
      <c r="B183" s="66"/>
      <c r="C183" s="67"/>
      <c r="D183" s="91"/>
      <c r="E183" s="90"/>
      <c r="F183" s="68"/>
      <c r="G183" s="69"/>
      <c r="H183" s="108"/>
      <c r="I183" s="109"/>
      <c r="J183" s="70"/>
      <c r="K183" s="66"/>
      <c r="L183" s="71"/>
      <c r="M183" s="92"/>
      <c r="N183" s="72"/>
      <c r="O183" s="91"/>
      <c r="P183" s="72"/>
      <c r="Q183" s="91"/>
      <c r="R183" s="53" t="str">
        <f t="shared" si="4"/>
        <v/>
      </c>
      <c r="S183" s="72"/>
      <c r="T183" s="73"/>
      <c r="U183" s="71"/>
      <c r="V183" s="94"/>
      <c r="W183" s="97"/>
      <c r="X183" s="101"/>
      <c r="Y183" s="98" t="str">
        <f t="shared" si="5"/>
        <v/>
      </c>
      <c r="Z183" s="100"/>
      <c r="AA183" s="92"/>
      <c r="AB183" s="102"/>
      <c r="AC183" s="114"/>
      <c r="AD183" s="81"/>
      <c r="AE183" s="83"/>
      <c r="AF183" s="82"/>
      <c r="AG183" s="119"/>
      <c r="AH183" s="79"/>
      <c r="AI183" s="74"/>
      <c r="AJ183" s="75"/>
      <c r="AK183" s="123"/>
      <c r="AL183" s="124"/>
      <c r="AM183" s="124"/>
      <c r="AN183" s="124"/>
      <c r="AO183" s="124"/>
      <c r="AP183" s="124"/>
      <c r="AQ183" s="124"/>
      <c r="AR183" s="124"/>
      <c r="AS183" s="124"/>
      <c r="AT183" s="124"/>
      <c r="AU183" s="124"/>
      <c r="AV183" s="124"/>
      <c r="AW183" s="124"/>
      <c r="AX183" s="125"/>
    </row>
    <row r="184" spans="1:50" s="40" customFormat="1" ht="25" customHeight="1" thickBot="1" x14ac:dyDescent="0.35">
      <c r="A184" s="42">
        <v>168</v>
      </c>
      <c r="B184" s="66"/>
      <c r="C184" s="67"/>
      <c r="D184" s="91"/>
      <c r="E184" s="90"/>
      <c r="F184" s="68"/>
      <c r="G184" s="69"/>
      <c r="H184" s="108"/>
      <c r="I184" s="109"/>
      <c r="J184" s="70"/>
      <c r="K184" s="66"/>
      <c r="L184" s="71"/>
      <c r="M184" s="92"/>
      <c r="N184" s="72"/>
      <c r="O184" s="91"/>
      <c r="P184" s="72"/>
      <c r="Q184" s="91"/>
      <c r="R184" s="53" t="str">
        <f t="shared" si="4"/>
        <v/>
      </c>
      <c r="S184" s="72"/>
      <c r="T184" s="73"/>
      <c r="U184" s="71"/>
      <c r="V184" s="94"/>
      <c r="W184" s="97"/>
      <c r="X184" s="101"/>
      <c r="Y184" s="98" t="str">
        <f t="shared" si="5"/>
        <v/>
      </c>
      <c r="Z184" s="100"/>
      <c r="AA184" s="92"/>
      <c r="AB184" s="102"/>
      <c r="AC184" s="114"/>
      <c r="AD184" s="81"/>
      <c r="AE184" s="83"/>
      <c r="AF184" s="82"/>
      <c r="AG184" s="119"/>
      <c r="AH184" s="79"/>
      <c r="AI184" s="74"/>
      <c r="AJ184" s="75"/>
      <c r="AK184" s="123"/>
      <c r="AL184" s="124"/>
      <c r="AM184" s="124"/>
      <c r="AN184" s="124"/>
      <c r="AO184" s="124"/>
      <c r="AP184" s="124"/>
      <c r="AQ184" s="124"/>
      <c r="AR184" s="124"/>
      <c r="AS184" s="124"/>
      <c r="AT184" s="124"/>
      <c r="AU184" s="124"/>
      <c r="AV184" s="124"/>
      <c r="AW184" s="124"/>
      <c r="AX184" s="125"/>
    </row>
    <row r="185" spans="1:50" s="40" customFormat="1" ht="25" customHeight="1" thickBot="1" x14ac:dyDescent="0.35">
      <c r="A185" s="42">
        <v>169</v>
      </c>
      <c r="B185" s="66"/>
      <c r="C185" s="67"/>
      <c r="D185" s="91"/>
      <c r="E185" s="90"/>
      <c r="F185" s="68"/>
      <c r="G185" s="69"/>
      <c r="H185" s="108"/>
      <c r="I185" s="109"/>
      <c r="J185" s="70"/>
      <c r="K185" s="66"/>
      <c r="L185" s="71"/>
      <c r="M185" s="92"/>
      <c r="N185" s="72"/>
      <c r="O185" s="91"/>
      <c r="P185" s="72"/>
      <c r="Q185" s="91"/>
      <c r="R185" s="53" t="str">
        <f t="shared" si="4"/>
        <v/>
      </c>
      <c r="S185" s="72"/>
      <c r="T185" s="73"/>
      <c r="U185" s="71"/>
      <c r="V185" s="94"/>
      <c r="W185" s="97"/>
      <c r="X185" s="101"/>
      <c r="Y185" s="98" t="str">
        <f t="shared" si="5"/>
        <v/>
      </c>
      <c r="Z185" s="100"/>
      <c r="AA185" s="92"/>
      <c r="AB185" s="102"/>
      <c r="AC185" s="114"/>
      <c r="AD185" s="81"/>
      <c r="AE185" s="83"/>
      <c r="AF185" s="82"/>
      <c r="AG185" s="119"/>
      <c r="AH185" s="79"/>
      <c r="AI185" s="74"/>
      <c r="AJ185" s="75"/>
      <c r="AK185" s="123"/>
      <c r="AL185" s="124"/>
      <c r="AM185" s="124"/>
      <c r="AN185" s="124"/>
      <c r="AO185" s="124"/>
      <c r="AP185" s="124"/>
      <c r="AQ185" s="124"/>
      <c r="AR185" s="124"/>
      <c r="AS185" s="124"/>
      <c r="AT185" s="124"/>
      <c r="AU185" s="124"/>
      <c r="AV185" s="124"/>
      <c r="AW185" s="124"/>
      <c r="AX185" s="125"/>
    </row>
    <row r="186" spans="1:50" s="40" customFormat="1" ht="25" customHeight="1" thickBot="1" x14ac:dyDescent="0.35">
      <c r="A186" s="42">
        <v>170</v>
      </c>
      <c r="B186" s="66"/>
      <c r="C186" s="67"/>
      <c r="D186" s="91"/>
      <c r="E186" s="90"/>
      <c r="F186" s="68"/>
      <c r="G186" s="69"/>
      <c r="H186" s="108"/>
      <c r="I186" s="109"/>
      <c r="J186" s="70"/>
      <c r="K186" s="66"/>
      <c r="L186" s="71"/>
      <c r="M186" s="92"/>
      <c r="N186" s="72"/>
      <c r="O186" s="91"/>
      <c r="P186" s="72"/>
      <c r="Q186" s="91"/>
      <c r="R186" s="53" t="str">
        <f t="shared" si="4"/>
        <v/>
      </c>
      <c r="S186" s="72"/>
      <c r="T186" s="73"/>
      <c r="U186" s="71"/>
      <c r="V186" s="94"/>
      <c r="W186" s="97"/>
      <c r="X186" s="101"/>
      <c r="Y186" s="98" t="str">
        <f t="shared" si="5"/>
        <v/>
      </c>
      <c r="Z186" s="100"/>
      <c r="AA186" s="92"/>
      <c r="AB186" s="102"/>
      <c r="AC186" s="114"/>
      <c r="AD186" s="81"/>
      <c r="AE186" s="83"/>
      <c r="AF186" s="82"/>
      <c r="AG186" s="119"/>
      <c r="AH186" s="79"/>
      <c r="AI186" s="74"/>
      <c r="AJ186" s="75"/>
      <c r="AK186" s="123"/>
      <c r="AL186" s="124"/>
      <c r="AM186" s="124"/>
      <c r="AN186" s="124"/>
      <c r="AO186" s="124"/>
      <c r="AP186" s="124"/>
      <c r="AQ186" s="124"/>
      <c r="AR186" s="124"/>
      <c r="AS186" s="124"/>
      <c r="AT186" s="124"/>
      <c r="AU186" s="124"/>
      <c r="AV186" s="124"/>
      <c r="AW186" s="124"/>
      <c r="AX186" s="125"/>
    </row>
    <row r="187" spans="1:50" s="40" customFormat="1" ht="25" customHeight="1" thickBot="1" x14ac:dyDescent="0.35">
      <c r="A187" s="42">
        <v>171</v>
      </c>
      <c r="B187" s="66"/>
      <c r="C187" s="67"/>
      <c r="D187" s="91"/>
      <c r="E187" s="90"/>
      <c r="F187" s="68"/>
      <c r="G187" s="69"/>
      <c r="H187" s="108"/>
      <c r="I187" s="109"/>
      <c r="J187" s="70"/>
      <c r="K187" s="66"/>
      <c r="L187" s="71"/>
      <c r="M187" s="92"/>
      <c r="N187" s="72"/>
      <c r="O187" s="91"/>
      <c r="P187" s="72"/>
      <c r="Q187" s="91"/>
      <c r="R187" s="53" t="str">
        <f t="shared" si="4"/>
        <v/>
      </c>
      <c r="S187" s="72"/>
      <c r="T187" s="73"/>
      <c r="U187" s="71"/>
      <c r="V187" s="94"/>
      <c r="W187" s="97"/>
      <c r="X187" s="101"/>
      <c r="Y187" s="98" t="str">
        <f t="shared" si="5"/>
        <v/>
      </c>
      <c r="Z187" s="100"/>
      <c r="AA187" s="92"/>
      <c r="AB187" s="102"/>
      <c r="AC187" s="114"/>
      <c r="AD187" s="81"/>
      <c r="AE187" s="83"/>
      <c r="AF187" s="82"/>
      <c r="AG187" s="119"/>
      <c r="AH187" s="79"/>
      <c r="AI187" s="74"/>
      <c r="AJ187" s="75"/>
      <c r="AK187" s="123"/>
      <c r="AL187" s="124"/>
      <c r="AM187" s="124"/>
      <c r="AN187" s="124"/>
      <c r="AO187" s="124"/>
      <c r="AP187" s="124"/>
      <c r="AQ187" s="124"/>
      <c r="AR187" s="124"/>
      <c r="AS187" s="124"/>
      <c r="AT187" s="124"/>
      <c r="AU187" s="124"/>
      <c r="AV187" s="124"/>
      <c r="AW187" s="124"/>
      <c r="AX187" s="125"/>
    </row>
    <row r="188" spans="1:50" s="40" customFormat="1" ht="25" customHeight="1" thickBot="1" x14ac:dyDescent="0.35">
      <c r="A188" s="42">
        <v>172</v>
      </c>
      <c r="B188" s="66"/>
      <c r="C188" s="67"/>
      <c r="D188" s="91"/>
      <c r="E188" s="90"/>
      <c r="F188" s="68"/>
      <c r="G188" s="69"/>
      <c r="H188" s="108"/>
      <c r="I188" s="109"/>
      <c r="J188" s="70"/>
      <c r="K188" s="66"/>
      <c r="L188" s="71"/>
      <c r="M188" s="92"/>
      <c r="N188" s="72"/>
      <c r="O188" s="91"/>
      <c r="P188" s="72"/>
      <c r="Q188" s="91"/>
      <c r="R188" s="53" t="str">
        <f t="shared" si="4"/>
        <v/>
      </c>
      <c r="S188" s="72"/>
      <c r="T188" s="73"/>
      <c r="U188" s="71"/>
      <c r="V188" s="94"/>
      <c r="W188" s="97"/>
      <c r="X188" s="101"/>
      <c r="Y188" s="98" t="str">
        <f t="shared" si="5"/>
        <v/>
      </c>
      <c r="Z188" s="100"/>
      <c r="AA188" s="92"/>
      <c r="AB188" s="102"/>
      <c r="AC188" s="114"/>
      <c r="AD188" s="81"/>
      <c r="AE188" s="83"/>
      <c r="AF188" s="82"/>
      <c r="AG188" s="119"/>
      <c r="AH188" s="79"/>
      <c r="AI188" s="74"/>
      <c r="AJ188" s="75"/>
      <c r="AK188" s="123"/>
      <c r="AL188" s="124"/>
      <c r="AM188" s="124"/>
      <c r="AN188" s="124"/>
      <c r="AO188" s="124"/>
      <c r="AP188" s="124"/>
      <c r="AQ188" s="124"/>
      <c r="AR188" s="124"/>
      <c r="AS188" s="124"/>
      <c r="AT188" s="124"/>
      <c r="AU188" s="124"/>
      <c r="AV188" s="124"/>
      <c r="AW188" s="124"/>
      <c r="AX188" s="125"/>
    </row>
    <row r="189" spans="1:50" s="40" customFormat="1" ht="25" customHeight="1" thickBot="1" x14ac:dyDescent="0.35">
      <c r="A189" s="42">
        <v>173</v>
      </c>
      <c r="B189" s="66"/>
      <c r="C189" s="67"/>
      <c r="D189" s="91"/>
      <c r="E189" s="90"/>
      <c r="F189" s="68"/>
      <c r="G189" s="69"/>
      <c r="H189" s="108"/>
      <c r="I189" s="109"/>
      <c r="J189" s="70"/>
      <c r="K189" s="66"/>
      <c r="L189" s="71"/>
      <c r="M189" s="92"/>
      <c r="N189" s="72"/>
      <c r="O189" s="91"/>
      <c r="P189" s="72"/>
      <c r="Q189" s="91"/>
      <c r="R189" s="53" t="str">
        <f t="shared" si="4"/>
        <v/>
      </c>
      <c r="S189" s="72"/>
      <c r="T189" s="73"/>
      <c r="U189" s="71"/>
      <c r="V189" s="94"/>
      <c r="W189" s="97"/>
      <c r="X189" s="101"/>
      <c r="Y189" s="98" t="str">
        <f t="shared" si="5"/>
        <v/>
      </c>
      <c r="Z189" s="100"/>
      <c r="AA189" s="92"/>
      <c r="AB189" s="102"/>
      <c r="AC189" s="114"/>
      <c r="AD189" s="81"/>
      <c r="AE189" s="83"/>
      <c r="AF189" s="82"/>
      <c r="AG189" s="119"/>
      <c r="AH189" s="79"/>
      <c r="AI189" s="74"/>
      <c r="AJ189" s="75"/>
      <c r="AK189" s="123"/>
      <c r="AL189" s="124"/>
      <c r="AM189" s="124"/>
      <c r="AN189" s="124"/>
      <c r="AO189" s="124"/>
      <c r="AP189" s="124"/>
      <c r="AQ189" s="124"/>
      <c r="AR189" s="124"/>
      <c r="AS189" s="124"/>
      <c r="AT189" s="124"/>
      <c r="AU189" s="124"/>
      <c r="AV189" s="124"/>
      <c r="AW189" s="124"/>
      <c r="AX189" s="125"/>
    </row>
    <row r="190" spans="1:50" s="40" customFormat="1" ht="25" customHeight="1" thickBot="1" x14ac:dyDescent="0.35">
      <c r="A190" s="42">
        <v>174</v>
      </c>
      <c r="B190" s="66"/>
      <c r="C190" s="67"/>
      <c r="D190" s="91"/>
      <c r="E190" s="90"/>
      <c r="F190" s="68"/>
      <c r="G190" s="69"/>
      <c r="H190" s="108"/>
      <c r="I190" s="109"/>
      <c r="J190" s="70"/>
      <c r="K190" s="66"/>
      <c r="L190" s="71"/>
      <c r="M190" s="92"/>
      <c r="N190" s="72"/>
      <c r="O190" s="91"/>
      <c r="P190" s="72"/>
      <c r="Q190" s="91"/>
      <c r="R190" s="53" t="str">
        <f t="shared" si="4"/>
        <v/>
      </c>
      <c r="S190" s="72"/>
      <c r="T190" s="73"/>
      <c r="U190" s="71"/>
      <c r="V190" s="94"/>
      <c r="W190" s="97"/>
      <c r="X190" s="101"/>
      <c r="Y190" s="98" t="str">
        <f t="shared" si="5"/>
        <v/>
      </c>
      <c r="Z190" s="100"/>
      <c r="AA190" s="92"/>
      <c r="AB190" s="102"/>
      <c r="AC190" s="114"/>
      <c r="AD190" s="81"/>
      <c r="AE190" s="83"/>
      <c r="AF190" s="82"/>
      <c r="AG190" s="119"/>
      <c r="AH190" s="79"/>
      <c r="AI190" s="74"/>
      <c r="AJ190" s="75"/>
      <c r="AK190" s="123"/>
      <c r="AL190" s="124"/>
      <c r="AM190" s="124"/>
      <c r="AN190" s="124"/>
      <c r="AO190" s="124"/>
      <c r="AP190" s="124"/>
      <c r="AQ190" s="124"/>
      <c r="AR190" s="124"/>
      <c r="AS190" s="124"/>
      <c r="AT190" s="124"/>
      <c r="AU190" s="124"/>
      <c r="AV190" s="124"/>
      <c r="AW190" s="124"/>
      <c r="AX190" s="125"/>
    </row>
    <row r="191" spans="1:50" s="40" customFormat="1" ht="25" customHeight="1" thickBot="1" x14ac:dyDescent="0.35">
      <c r="A191" s="42">
        <v>175</v>
      </c>
      <c r="B191" s="66"/>
      <c r="C191" s="67"/>
      <c r="D191" s="91"/>
      <c r="E191" s="90"/>
      <c r="F191" s="68"/>
      <c r="G191" s="69"/>
      <c r="H191" s="108"/>
      <c r="I191" s="109"/>
      <c r="J191" s="70"/>
      <c r="K191" s="66"/>
      <c r="L191" s="71"/>
      <c r="M191" s="92"/>
      <c r="N191" s="72"/>
      <c r="O191" s="91"/>
      <c r="P191" s="72"/>
      <c r="Q191" s="91"/>
      <c r="R191" s="53" t="str">
        <f t="shared" si="4"/>
        <v/>
      </c>
      <c r="S191" s="72"/>
      <c r="T191" s="73"/>
      <c r="U191" s="71"/>
      <c r="V191" s="94"/>
      <c r="W191" s="97"/>
      <c r="X191" s="101"/>
      <c r="Y191" s="98" t="str">
        <f t="shared" si="5"/>
        <v/>
      </c>
      <c r="Z191" s="100"/>
      <c r="AA191" s="92"/>
      <c r="AB191" s="102"/>
      <c r="AC191" s="114"/>
      <c r="AD191" s="81"/>
      <c r="AE191" s="83"/>
      <c r="AF191" s="82"/>
      <c r="AG191" s="119"/>
      <c r="AH191" s="79"/>
      <c r="AI191" s="74"/>
      <c r="AJ191" s="75"/>
      <c r="AK191" s="123"/>
      <c r="AL191" s="124"/>
      <c r="AM191" s="124"/>
      <c r="AN191" s="124"/>
      <c r="AO191" s="124"/>
      <c r="AP191" s="124"/>
      <c r="AQ191" s="124"/>
      <c r="AR191" s="124"/>
      <c r="AS191" s="124"/>
      <c r="AT191" s="124"/>
      <c r="AU191" s="124"/>
      <c r="AV191" s="124"/>
      <c r="AW191" s="124"/>
      <c r="AX191" s="125"/>
    </row>
    <row r="192" spans="1:50" s="40" customFormat="1" ht="25" customHeight="1" thickBot="1" x14ac:dyDescent="0.35">
      <c r="A192" s="42">
        <v>176</v>
      </c>
      <c r="B192" s="66"/>
      <c r="C192" s="67"/>
      <c r="D192" s="91"/>
      <c r="E192" s="90"/>
      <c r="F192" s="68"/>
      <c r="G192" s="69"/>
      <c r="H192" s="108"/>
      <c r="I192" s="109"/>
      <c r="J192" s="70"/>
      <c r="K192" s="66"/>
      <c r="L192" s="71"/>
      <c r="M192" s="92"/>
      <c r="N192" s="72"/>
      <c r="O192" s="91"/>
      <c r="P192" s="72"/>
      <c r="Q192" s="91"/>
      <c r="R192" s="53" t="str">
        <f t="shared" si="4"/>
        <v/>
      </c>
      <c r="S192" s="72"/>
      <c r="T192" s="73"/>
      <c r="U192" s="71"/>
      <c r="V192" s="94"/>
      <c r="W192" s="97"/>
      <c r="X192" s="101"/>
      <c r="Y192" s="98" t="str">
        <f t="shared" si="5"/>
        <v/>
      </c>
      <c r="Z192" s="100"/>
      <c r="AA192" s="92"/>
      <c r="AB192" s="102"/>
      <c r="AC192" s="114"/>
      <c r="AD192" s="81"/>
      <c r="AE192" s="83"/>
      <c r="AF192" s="82"/>
      <c r="AG192" s="119"/>
      <c r="AH192" s="79"/>
      <c r="AI192" s="74"/>
      <c r="AJ192" s="75"/>
      <c r="AK192" s="123"/>
      <c r="AL192" s="124"/>
      <c r="AM192" s="124"/>
      <c r="AN192" s="124"/>
      <c r="AO192" s="124"/>
      <c r="AP192" s="124"/>
      <c r="AQ192" s="124"/>
      <c r="AR192" s="124"/>
      <c r="AS192" s="124"/>
      <c r="AT192" s="124"/>
      <c r="AU192" s="124"/>
      <c r="AV192" s="124"/>
      <c r="AW192" s="124"/>
      <c r="AX192" s="125"/>
    </row>
    <row r="193" spans="1:50" s="40" customFormat="1" ht="25" customHeight="1" thickBot="1" x14ac:dyDescent="0.35">
      <c r="A193" s="42">
        <v>177</v>
      </c>
      <c r="B193" s="66"/>
      <c r="C193" s="67"/>
      <c r="D193" s="91"/>
      <c r="E193" s="90"/>
      <c r="F193" s="68"/>
      <c r="G193" s="69"/>
      <c r="H193" s="108"/>
      <c r="I193" s="109"/>
      <c r="J193" s="70"/>
      <c r="K193" s="66"/>
      <c r="L193" s="71"/>
      <c r="M193" s="92"/>
      <c r="N193" s="72"/>
      <c r="O193" s="91"/>
      <c r="P193" s="72"/>
      <c r="Q193" s="91"/>
      <c r="R193" s="53" t="str">
        <f t="shared" si="4"/>
        <v/>
      </c>
      <c r="S193" s="72"/>
      <c r="T193" s="73"/>
      <c r="U193" s="71"/>
      <c r="V193" s="94"/>
      <c r="W193" s="97"/>
      <c r="X193" s="101"/>
      <c r="Y193" s="98" t="str">
        <f t="shared" si="5"/>
        <v/>
      </c>
      <c r="Z193" s="100"/>
      <c r="AA193" s="92"/>
      <c r="AB193" s="102"/>
      <c r="AC193" s="114"/>
      <c r="AD193" s="81"/>
      <c r="AE193" s="83"/>
      <c r="AF193" s="82"/>
      <c r="AG193" s="119"/>
      <c r="AH193" s="79"/>
      <c r="AI193" s="74"/>
      <c r="AJ193" s="75"/>
      <c r="AK193" s="123"/>
      <c r="AL193" s="124"/>
      <c r="AM193" s="124"/>
      <c r="AN193" s="124"/>
      <c r="AO193" s="124"/>
      <c r="AP193" s="124"/>
      <c r="AQ193" s="124"/>
      <c r="AR193" s="124"/>
      <c r="AS193" s="124"/>
      <c r="AT193" s="124"/>
      <c r="AU193" s="124"/>
      <c r="AV193" s="124"/>
      <c r="AW193" s="124"/>
      <c r="AX193" s="125"/>
    </row>
    <row r="194" spans="1:50" s="40" customFormat="1" ht="25" customHeight="1" thickBot="1" x14ac:dyDescent="0.35">
      <c r="A194" s="42">
        <v>178</v>
      </c>
      <c r="B194" s="66"/>
      <c r="C194" s="67"/>
      <c r="D194" s="91"/>
      <c r="E194" s="90"/>
      <c r="F194" s="68"/>
      <c r="G194" s="69"/>
      <c r="H194" s="108"/>
      <c r="I194" s="109"/>
      <c r="J194" s="70"/>
      <c r="K194" s="66"/>
      <c r="L194" s="71"/>
      <c r="M194" s="92"/>
      <c r="N194" s="72"/>
      <c r="O194" s="91"/>
      <c r="P194" s="72"/>
      <c r="Q194" s="91"/>
      <c r="R194" s="53" t="str">
        <f t="shared" si="4"/>
        <v/>
      </c>
      <c r="S194" s="72"/>
      <c r="T194" s="73"/>
      <c r="U194" s="71"/>
      <c r="V194" s="94"/>
      <c r="W194" s="97"/>
      <c r="X194" s="101"/>
      <c r="Y194" s="98" t="str">
        <f t="shared" si="5"/>
        <v/>
      </c>
      <c r="Z194" s="100"/>
      <c r="AA194" s="92"/>
      <c r="AB194" s="102"/>
      <c r="AC194" s="114"/>
      <c r="AD194" s="81"/>
      <c r="AE194" s="83"/>
      <c r="AF194" s="82"/>
      <c r="AG194" s="119"/>
      <c r="AH194" s="79"/>
      <c r="AI194" s="74"/>
      <c r="AJ194" s="75"/>
      <c r="AK194" s="123"/>
      <c r="AL194" s="124"/>
      <c r="AM194" s="124"/>
      <c r="AN194" s="124"/>
      <c r="AO194" s="124"/>
      <c r="AP194" s="124"/>
      <c r="AQ194" s="124"/>
      <c r="AR194" s="124"/>
      <c r="AS194" s="124"/>
      <c r="AT194" s="124"/>
      <c r="AU194" s="124"/>
      <c r="AV194" s="124"/>
      <c r="AW194" s="124"/>
      <c r="AX194" s="125"/>
    </row>
    <row r="195" spans="1:50" s="40" customFormat="1" ht="25" customHeight="1" thickBot="1" x14ac:dyDescent="0.35">
      <c r="A195" s="42">
        <v>179</v>
      </c>
      <c r="B195" s="66"/>
      <c r="C195" s="67"/>
      <c r="D195" s="91"/>
      <c r="E195" s="90"/>
      <c r="F195" s="68"/>
      <c r="G195" s="69"/>
      <c r="H195" s="108"/>
      <c r="I195" s="109"/>
      <c r="J195" s="70"/>
      <c r="K195" s="66"/>
      <c r="L195" s="71"/>
      <c r="M195" s="92"/>
      <c r="N195" s="72"/>
      <c r="O195" s="91"/>
      <c r="P195" s="72"/>
      <c r="Q195" s="91"/>
      <c r="R195" s="53" t="str">
        <f t="shared" si="4"/>
        <v/>
      </c>
      <c r="S195" s="72"/>
      <c r="T195" s="73"/>
      <c r="U195" s="71"/>
      <c r="V195" s="94"/>
      <c r="W195" s="97"/>
      <c r="X195" s="101"/>
      <c r="Y195" s="98" t="str">
        <f t="shared" si="5"/>
        <v/>
      </c>
      <c r="Z195" s="100"/>
      <c r="AA195" s="92"/>
      <c r="AB195" s="102"/>
      <c r="AC195" s="114"/>
      <c r="AD195" s="81"/>
      <c r="AE195" s="83"/>
      <c r="AF195" s="82"/>
      <c r="AG195" s="119"/>
      <c r="AH195" s="79"/>
      <c r="AI195" s="74"/>
      <c r="AJ195" s="75"/>
      <c r="AK195" s="123"/>
      <c r="AL195" s="124"/>
      <c r="AM195" s="124"/>
      <c r="AN195" s="124"/>
      <c r="AO195" s="124"/>
      <c r="AP195" s="124"/>
      <c r="AQ195" s="124"/>
      <c r="AR195" s="124"/>
      <c r="AS195" s="124"/>
      <c r="AT195" s="124"/>
      <c r="AU195" s="124"/>
      <c r="AV195" s="124"/>
      <c r="AW195" s="124"/>
      <c r="AX195" s="125"/>
    </row>
    <row r="196" spans="1:50" s="40" customFormat="1" ht="25" customHeight="1" thickBot="1" x14ac:dyDescent="0.35">
      <c r="A196" s="42">
        <v>180</v>
      </c>
      <c r="B196" s="66"/>
      <c r="C196" s="67"/>
      <c r="D196" s="91"/>
      <c r="E196" s="90"/>
      <c r="F196" s="68"/>
      <c r="G196" s="69"/>
      <c r="H196" s="108"/>
      <c r="I196" s="109"/>
      <c r="J196" s="70"/>
      <c r="K196" s="66"/>
      <c r="L196" s="71"/>
      <c r="M196" s="92"/>
      <c r="N196" s="72"/>
      <c r="O196" s="91"/>
      <c r="P196" s="72"/>
      <c r="Q196" s="91"/>
      <c r="R196" s="53" t="str">
        <f t="shared" si="4"/>
        <v/>
      </c>
      <c r="S196" s="72"/>
      <c r="T196" s="73"/>
      <c r="U196" s="71"/>
      <c r="V196" s="94"/>
      <c r="W196" s="97"/>
      <c r="X196" s="101"/>
      <c r="Y196" s="98" t="str">
        <f t="shared" si="5"/>
        <v/>
      </c>
      <c r="Z196" s="100"/>
      <c r="AA196" s="92"/>
      <c r="AB196" s="102"/>
      <c r="AC196" s="114"/>
      <c r="AD196" s="81"/>
      <c r="AE196" s="83"/>
      <c r="AF196" s="82"/>
      <c r="AG196" s="119"/>
      <c r="AH196" s="79"/>
      <c r="AI196" s="74"/>
      <c r="AJ196" s="75"/>
      <c r="AK196" s="123"/>
      <c r="AL196" s="124"/>
      <c r="AM196" s="124"/>
      <c r="AN196" s="124"/>
      <c r="AO196" s="124"/>
      <c r="AP196" s="124"/>
      <c r="AQ196" s="124"/>
      <c r="AR196" s="124"/>
      <c r="AS196" s="124"/>
      <c r="AT196" s="124"/>
      <c r="AU196" s="124"/>
      <c r="AV196" s="124"/>
      <c r="AW196" s="124"/>
      <c r="AX196" s="125"/>
    </row>
    <row r="197" spans="1:50" s="40" customFormat="1" ht="25" customHeight="1" thickBot="1" x14ac:dyDescent="0.35">
      <c r="A197" s="42">
        <v>181</v>
      </c>
      <c r="B197" s="66"/>
      <c r="C197" s="67"/>
      <c r="D197" s="91"/>
      <c r="E197" s="90"/>
      <c r="F197" s="68"/>
      <c r="G197" s="69"/>
      <c r="H197" s="108"/>
      <c r="I197" s="109"/>
      <c r="J197" s="70"/>
      <c r="K197" s="66"/>
      <c r="L197" s="71"/>
      <c r="M197" s="92"/>
      <c r="N197" s="72"/>
      <c r="O197" s="91"/>
      <c r="P197" s="72"/>
      <c r="Q197" s="91"/>
      <c r="R197" s="53" t="str">
        <f t="shared" si="4"/>
        <v/>
      </c>
      <c r="S197" s="72"/>
      <c r="T197" s="73"/>
      <c r="U197" s="71"/>
      <c r="V197" s="94"/>
      <c r="W197" s="97"/>
      <c r="X197" s="101"/>
      <c r="Y197" s="98" t="str">
        <f t="shared" si="5"/>
        <v/>
      </c>
      <c r="Z197" s="100"/>
      <c r="AA197" s="92"/>
      <c r="AB197" s="102"/>
      <c r="AC197" s="114"/>
      <c r="AD197" s="81"/>
      <c r="AE197" s="83"/>
      <c r="AF197" s="82"/>
      <c r="AG197" s="119"/>
      <c r="AH197" s="79"/>
      <c r="AI197" s="74"/>
      <c r="AJ197" s="75"/>
      <c r="AK197" s="123"/>
      <c r="AL197" s="124"/>
      <c r="AM197" s="124"/>
      <c r="AN197" s="124"/>
      <c r="AO197" s="124"/>
      <c r="AP197" s="124"/>
      <c r="AQ197" s="124"/>
      <c r="AR197" s="124"/>
      <c r="AS197" s="124"/>
      <c r="AT197" s="124"/>
      <c r="AU197" s="124"/>
      <c r="AV197" s="124"/>
      <c r="AW197" s="124"/>
      <c r="AX197" s="125"/>
    </row>
    <row r="198" spans="1:50" s="40" customFormat="1" ht="25" customHeight="1" thickBot="1" x14ac:dyDescent="0.35">
      <c r="A198" s="42">
        <v>182</v>
      </c>
      <c r="B198" s="66"/>
      <c r="C198" s="67"/>
      <c r="D198" s="91"/>
      <c r="E198" s="90"/>
      <c r="F198" s="68"/>
      <c r="G198" s="69"/>
      <c r="H198" s="108"/>
      <c r="I198" s="109"/>
      <c r="J198" s="70"/>
      <c r="K198" s="66"/>
      <c r="L198" s="71"/>
      <c r="M198" s="92"/>
      <c r="N198" s="72"/>
      <c r="O198" s="91"/>
      <c r="P198" s="72"/>
      <c r="Q198" s="91"/>
      <c r="R198" s="53" t="str">
        <f t="shared" si="4"/>
        <v/>
      </c>
      <c r="S198" s="72"/>
      <c r="T198" s="73"/>
      <c r="U198" s="71"/>
      <c r="V198" s="94"/>
      <c r="W198" s="97"/>
      <c r="X198" s="101"/>
      <c r="Y198" s="98" t="str">
        <f t="shared" si="5"/>
        <v/>
      </c>
      <c r="Z198" s="100"/>
      <c r="AA198" s="92"/>
      <c r="AB198" s="102"/>
      <c r="AC198" s="114"/>
      <c r="AD198" s="81"/>
      <c r="AE198" s="83"/>
      <c r="AF198" s="82"/>
      <c r="AG198" s="119"/>
      <c r="AH198" s="79"/>
      <c r="AI198" s="74"/>
      <c r="AJ198" s="75"/>
      <c r="AK198" s="123"/>
      <c r="AL198" s="124"/>
      <c r="AM198" s="124"/>
      <c r="AN198" s="124"/>
      <c r="AO198" s="124"/>
      <c r="AP198" s="124"/>
      <c r="AQ198" s="124"/>
      <c r="AR198" s="124"/>
      <c r="AS198" s="124"/>
      <c r="AT198" s="124"/>
      <c r="AU198" s="124"/>
      <c r="AV198" s="124"/>
      <c r="AW198" s="124"/>
      <c r="AX198" s="125"/>
    </row>
    <row r="199" spans="1:50" s="40" customFormat="1" ht="25" customHeight="1" thickBot="1" x14ac:dyDescent="0.35">
      <c r="A199" s="42">
        <v>183</v>
      </c>
      <c r="B199" s="66"/>
      <c r="C199" s="67"/>
      <c r="D199" s="91"/>
      <c r="E199" s="90"/>
      <c r="F199" s="68"/>
      <c r="G199" s="69"/>
      <c r="H199" s="108"/>
      <c r="I199" s="109"/>
      <c r="J199" s="70"/>
      <c r="K199" s="66"/>
      <c r="L199" s="71"/>
      <c r="M199" s="92"/>
      <c r="N199" s="72"/>
      <c r="O199" s="91"/>
      <c r="P199" s="72"/>
      <c r="Q199" s="91"/>
      <c r="R199" s="53" t="str">
        <f t="shared" si="4"/>
        <v/>
      </c>
      <c r="S199" s="72"/>
      <c r="T199" s="73"/>
      <c r="U199" s="71"/>
      <c r="V199" s="94"/>
      <c r="W199" s="97"/>
      <c r="X199" s="101"/>
      <c r="Y199" s="98" t="str">
        <f t="shared" si="5"/>
        <v/>
      </c>
      <c r="Z199" s="100"/>
      <c r="AA199" s="92"/>
      <c r="AB199" s="102"/>
      <c r="AC199" s="114"/>
      <c r="AD199" s="81"/>
      <c r="AE199" s="83"/>
      <c r="AF199" s="82"/>
      <c r="AG199" s="119"/>
      <c r="AH199" s="79"/>
      <c r="AI199" s="74"/>
      <c r="AJ199" s="75"/>
      <c r="AK199" s="123"/>
      <c r="AL199" s="124"/>
      <c r="AM199" s="124"/>
      <c r="AN199" s="124"/>
      <c r="AO199" s="124"/>
      <c r="AP199" s="124"/>
      <c r="AQ199" s="124"/>
      <c r="AR199" s="124"/>
      <c r="AS199" s="124"/>
      <c r="AT199" s="124"/>
      <c r="AU199" s="124"/>
      <c r="AV199" s="124"/>
      <c r="AW199" s="124"/>
      <c r="AX199" s="125"/>
    </row>
    <row r="200" spans="1:50" s="40" customFormat="1" ht="25" customHeight="1" thickBot="1" x14ac:dyDescent="0.35">
      <c r="A200" s="42">
        <v>184</v>
      </c>
      <c r="B200" s="66"/>
      <c r="C200" s="67"/>
      <c r="D200" s="91"/>
      <c r="E200" s="90"/>
      <c r="F200" s="68"/>
      <c r="G200" s="69"/>
      <c r="H200" s="108"/>
      <c r="I200" s="109"/>
      <c r="J200" s="70"/>
      <c r="K200" s="66"/>
      <c r="L200" s="71"/>
      <c r="M200" s="92"/>
      <c r="N200" s="72"/>
      <c r="O200" s="91"/>
      <c r="P200" s="72"/>
      <c r="Q200" s="91"/>
      <c r="R200" s="53" t="str">
        <f t="shared" si="4"/>
        <v/>
      </c>
      <c r="S200" s="72"/>
      <c r="T200" s="73"/>
      <c r="U200" s="71"/>
      <c r="V200" s="94"/>
      <c r="W200" s="97"/>
      <c r="X200" s="101"/>
      <c r="Y200" s="98" t="str">
        <f t="shared" si="5"/>
        <v/>
      </c>
      <c r="Z200" s="100"/>
      <c r="AA200" s="92"/>
      <c r="AB200" s="102"/>
      <c r="AC200" s="114"/>
      <c r="AD200" s="81"/>
      <c r="AE200" s="83"/>
      <c r="AF200" s="82"/>
      <c r="AG200" s="119"/>
      <c r="AH200" s="79"/>
      <c r="AI200" s="74"/>
      <c r="AJ200" s="75"/>
      <c r="AK200" s="123"/>
      <c r="AL200" s="124"/>
      <c r="AM200" s="124"/>
      <c r="AN200" s="124"/>
      <c r="AO200" s="124"/>
      <c r="AP200" s="124"/>
      <c r="AQ200" s="124"/>
      <c r="AR200" s="124"/>
      <c r="AS200" s="124"/>
      <c r="AT200" s="124"/>
      <c r="AU200" s="124"/>
      <c r="AV200" s="124"/>
      <c r="AW200" s="124"/>
      <c r="AX200" s="125"/>
    </row>
    <row r="201" spans="1:50" s="40" customFormat="1" ht="25" customHeight="1" thickBot="1" x14ac:dyDescent="0.35">
      <c r="A201" s="42">
        <v>185</v>
      </c>
      <c r="B201" s="66"/>
      <c r="C201" s="67"/>
      <c r="D201" s="91"/>
      <c r="E201" s="90"/>
      <c r="F201" s="68"/>
      <c r="G201" s="69"/>
      <c r="H201" s="108"/>
      <c r="I201" s="109"/>
      <c r="J201" s="70"/>
      <c r="K201" s="66"/>
      <c r="L201" s="71"/>
      <c r="M201" s="92"/>
      <c r="N201" s="72"/>
      <c r="O201" s="91"/>
      <c r="P201" s="72"/>
      <c r="Q201" s="91"/>
      <c r="R201" s="53" t="str">
        <f t="shared" si="4"/>
        <v/>
      </c>
      <c r="S201" s="72"/>
      <c r="T201" s="73"/>
      <c r="U201" s="71"/>
      <c r="V201" s="94"/>
      <c r="W201" s="97"/>
      <c r="X201" s="101"/>
      <c r="Y201" s="98" t="str">
        <f t="shared" si="5"/>
        <v/>
      </c>
      <c r="Z201" s="100"/>
      <c r="AA201" s="92"/>
      <c r="AB201" s="102"/>
      <c r="AC201" s="114"/>
      <c r="AD201" s="81"/>
      <c r="AE201" s="83"/>
      <c r="AF201" s="82"/>
      <c r="AG201" s="119"/>
      <c r="AH201" s="79"/>
      <c r="AI201" s="74"/>
      <c r="AJ201" s="75"/>
      <c r="AK201" s="123"/>
      <c r="AL201" s="124"/>
      <c r="AM201" s="124"/>
      <c r="AN201" s="124"/>
      <c r="AO201" s="124"/>
      <c r="AP201" s="124"/>
      <c r="AQ201" s="124"/>
      <c r="AR201" s="124"/>
      <c r="AS201" s="124"/>
      <c r="AT201" s="124"/>
      <c r="AU201" s="124"/>
      <c r="AV201" s="124"/>
      <c r="AW201" s="124"/>
      <c r="AX201" s="125"/>
    </row>
    <row r="202" spans="1:50" s="40" customFormat="1" ht="25" customHeight="1" thickBot="1" x14ac:dyDescent="0.35">
      <c r="A202" s="42">
        <v>186</v>
      </c>
      <c r="B202" s="66"/>
      <c r="C202" s="67"/>
      <c r="D202" s="91"/>
      <c r="E202" s="90"/>
      <c r="F202" s="68"/>
      <c r="G202" s="69"/>
      <c r="H202" s="108"/>
      <c r="I202" s="109"/>
      <c r="J202" s="70"/>
      <c r="K202" s="66"/>
      <c r="L202" s="71"/>
      <c r="M202" s="92"/>
      <c r="N202" s="72"/>
      <c r="O202" s="91"/>
      <c r="P202" s="72"/>
      <c r="Q202" s="91"/>
      <c r="R202" s="53" t="str">
        <f t="shared" si="4"/>
        <v/>
      </c>
      <c r="S202" s="72"/>
      <c r="T202" s="73"/>
      <c r="U202" s="71"/>
      <c r="V202" s="94"/>
      <c r="W202" s="97"/>
      <c r="X202" s="101"/>
      <c r="Y202" s="98" t="str">
        <f t="shared" si="5"/>
        <v/>
      </c>
      <c r="Z202" s="100"/>
      <c r="AA202" s="92"/>
      <c r="AB202" s="102"/>
      <c r="AC202" s="114"/>
      <c r="AD202" s="81"/>
      <c r="AE202" s="83"/>
      <c r="AF202" s="82"/>
      <c r="AG202" s="119"/>
      <c r="AH202" s="79"/>
      <c r="AI202" s="74"/>
      <c r="AJ202" s="75"/>
      <c r="AK202" s="123"/>
      <c r="AL202" s="124"/>
      <c r="AM202" s="124"/>
      <c r="AN202" s="124"/>
      <c r="AO202" s="124"/>
      <c r="AP202" s="124"/>
      <c r="AQ202" s="124"/>
      <c r="AR202" s="124"/>
      <c r="AS202" s="124"/>
      <c r="AT202" s="124"/>
      <c r="AU202" s="124"/>
      <c r="AV202" s="124"/>
      <c r="AW202" s="124"/>
      <c r="AX202" s="125"/>
    </row>
    <row r="203" spans="1:50" s="40" customFormat="1" ht="25" customHeight="1" thickBot="1" x14ac:dyDescent="0.35">
      <c r="A203" s="42">
        <v>187</v>
      </c>
      <c r="B203" s="66"/>
      <c r="C203" s="67"/>
      <c r="D203" s="91"/>
      <c r="E203" s="90"/>
      <c r="F203" s="68"/>
      <c r="G203" s="69"/>
      <c r="H203" s="108"/>
      <c r="I203" s="109"/>
      <c r="J203" s="70"/>
      <c r="K203" s="66"/>
      <c r="L203" s="71"/>
      <c r="M203" s="92"/>
      <c r="N203" s="72"/>
      <c r="O203" s="91"/>
      <c r="P203" s="72"/>
      <c r="Q203" s="91"/>
      <c r="R203" s="53" t="str">
        <f t="shared" si="4"/>
        <v/>
      </c>
      <c r="S203" s="72"/>
      <c r="T203" s="73"/>
      <c r="U203" s="71"/>
      <c r="V203" s="94"/>
      <c r="W203" s="97"/>
      <c r="X203" s="101"/>
      <c r="Y203" s="98" t="str">
        <f t="shared" si="5"/>
        <v/>
      </c>
      <c r="Z203" s="100"/>
      <c r="AA203" s="92"/>
      <c r="AB203" s="102"/>
      <c r="AC203" s="114"/>
      <c r="AD203" s="81"/>
      <c r="AE203" s="83"/>
      <c r="AF203" s="82"/>
      <c r="AG203" s="119"/>
      <c r="AH203" s="79"/>
      <c r="AI203" s="74"/>
      <c r="AJ203" s="75"/>
      <c r="AK203" s="123"/>
      <c r="AL203" s="124"/>
      <c r="AM203" s="124"/>
      <c r="AN203" s="124"/>
      <c r="AO203" s="124"/>
      <c r="AP203" s="124"/>
      <c r="AQ203" s="124"/>
      <c r="AR203" s="124"/>
      <c r="AS203" s="124"/>
      <c r="AT203" s="124"/>
      <c r="AU203" s="124"/>
      <c r="AV203" s="124"/>
      <c r="AW203" s="124"/>
      <c r="AX203" s="125"/>
    </row>
    <row r="204" spans="1:50" s="40" customFormat="1" ht="25" customHeight="1" thickBot="1" x14ac:dyDescent="0.35">
      <c r="A204" s="42">
        <v>188</v>
      </c>
      <c r="B204" s="66"/>
      <c r="C204" s="67"/>
      <c r="D204" s="91"/>
      <c r="E204" s="90"/>
      <c r="F204" s="68"/>
      <c r="G204" s="69"/>
      <c r="H204" s="108"/>
      <c r="I204" s="109"/>
      <c r="J204" s="70"/>
      <c r="K204" s="66"/>
      <c r="L204" s="71"/>
      <c r="M204" s="92"/>
      <c r="N204" s="72"/>
      <c r="O204" s="91"/>
      <c r="P204" s="72"/>
      <c r="Q204" s="91"/>
      <c r="R204" s="53" t="str">
        <f t="shared" si="4"/>
        <v/>
      </c>
      <c r="S204" s="72"/>
      <c r="T204" s="73"/>
      <c r="U204" s="71"/>
      <c r="V204" s="94"/>
      <c r="W204" s="97"/>
      <c r="X204" s="101"/>
      <c r="Y204" s="98" t="str">
        <f t="shared" si="5"/>
        <v/>
      </c>
      <c r="Z204" s="100"/>
      <c r="AA204" s="92"/>
      <c r="AB204" s="102"/>
      <c r="AC204" s="114"/>
      <c r="AD204" s="81"/>
      <c r="AE204" s="83"/>
      <c r="AF204" s="82"/>
      <c r="AG204" s="119"/>
      <c r="AH204" s="79"/>
      <c r="AI204" s="74"/>
      <c r="AJ204" s="75"/>
      <c r="AK204" s="123"/>
      <c r="AL204" s="124"/>
      <c r="AM204" s="124"/>
      <c r="AN204" s="124"/>
      <c r="AO204" s="124"/>
      <c r="AP204" s="124"/>
      <c r="AQ204" s="124"/>
      <c r="AR204" s="124"/>
      <c r="AS204" s="124"/>
      <c r="AT204" s="124"/>
      <c r="AU204" s="124"/>
      <c r="AV204" s="124"/>
      <c r="AW204" s="124"/>
      <c r="AX204" s="125"/>
    </row>
    <row r="205" spans="1:50" s="40" customFormat="1" ht="25" customHeight="1" thickBot="1" x14ac:dyDescent="0.35">
      <c r="A205" s="42">
        <v>189</v>
      </c>
      <c r="B205" s="66"/>
      <c r="C205" s="67"/>
      <c r="D205" s="91"/>
      <c r="E205" s="90"/>
      <c r="F205" s="68"/>
      <c r="G205" s="69"/>
      <c r="H205" s="108"/>
      <c r="I205" s="109"/>
      <c r="J205" s="70"/>
      <c r="K205" s="66"/>
      <c r="L205" s="71"/>
      <c r="M205" s="92"/>
      <c r="N205" s="72"/>
      <c r="O205" s="91"/>
      <c r="P205" s="72"/>
      <c r="Q205" s="91"/>
      <c r="R205" s="53" t="str">
        <f t="shared" si="4"/>
        <v/>
      </c>
      <c r="S205" s="72"/>
      <c r="T205" s="73"/>
      <c r="U205" s="71"/>
      <c r="V205" s="94"/>
      <c r="W205" s="97"/>
      <c r="X205" s="101"/>
      <c r="Y205" s="98" t="str">
        <f t="shared" si="5"/>
        <v/>
      </c>
      <c r="Z205" s="100"/>
      <c r="AA205" s="92"/>
      <c r="AB205" s="102"/>
      <c r="AC205" s="114"/>
      <c r="AD205" s="81"/>
      <c r="AE205" s="83"/>
      <c r="AF205" s="82"/>
      <c r="AG205" s="119"/>
      <c r="AH205" s="79"/>
      <c r="AI205" s="74"/>
      <c r="AJ205" s="75"/>
      <c r="AK205" s="123"/>
      <c r="AL205" s="124"/>
      <c r="AM205" s="124"/>
      <c r="AN205" s="124"/>
      <c r="AO205" s="124"/>
      <c r="AP205" s="124"/>
      <c r="AQ205" s="124"/>
      <c r="AR205" s="124"/>
      <c r="AS205" s="124"/>
      <c r="AT205" s="124"/>
      <c r="AU205" s="124"/>
      <c r="AV205" s="124"/>
      <c r="AW205" s="124"/>
      <c r="AX205" s="125"/>
    </row>
    <row r="206" spans="1:50" s="40" customFormat="1" ht="25" customHeight="1" thickBot="1" x14ac:dyDescent="0.35">
      <c r="A206" s="42">
        <v>190</v>
      </c>
      <c r="B206" s="66"/>
      <c r="C206" s="67"/>
      <c r="D206" s="91"/>
      <c r="E206" s="90"/>
      <c r="F206" s="68"/>
      <c r="G206" s="69"/>
      <c r="H206" s="108"/>
      <c r="I206" s="109"/>
      <c r="J206" s="70"/>
      <c r="K206" s="66"/>
      <c r="L206" s="71"/>
      <c r="M206" s="92"/>
      <c r="N206" s="72"/>
      <c r="O206" s="91"/>
      <c r="P206" s="72"/>
      <c r="Q206" s="91"/>
      <c r="R206" s="53" t="str">
        <f t="shared" si="4"/>
        <v/>
      </c>
      <c r="S206" s="72"/>
      <c r="T206" s="73"/>
      <c r="U206" s="71"/>
      <c r="V206" s="94"/>
      <c r="W206" s="97"/>
      <c r="X206" s="101"/>
      <c r="Y206" s="98" t="str">
        <f t="shared" si="5"/>
        <v/>
      </c>
      <c r="Z206" s="100"/>
      <c r="AA206" s="92"/>
      <c r="AB206" s="102"/>
      <c r="AC206" s="114"/>
      <c r="AD206" s="81"/>
      <c r="AE206" s="83"/>
      <c r="AF206" s="82"/>
      <c r="AG206" s="119"/>
      <c r="AH206" s="79"/>
      <c r="AI206" s="74"/>
      <c r="AJ206" s="75"/>
      <c r="AK206" s="123"/>
      <c r="AL206" s="124"/>
      <c r="AM206" s="124"/>
      <c r="AN206" s="124"/>
      <c r="AO206" s="124"/>
      <c r="AP206" s="124"/>
      <c r="AQ206" s="124"/>
      <c r="AR206" s="124"/>
      <c r="AS206" s="124"/>
      <c r="AT206" s="124"/>
      <c r="AU206" s="124"/>
      <c r="AV206" s="124"/>
      <c r="AW206" s="124"/>
      <c r="AX206" s="125"/>
    </row>
    <row r="207" spans="1:50" s="40" customFormat="1" ht="25" customHeight="1" thickBot="1" x14ac:dyDescent="0.35">
      <c r="A207" s="42">
        <v>191</v>
      </c>
      <c r="B207" s="66"/>
      <c r="C207" s="67"/>
      <c r="D207" s="91"/>
      <c r="E207" s="90"/>
      <c r="F207" s="68"/>
      <c r="G207" s="69"/>
      <c r="H207" s="108"/>
      <c r="I207" s="109"/>
      <c r="J207" s="70"/>
      <c r="K207" s="66"/>
      <c r="L207" s="71"/>
      <c r="M207" s="92"/>
      <c r="N207" s="72"/>
      <c r="O207" s="91"/>
      <c r="P207" s="72"/>
      <c r="Q207" s="91"/>
      <c r="R207" s="53" t="str">
        <f t="shared" si="4"/>
        <v/>
      </c>
      <c r="S207" s="72"/>
      <c r="T207" s="73"/>
      <c r="U207" s="71"/>
      <c r="V207" s="94"/>
      <c r="W207" s="97"/>
      <c r="X207" s="101"/>
      <c r="Y207" s="98" t="str">
        <f t="shared" si="5"/>
        <v/>
      </c>
      <c r="Z207" s="100"/>
      <c r="AA207" s="92"/>
      <c r="AB207" s="102"/>
      <c r="AC207" s="114"/>
      <c r="AD207" s="81"/>
      <c r="AE207" s="83"/>
      <c r="AF207" s="82"/>
      <c r="AG207" s="119"/>
      <c r="AH207" s="79"/>
      <c r="AI207" s="74"/>
      <c r="AJ207" s="75"/>
      <c r="AK207" s="123"/>
      <c r="AL207" s="124"/>
      <c r="AM207" s="124"/>
      <c r="AN207" s="124"/>
      <c r="AO207" s="124"/>
      <c r="AP207" s="124"/>
      <c r="AQ207" s="124"/>
      <c r="AR207" s="124"/>
      <c r="AS207" s="124"/>
      <c r="AT207" s="124"/>
      <c r="AU207" s="124"/>
      <c r="AV207" s="124"/>
      <c r="AW207" s="124"/>
      <c r="AX207" s="125"/>
    </row>
    <row r="208" spans="1:50" s="40" customFormat="1" ht="25" customHeight="1" thickBot="1" x14ac:dyDescent="0.35">
      <c r="A208" s="42">
        <v>192</v>
      </c>
      <c r="B208" s="66"/>
      <c r="C208" s="67"/>
      <c r="D208" s="91"/>
      <c r="E208" s="90"/>
      <c r="F208" s="68"/>
      <c r="G208" s="69"/>
      <c r="H208" s="108"/>
      <c r="I208" s="109"/>
      <c r="J208" s="70"/>
      <c r="K208" s="66"/>
      <c r="L208" s="71"/>
      <c r="M208" s="92"/>
      <c r="N208" s="72"/>
      <c r="O208" s="91"/>
      <c r="P208" s="72"/>
      <c r="Q208" s="91"/>
      <c r="R208" s="53" t="str">
        <f t="shared" si="4"/>
        <v/>
      </c>
      <c r="S208" s="72"/>
      <c r="T208" s="73"/>
      <c r="U208" s="71"/>
      <c r="V208" s="94"/>
      <c r="W208" s="97"/>
      <c r="X208" s="101"/>
      <c r="Y208" s="98" t="str">
        <f t="shared" si="5"/>
        <v/>
      </c>
      <c r="Z208" s="100"/>
      <c r="AA208" s="92"/>
      <c r="AB208" s="102"/>
      <c r="AC208" s="114"/>
      <c r="AD208" s="81"/>
      <c r="AE208" s="83"/>
      <c r="AF208" s="82"/>
      <c r="AG208" s="119"/>
      <c r="AH208" s="79"/>
      <c r="AI208" s="74"/>
      <c r="AJ208" s="75"/>
      <c r="AK208" s="123"/>
      <c r="AL208" s="124"/>
      <c r="AM208" s="124"/>
      <c r="AN208" s="124"/>
      <c r="AO208" s="124"/>
      <c r="AP208" s="124"/>
      <c r="AQ208" s="124"/>
      <c r="AR208" s="124"/>
      <c r="AS208" s="124"/>
      <c r="AT208" s="124"/>
      <c r="AU208" s="124"/>
      <c r="AV208" s="124"/>
      <c r="AW208" s="124"/>
      <c r="AX208" s="125"/>
    </row>
    <row r="209" spans="1:50" s="40" customFormat="1" ht="25" customHeight="1" thickBot="1" x14ac:dyDescent="0.35">
      <c r="A209" s="42">
        <v>193</v>
      </c>
      <c r="B209" s="66"/>
      <c r="C209" s="67"/>
      <c r="D209" s="91"/>
      <c r="E209" s="90"/>
      <c r="F209" s="68"/>
      <c r="G209" s="69"/>
      <c r="H209" s="108"/>
      <c r="I209" s="109"/>
      <c r="J209" s="70"/>
      <c r="K209" s="66"/>
      <c r="L209" s="71"/>
      <c r="M209" s="92"/>
      <c r="N209" s="72"/>
      <c r="O209" s="91"/>
      <c r="P209" s="72"/>
      <c r="Q209" s="91"/>
      <c r="R209" s="53" t="str">
        <f t="shared" si="4"/>
        <v/>
      </c>
      <c r="S209" s="72"/>
      <c r="T209" s="73"/>
      <c r="U209" s="71"/>
      <c r="V209" s="94"/>
      <c r="W209" s="97"/>
      <c r="X209" s="101"/>
      <c r="Y209" s="98" t="str">
        <f t="shared" si="5"/>
        <v/>
      </c>
      <c r="Z209" s="100"/>
      <c r="AA209" s="92"/>
      <c r="AB209" s="102"/>
      <c r="AC209" s="114"/>
      <c r="AD209" s="81"/>
      <c r="AE209" s="83"/>
      <c r="AF209" s="82"/>
      <c r="AG209" s="119"/>
      <c r="AH209" s="79"/>
      <c r="AI209" s="74"/>
      <c r="AJ209" s="75"/>
      <c r="AK209" s="123"/>
      <c r="AL209" s="124"/>
      <c r="AM209" s="124"/>
      <c r="AN209" s="124"/>
      <c r="AO209" s="124"/>
      <c r="AP209" s="124"/>
      <c r="AQ209" s="124"/>
      <c r="AR209" s="124"/>
      <c r="AS209" s="124"/>
      <c r="AT209" s="124"/>
      <c r="AU209" s="124"/>
      <c r="AV209" s="124"/>
      <c r="AW209" s="124"/>
      <c r="AX209" s="125"/>
    </row>
    <row r="210" spans="1:50" s="40" customFormat="1" ht="25" customHeight="1" thickBot="1" x14ac:dyDescent="0.35">
      <c r="A210" s="42">
        <v>194</v>
      </c>
      <c r="B210" s="66"/>
      <c r="C210" s="67"/>
      <c r="D210" s="91"/>
      <c r="E210" s="90"/>
      <c r="F210" s="68"/>
      <c r="G210" s="69"/>
      <c r="H210" s="108"/>
      <c r="I210" s="109"/>
      <c r="J210" s="70"/>
      <c r="K210" s="66"/>
      <c r="L210" s="71"/>
      <c r="M210" s="92"/>
      <c r="N210" s="72"/>
      <c r="O210" s="91"/>
      <c r="P210" s="72"/>
      <c r="Q210" s="91"/>
      <c r="R210" s="53" t="str">
        <f t="shared" ref="R210:R219" si="6">IF(Q210="","",DATEDIF(O210,Q210,"d")/365)</f>
        <v/>
      </c>
      <c r="S210" s="72"/>
      <c r="T210" s="73"/>
      <c r="U210" s="71"/>
      <c r="V210" s="94"/>
      <c r="W210" s="97"/>
      <c r="X210" s="101"/>
      <c r="Y210" s="98" t="str">
        <f t="shared" ref="Y210:Y219" si="7">IF(W210="","",W210*$I$7)</f>
        <v/>
      </c>
      <c r="Z210" s="100"/>
      <c r="AA210" s="92"/>
      <c r="AB210" s="102"/>
      <c r="AC210" s="114"/>
      <c r="AD210" s="81"/>
      <c r="AE210" s="83"/>
      <c r="AF210" s="82"/>
      <c r="AG210" s="119"/>
      <c r="AH210" s="79"/>
      <c r="AI210" s="74"/>
      <c r="AJ210" s="75"/>
      <c r="AK210" s="123"/>
      <c r="AL210" s="124"/>
      <c r="AM210" s="124"/>
      <c r="AN210" s="124"/>
      <c r="AO210" s="124"/>
      <c r="AP210" s="124"/>
      <c r="AQ210" s="124"/>
      <c r="AR210" s="124"/>
      <c r="AS210" s="124"/>
      <c r="AT210" s="124"/>
      <c r="AU210" s="124"/>
      <c r="AV210" s="124"/>
      <c r="AW210" s="124"/>
      <c r="AX210" s="125"/>
    </row>
    <row r="211" spans="1:50" s="40" customFormat="1" ht="25" customHeight="1" thickBot="1" x14ac:dyDescent="0.35">
      <c r="A211" s="42">
        <v>195</v>
      </c>
      <c r="B211" s="66"/>
      <c r="C211" s="67"/>
      <c r="D211" s="91"/>
      <c r="E211" s="90"/>
      <c r="F211" s="68"/>
      <c r="G211" s="69"/>
      <c r="H211" s="108"/>
      <c r="I211" s="109"/>
      <c r="J211" s="70"/>
      <c r="K211" s="66"/>
      <c r="L211" s="71"/>
      <c r="M211" s="92"/>
      <c r="N211" s="72"/>
      <c r="O211" s="91"/>
      <c r="P211" s="72"/>
      <c r="Q211" s="91"/>
      <c r="R211" s="53" t="str">
        <f t="shared" si="6"/>
        <v/>
      </c>
      <c r="S211" s="72"/>
      <c r="T211" s="73"/>
      <c r="U211" s="71"/>
      <c r="V211" s="94"/>
      <c r="W211" s="97"/>
      <c r="X211" s="101"/>
      <c r="Y211" s="98" t="str">
        <f t="shared" si="7"/>
        <v/>
      </c>
      <c r="Z211" s="100"/>
      <c r="AA211" s="92"/>
      <c r="AB211" s="102"/>
      <c r="AC211" s="114"/>
      <c r="AD211" s="81"/>
      <c r="AE211" s="83"/>
      <c r="AF211" s="82"/>
      <c r="AG211" s="119"/>
      <c r="AH211" s="79"/>
      <c r="AI211" s="74"/>
      <c r="AJ211" s="75"/>
      <c r="AK211" s="123"/>
      <c r="AL211" s="124"/>
      <c r="AM211" s="124"/>
      <c r="AN211" s="124"/>
      <c r="AO211" s="124"/>
      <c r="AP211" s="124"/>
      <c r="AQ211" s="124"/>
      <c r="AR211" s="124"/>
      <c r="AS211" s="124"/>
      <c r="AT211" s="124"/>
      <c r="AU211" s="124"/>
      <c r="AV211" s="124"/>
      <c r="AW211" s="124"/>
      <c r="AX211" s="125"/>
    </row>
    <row r="212" spans="1:50" s="40" customFormat="1" ht="25" customHeight="1" thickBot="1" x14ac:dyDescent="0.35">
      <c r="A212" s="42">
        <v>196</v>
      </c>
      <c r="B212" s="66"/>
      <c r="C212" s="67"/>
      <c r="D212" s="91"/>
      <c r="E212" s="90"/>
      <c r="F212" s="68"/>
      <c r="G212" s="69"/>
      <c r="H212" s="108"/>
      <c r="I212" s="109"/>
      <c r="J212" s="70"/>
      <c r="K212" s="66"/>
      <c r="L212" s="71"/>
      <c r="M212" s="92"/>
      <c r="N212" s="72"/>
      <c r="O212" s="91"/>
      <c r="P212" s="72"/>
      <c r="Q212" s="91"/>
      <c r="R212" s="53" t="str">
        <f t="shared" si="6"/>
        <v/>
      </c>
      <c r="S212" s="72"/>
      <c r="T212" s="73"/>
      <c r="U212" s="71"/>
      <c r="V212" s="94"/>
      <c r="W212" s="97"/>
      <c r="X212" s="101"/>
      <c r="Y212" s="98" t="str">
        <f t="shared" si="7"/>
        <v/>
      </c>
      <c r="Z212" s="100"/>
      <c r="AA212" s="92"/>
      <c r="AB212" s="102"/>
      <c r="AC212" s="114"/>
      <c r="AD212" s="81"/>
      <c r="AE212" s="83"/>
      <c r="AF212" s="82"/>
      <c r="AG212" s="119"/>
      <c r="AH212" s="79"/>
      <c r="AI212" s="74"/>
      <c r="AJ212" s="75"/>
      <c r="AK212" s="123"/>
      <c r="AL212" s="124"/>
      <c r="AM212" s="124"/>
      <c r="AN212" s="124"/>
      <c r="AO212" s="124"/>
      <c r="AP212" s="124"/>
      <c r="AQ212" s="124"/>
      <c r="AR212" s="124"/>
      <c r="AS212" s="124"/>
      <c r="AT212" s="124"/>
      <c r="AU212" s="124"/>
      <c r="AV212" s="124"/>
      <c r="AW212" s="124"/>
      <c r="AX212" s="125"/>
    </row>
    <row r="213" spans="1:50" s="40" customFormat="1" ht="25" customHeight="1" thickBot="1" x14ac:dyDescent="0.35">
      <c r="A213" s="42">
        <v>197</v>
      </c>
      <c r="B213" s="66"/>
      <c r="C213" s="67"/>
      <c r="D213" s="91"/>
      <c r="E213" s="90"/>
      <c r="F213" s="68"/>
      <c r="G213" s="69"/>
      <c r="H213" s="108"/>
      <c r="I213" s="109"/>
      <c r="J213" s="70"/>
      <c r="K213" s="66"/>
      <c r="L213" s="71"/>
      <c r="M213" s="92"/>
      <c r="N213" s="72"/>
      <c r="O213" s="91"/>
      <c r="P213" s="72"/>
      <c r="Q213" s="91"/>
      <c r="R213" s="53" t="str">
        <f t="shared" si="6"/>
        <v/>
      </c>
      <c r="S213" s="72"/>
      <c r="T213" s="73"/>
      <c r="U213" s="71"/>
      <c r="V213" s="94"/>
      <c r="W213" s="97"/>
      <c r="X213" s="101"/>
      <c r="Y213" s="98" t="str">
        <f t="shared" si="7"/>
        <v/>
      </c>
      <c r="Z213" s="100"/>
      <c r="AA213" s="92"/>
      <c r="AB213" s="102"/>
      <c r="AC213" s="114"/>
      <c r="AD213" s="81"/>
      <c r="AE213" s="83"/>
      <c r="AF213" s="82"/>
      <c r="AG213" s="119"/>
      <c r="AH213" s="79"/>
      <c r="AI213" s="74"/>
      <c r="AJ213" s="75"/>
      <c r="AK213" s="123"/>
      <c r="AL213" s="124"/>
      <c r="AM213" s="124"/>
      <c r="AN213" s="124"/>
      <c r="AO213" s="124"/>
      <c r="AP213" s="124"/>
      <c r="AQ213" s="124"/>
      <c r="AR213" s="124"/>
      <c r="AS213" s="124"/>
      <c r="AT213" s="124"/>
      <c r="AU213" s="124"/>
      <c r="AV213" s="124"/>
      <c r="AW213" s="124"/>
      <c r="AX213" s="125"/>
    </row>
    <row r="214" spans="1:50" s="40" customFormat="1" ht="25" customHeight="1" thickBot="1" x14ac:dyDescent="0.35">
      <c r="A214" s="42">
        <v>198</v>
      </c>
      <c r="B214" s="66"/>
      <c r="C214" s="67"/>
      <c r="D214" s="91"/>
      <c r="E214" s="90"/>
      <c r="F214" s="68"/>
      <c r="G214" s="69"/>
      <c r="H214" s="108"/>
      <c r="I214" s="109"/>
      <c r="J214" s="70"/>
      <c r="K214" s="66"/>
      <c r="L214" s="71"/>
      <c r="M214" s="92"/>
      <c r="N214" s="72"/>
      <c r="O214" s="91"/>
      <c r="P214" s="72"/>
      <c r="Q214" s="91"/>
      <c r="R214" s="53" t="str">
        <f t="shared" si="6"/>
        <v/>
      </c>
      <c r="S214" s="72"/>
      <c r="T214" s="73"/>
      <c r="U214" s="71"/>
      <c r="V214" s="94"/>
      <c r="W214" s="97"/>
      <c r="X214" s="101"/>
      <c r="Y214" s="98" t="str">
        <f t="shared" si="7"/>
        <v/>
      </c>
      <c r="Z214" s="100"/>
      <c r="AA214" s="92"/>
      <c r="AB214" s="102"/>
      <c r="AC214" s="114"/>
      <c r="AD214" s="81"/>
      <c r="AE214" s="83"/>
      <c r="AF214" s="82"/>
      <c r="AG214" s="119"/>
      <c r="AH214" s="79"/>
      <c r="AI214" s="74"/>
      <c r="AJ214" s="75"/>
      <c r="AK214" s="123"/>
      <c r="AL214" s="124"/>
      <c r="AM214" s="124"/>
      <c r="AN214" s="124"/>
      <c r="AO214" s="124"/>
      <c r="AP214" s="124"/>
      <c r="AQ214" s="124"/>
      <c r="AR214" s="124"/>
      <c r="AS214" s="124"/>
      <c r="AT214" s="124"/>
      <c r="AU214" s="124"/>
      <c r="AV214" s="124"/>
      <c r="AW214" s="124"/>
      <c r="AX214" s="125"/>
    </row>
    <row r="215" spans="1:50" s="40" customFormat="1" ht="25" customHeight="1" thickBot="1" x14ac:dyDescent="0.35">
      <c r="A215" s="42">
        <v>199</v>
      </c>
      <c r="B215" s="66"/>
      <c r="C215" s="67"/>
      <c r="D215" s="91"/>
      <c r="E215" s="90"/>
      <c r="F215" s="68"/>
      <c r="G215" s="69"/>
      <c r="H215" s="108"/>
      <c r="I215" s="109"/>
      <c r="J215" s="70"/>
      <c r="K215" s="66"/>
      <c r="L215" s="71"/>
      <c r="M215" s="92"/>
      <c r="N215" s="72"/>
      <c r="O215" s="91"/>
      <c r="P215" s="72"/>
      <c r="Q215" s="91"/>
      <c r="R215" s="53" t="str">
        <f t="shared" si="6"/>
        <v/>
      </c>
      <c r="S215" s="72"/>
      <c r="T215" s="73"/>
      <c r="U215" s="71"/>
      <c r="V215" s="94"/>
      <c r="W215" s="97"/>
      <c r="X215" s="101"/>
      <c r="Y215" s="98" t="str">
        <f t="shared" si="7"/>
        <v/>
      </c>
      <c r="Z215" s="100"/>
      <c r="AA215" s="92"/>
      <c r="AB215" s="102"/>
      <c r="AC215" s="114"/>
      <c r="AD215" s="81"/>
      <c r="AE215" s="83"/>
      <c r="AF215" s="82"/>
      <c r="AG215" s="119"/>
      <c r="AH215" s="79"/>
      <c r="AI215" s="74"/>
      <c r="AJ215" s="75"/>
      <c r="AK215" s="123"/>
      <c r="AL215" s="124"/>
      <c r="AM215" s="124"/>
      <c r="AN215" s="124"/>
      <c r="AO215" s="124"/>
      <c r="AP215" s="124"/>
      <c r="AQ215" s="124"/>
      <c r="AR215" s="124"/>
      <c r="AS215" s="124"/>
      <c r="AT215" s="124"/>
      <c r="AU215" s="124"/>
      <c r="AV215" s="124"/>
      <c r="AW215" s="124"/>
      <c r="AX215" s="125"/>
    </row>
    <row r="216" spans="1:50" s="40" customFormat="1" ht="25" customHeight="1" thickBot="1" x14ac:dyDescent="0.35">
      <c r="A216" s="42">
        <v>200</v>
      </c>
      <c r="B216" s="66"/>
      <c r="C216" s="67"/>
      <c r="D216" s="91"/>
      <c r="E216" s="90"/>
      <c r="F216" s="68"/>
      <c r="G216" s="69"/>
      <c r="H216" s="108"/>
      <c r="I216" s="109"/>
      <c r="J216" s="70"/>
      <c r="K216" s="66"/>
      <c r="L216" s="71"/>
      <c r="M216" s="92"/>
      <c r="N216" s="72"/>
      <c r="O216" s="91"/>
      <c r="P216" s="72"/>
      <c r="Q216" s="91"/>
      <c r="R216" s="53" t="str">
        <f t="shared" si="6"/>
        <v/>
      </c>
      <c r="S216" s="72"/>
      <c r="T216" s="73"/>
      <c r="U216" s="71"/>
      <c r="V216" s="94"/>
      <c r="W216" s="97"/>
      <c r="X216" s="101"/>
      <c r="Y216" s="98" t="str">
        <f t="shared" si="7"/>
        <v/>
      </c>
      <c r="Z216" s="100"/>
      <c r="AA216" s="92"/>
      <c r="AB216" s="102"/>
      <c r="AC216" s="114"/>
      <c r="AD216" s="81"/>
      <c r="AE216" s="83"/>
      <c r="AF216" s="82"/>
      <c r="AG216" s="119"/>
      <c r="AH216" s="79"/>
      <c r="AI216" s="74"/>
      <c r="AJ216" s="75"/>
      <c r="AK216" s="123"/>
      <c r="AL216" s="124"/>
      <c r="AM216" s="124"/>
      <c r="AN216" s="124"/>
      <c r="AO216" s="124"/>
      <c r="AP216" s="124"/>
      <c r="AQ216" s="124"/>
      <c r="AR216" s="124"/>
      <c r="AS216" s="124"/>
      <c r="AT216" s="124"/>
      <c r="AU216" s="124"/>
      <c r="AV216" s="124"/>
      <c r="AW216" s="124"/>
      <c r="AX216" s="125"/>
    </row>
    <row r="217" spans="1:50" s="40" customFormat="1" ht="25" customHeight="1" thickBot="1" x14ac:dyDescent="0.35">
      <c r="A217" s="42">
        <v>201</v>
      </c>
      <c r="B217" s="66"/>
      <c r="C217" s="67"/>
      <c r="D217" s="91"/>
      <c r="E217" s="90"/>
      <c r="F217" s="68"/>
      <c r="G217" s="69"/>
      <c r="H217" s="108"/>
      <c r="I217" s="109"/>
      <c r="J217" s="70"/>
      <c r="K217" s="66"/>
      <c r="L217" s="71"/>
      <c r="M217" s="92"/>
      <c r="N217" s="72"/>
      <c r="O217" s="91"/>
      <c r="P217" s="72"/>
      <c r="Q217" s="91"/>
      <c r="R217" s="53" t="str">
        <f t="shared" ref="R217:R218" si="8">IF(Q217="","",DATEDIF(O217,Q217,"d")/365)</f>
        <v/>
      </c>
      <c r="S217" s="72"/>
      <c r="T217" s="73"/>
      <c r="U217" s="71"/>
      <c r="V217" s="94"/>
      <c r="W217" s="97"/>
      <c r="X217" s="101"/>
      <c r="Y217" s="98" t="str">
        <f t="shared" ref="Y217:Y218" si="9">IF(W217="","",W217*$I$7)</f>
        <v/>
      </c>
      <c r="Z217" s="100"/>
      <c r="AA217" s="92"/>
      <c r="AB217" s="102"/>
      <c r="AC217" s="114"/>
      <c r="AD217" s="81"/>
      <c r="AE217" s="83"/>
      <c r="AF217" s="82"/>
      <c r="AG217" s="119"/>
      <c r="AH217" s="79"/>
      <c r="AI217" s="74"/>
      <c r="AJ217" s="75"/>
      <c r="AK217" s="123"/>
      <c r="AL217" s="124"/>
      <c r="AM217" s="124"/>
      <c r="AN217" s="124"/>
      <c r="AO217" s="124"/>
      <c r="AP217" s="124"/>
      <c r="AQ217" s="124"/>
      <c r="AR217" s="124"/>
      <c r="AS217" s="124"/>
      <c r="AT217" s="124"/>
      <c r="AU217" s="124"/>
      <c r="AV217" s="124"/>
      <c r="AW217" s="124"/>
      <c r="AX217" s="125"/>
    </row>
    <row r="218" spans="1:50" s="40" customFormat="1" ht="25" customHeight="1" thickBot="1" x14ac:dyDescent="0.35">
      <c r="A218" s="42">
        <v>202</v>
      </c>
      <c r="B218" s="66"/>
      <c r="C218" s="67"/>
      <c r="D218" s="91"/>
      <c r="E218" s="90"/>
      <c r="F218" s="68"/>
      <c r="G218" s="69"/>
      <c r="H218" s="108"/>
      <c r="I218" s="109"/>
      <c r="J218" s="70"/>
      <c r="K218" s="66"/>
      <c r="L218" s="71"/>
      <c r="M218" s="92"/>
      <c r="N218" s="72"/>
      <c r="O218" s="91"/>
      <c r="P218" s="72"/>
      <c r="Q218" s="91"/>
      <c r="R218" s="53" t="str">
        <f t="shared" si="8"/>
        <v/>
      </c>
      <c r="S218" s="72"/>
      <c r="T218" s="73"/>
      <c r="U218" s="71"/>
      <c r="V218" s="94"/>
      <c r="W218" s="97"/>
      <c r="X218" s="101"/>
      <c r="Y218" s="98" t="str">
        <f t="shared" si="9"/>
        <v/>
      </c>
      <c r="Z218" s="100"/>
      <c r="AA218" s="92"/>
      <c r="AB218" s="102"/>
      <c r="AC218" s="114"/>
      <c r="AD218" s="81"/>
      <c r="AE218" s="83"/>
      <c r="AF218" s="82"/>
      <c r="AG218" s="119"/>
      <c r="AH218" s="79"/>
      <c r="AI218" s="74"/>
      <c r="AJ218" s="75"/>
      <c r="AK218" s="123"/>
      <c r="AL218" s="124"/>
      <c r="AM218" s="124"/>
      <c r="AN218" s="124"/>
      <c r="AO218" s="124"/>
      <c r="AP218" s="124"/>
      <c r="AQ218" s="124"/>
      <c r="AR218" s="124"/>
      <c r="AS218" s="124"/>
      <c r="AT218" s="124"/>
      <c r="AU218" s="124"/>
      <c r="AV218" s="124"/>
      <c r="AW218" s="124"/>
      <c r="AX218" s="125"/>
    </row>
    <row r="219" spans="1:50" s="40" customFormat="1" ht="25" customHeight="1" thickBot="1" x14ac:dyDescent="0.35">
      <c r="A219" s="42"/>
      <c r="B219" s="43"/>
      <c r="C219" s="44"/>
      <c r="D219" s="45"/>
      <c r="E219" s="46"/>
      <c r="F219" s="47"/>
      <c r="G219" s="48"/>
      <c r="H219" s="110"/>
      <c r="I219" s="111"/>
      <c r="J219" s="49"/>
      <c r="K219" s="43"/>
      <c r="L219" s="50"/>
      <c r="M219" s="51"/>
      <c r="N219" s="52"/>
      <c r="O219" s="45"/>
      <c r="P219" s="52"/>
      <c r="Q219" s="45"/>
      <c r="R219" s="53" t="str">
        <f t="shared" si="6"/>
        <v/>
      </c>
      <c r="S219" s="52"/>
      <c r="T219" s="54"/>
      <c r="U219" s="50"/>
      <c r="V219" s="95"/>
      <c r="W219" s="98"/>
      <c r="X219" s="106"/>
      <c r="Y219" s="98" t="str">
        <f t="shared" si="7"/>
        <v/>
      </c>
      <c r="Z219" s="107"/>
      <c r="AA219" s="51"/>
      <c r="AB219" s="103"/>
      <c r="AC219" s="115"/>
      <c r="AD219" s="84"/>
      <c r="AE219" s="85"/>
      <c r="AF219" s="86"/>
      <c r="AG219" s="120"/>
      <c r="AH219" s="80"/>
      <c r="AI219" s="55"/>
      <c r="AJ219" s="56"/>
      <c r="AK219" s="123"/>
      <c r="AL219" s="124"/>
      <c r="AM219" s="124"/>
      <c r="AN219" s="124"/>
      <c r="AO219" s="124"/>
      <c r="AP219" s="124"/>
      <c r="AQ219" s="124"/>
      <c r="AR219" s="124"/>
      <c r="AS219" s="124"/>
      <c r="AT219" s="124"/>
      <c r="AU219" s="124"/>
      <c r="AV219" s="124"/>
      <c r="AW219" s="124"/>
      <c r="AX219" s="125"/>
    </row>
    <row r="220" spans="1:50" s="11" customFormat="1" ht="25" customHeight="1" thickBot="1" x14ac:dyDescent="0.35">
      <c r="A220" s="39"/>
      <c r="B220" s="39"/>
      <c r="C220" s="57"/>
      <c r="D220" s="39"/>
      <c r="E220" s="57"/>
      <c r="F220" s="39"/>
      <c r="G220" s="57"/>
      <c r="H220" s="112"/>
      <c r="I220" s="111"/>
      <c r="J220" s="58"/>
      <c r="K220" s="39"/>
      <c r="L220" s="59">
        <f>SUM(L17:L219)</f>
        <v>9387796160</v>
      </c>
      <c r="M220" s="60">
        <f>SUM(M17:M219)</f>
        <v>10251796160</v>
      </c>
      <c r="N220" s="61"/>
      <c r="O220" s="41"/>
      <c r="P220" s="61"/>
      <c r="Q220" s="41"/>
      <c r="R220" s="41"/>
      <c r="S220" s="61"/>
      <c r="T220" s="41"/>
      <c r="U220" s="59">
        <f>SUM(U17:U219)</f>
        <v>8128853060</v>
      </c>
      <c r="V220" s="96"/>
      <c r="W220" s="99">
        <f>SUM(W17:W219)</f>
        <v>5848119247</v>
      </c>
      <c r="X220" s="104">
        <f>SUM(X17:X219)</f>
        <v>254730635</v>
      </c>
      <c r="Y220" s="99">
        <f>SUM(Y17:Y219)</f>
        <v>2924059623.5</v>
      </c>
      <c r="Z220" s="105"/>
      <c r="AA220" s="63"/>
      <c r="AB220" s="64">
        <f>SUM(AB17:AB219)</f>
        <v>673566777</v>
      </c>
      <c r="AC220" s="111"/>
      <c r="AD220" s="76"/>
      <c r="AE220" s="77"/>
      <c r="AF220" s="78"/>
      <c r="AG220" s="121"/>
      <c r="AH220" s="65">
        <f>SUM(AH17:AH219)</f>
        <v>1741</v>
      </c>
      <c r="AI220" s="60">
        <f>SUM(AI17:AI219)</f>
        <v>170</v>
      </c>
      <c r="AJ220" s="62">
        <f>SUM(AJ17:AJ219)</f>
        <v>30</v>
      </c>
      <c r="AK220" s="109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</row>
    <row r="221" spans="1:50" x14ac:dyDescent="0.3">
      <c r="A221" s="12"/>
      <c r="B221" s="12"/>
      <c r="C221" s="13"/>
      <c r="D221" s="14"/>
      <c r="E221" s="13"/>
      <c r="F221" s="13"/>
      <c r="G221" s="15"/>
      <c r="H221" s="16"/>
      <c r="I221" s="16"/>
      <c r="J221" s="12"/>
      <c r="K221" s="12"/>
      <c r="L221" s="15"/>
      <c r="M221" s="15"/>
      <c r="N221" s="17"/>
      <c r="O221" s="17"/>
      <c r="P221" s="17"/>
      <c r="Q221" s="17"/>
      <c r="R221" s="17"/>
      <c r="S221" s="15"/>
      <c r="T221" s="16"/>
      <c r="U221" s="15"/>
      <c r="V221" s="16"/>
      <c r="W221" s="15"/>
      <c r="X221" s="12"/>
      <c r="Y221" s="15"/>
      <c r="Z221" s="12"/>
      <c r="AA221" s="15"/>
      <c r="AB221" s="12"/>
      <c r="AC221" s="116"/>
      <c r="AD221" s="17"/>
      <c r="AE221" s="17"/>
      <c r="AF221" s="17"/>
      <c r="AG221" s="116"/>
      <c r="AH221" s="15"/>
      <c r="AI221" s="15"/>
      <c r="AJ221" s="15"/>
      <c r="AK221" s="116"/>
    </row>
    <row r="222" spans="1:50" x14ac:dyDescent="0.3">
      <c r="A222" s="12"/>
      <c r="B222" s="18"/>
      <c r="C222" s="18"/>
      <c r="D222" s="18"/>
      <c r="E222" s="18"/>
      <c r="F222" s="18"/>
      <c r="G222" s="19"/>
      <c r="H222" s="7"/>
      <c r="I222" s="7"/>
      <c r="J222" s="4"/>
      <c r="K222" s="12"/>
      <c r="L222" s="15"/>
      <c r="M222" s="15"/>
      <c r="N222" s="17"/>
      <c r="O222" s="17"/>
      <c r="P222" s="17"/>
      <c r="Q222" s="17"/>
      <c r="R222" s="17"/>
      <c r="S222" s="15"/>
      <c r="T222" s="16"/>
      <c r="U222" s="15"/>
      <c r="V222" s="16"/>
      <c r="W222" s="15"/>
      <c r="X222" s="12"/>
      <c r="Y222" s="15"/>
      <c r="Z222" s="12"/>
      <c r="AA222" s="15"/>
      <c r="AB222" s="12"/>
      <c r="AC222" s="116"/>
      <c r="AD222" s="17"/>
      <c r="AE222" s="17"/>
      <c r="AF222" s="17"/>
      <c r="AG222" s="116"/>
      <c r="AH222" s="15"/>
      <c r="AI222" s="15"/>
      <c r="AJ222" s="15"/>
      <c r="AK222" s="116"/>
    </row>
    <row r="223" spans="1:50" x14ac:dyDescent="0.3">
      <c r="A223" s="12"/>
      <c r="B223" s="20"/>
      <c r="C223" s="20"/>
      <c r="D223" s="20"/>
      <c r="E223" s="21"/>
      <c r="F223" s="22"/>
      <c r="G223" s="23"/>
      <c r="H223" s="7"/>
      <c r="I223" s="7"/>
      <c r="J223" s="4"/>
      <c r="K223" s="12"/>
      <c r="L223" s="15"/>
      <c r="M223" s="15"/>
      <c r="N223" s="17"/>
      <c r="O223" s="17"/>
      <c r="P223" s="17"/>
      <c r="Q223" s="17"/>
      <c r="R223" s="17"/>
      <c r="S223" s="15"/>
      <c r="T223" s="16"/>
      <c r="U223" s="15"/>
      <c r="V223" s="16"/>
      <c r="W223" s="15"/>
      <c r="X223" s="12"/>
      <c r="Y223" s="15"/>
      <c r="Z223" s="12"/>
      <c r="AA223" s="15"/>
      <c r="AB223" s="12"/>
      <c r="AC223" s="116"/>
      <c r="AD223" s="17"/>
      <c r="AE223" s="17"/>
      <c r="AF223" s="17"/>
      <c r="AG223" s="116"/>
      <c r="AH223" s="15"/>
      <c r="AI223" s="15"/>
      <c r="AJ223" s="15"/>
      <c r="AK223" s="116"/>
    </row>
    <row r="224" spans="1:50" x14ac:dyDescent="0.3">
      <c r="A224" s="12"/>
      <c r="B224" s="24"/>
      <c r="C224" s="24"/>
      <c r="D224" s="24"/>
      <c r="E224" s="25"/>
      <c r="F224" s="24"/>
      <c r="G224" s="25"/>
      <c r="H224" s="7"/>
      <c r="I224" s="7"/>
      <c r="J224" s="4"/>
      <c r="K224" s="12"/>
      <c r="L224" s="15"/>
      <c r="M224" s="15"/>
      <c r="N224" s="17"/>
      <c r="O224" s="17"/>
      <c r="P224" s="17"/>
      <c r="Q224" s="17"/>
      <c r="R224" s="17"/>
      <c r="S224" s="15"/>
      <c r="T224" s="16"/>
      <c r="U224" s="15"/>
      <c r="V224" s="16"/>
      <c r="W224" s="15"/>
      <c r="X224" s="12"/>
      <c r="Y224" s="15"/>
      <c r="Z224" s="12"/>
      <c r="AA224" s="15"/>
      <c r="AB224" s="12"/>
      <c r="AC224" s="116"/>
      <c r="AD224" s="17"/>
      <c r="AE224" s="17"/>
      <c r="AF224" s="17"/>
      <c r="AG224" s="116"/>
      <c r="AH224" s="15"/>
      <c r="AI224" s="15"/>
      <c r="AJ224" s="15"/>
      <c r="AK224" s="116"/>
    </row>
    <row r="225" spans="1:37" x14ac:dyDescent="0.3">
      <c r="A225" s="10"/>
      <c r="B225" s="10"/>
      <c r="C225" s="3"/>
      <c r="D225" s="26"/>
      <c r="E225" s="3"/>
      <c r="F225" s="3"/>
      <c r="G225" s="27"/>
      <c r="H225" s="28"/>
      <c r="I225" s="28"/>
      <c r="J225" s="10"/>
      <c r="K225" s="10"/>
      <c r="L225" s="27"/>
      <c r="M225" s="27"/>
      <c r="N225" s="29"/>
      <c r="O225" s="29"/>
      <c r="P225" s="29"/>
      <c r="Q225" s="29"/>
      <c r="R225" s="29"/>
      <c r="S225" s="27"/>
      <c r="T225" s="28"/>
      <c r="U225" s="27"/>
      <c r="V225" s="28"/>
      <c r="W225" s="27"/>
      <c r="X225" s="10"/>
      <c r="Y225" s="27"/>
      <c r="Z225" s="10"/>
      <c r="AA225" s="27"/>
      <c r="AB225" s="10"/>
      <c r="AC225" s="117"/>
      <c r="AD225" s="29"/>
      <c r="AE225" s="29"/>
      <c r="AF225" s="29"/>
      <c r="AG225" s="117"/>
      <c r="AH225" s="27"/>
      <c r="AI225" s="27"/>
      <c r="AJ225" s="27"/>
      <c r="AK225" s="117"/>
    </row>
    <row r="226" spans="1:37" x14ac:dyDescent="0.3">
      <c r="A226" s="10"/>
      <c r="B226" s="10"/>
      <c r="C226" s="3"/>
      <c r="D226" s="26"/>
      <c r="E226" s="3"/>
      <c r="F226" s="3"/>
      <c r="G226" s="27"/>
      <c r="H226" s="28"/>
      <c r="I226" s="28"/>
      <c r="J226" s="10"/>
      <c r="K226" s="10"/>
      <c r="L226" s="27"/>
      <c r="M226" s="27"/>
      <c r="N226" s="29"/>
      <c r="O226" s="29"/>
      <c r="P226" s="29"/>
      <c r="Q226" s="29"/>
      <c r="R226" s="29"/>
      <c r="S226" s="27"/>
      <c r="T226" s="28"/>
      <c r="U226" s="93"/>
      <c r="V226" s="28"/>
      <c r="W226" s="27"/>
      <c r="X226" s="10"/>
      <c r="Y226" s="27"/>
      <c r="Z226" s="10"/>
      <c r="AA226" s="27"/>
      <c r="AB226" s="10"/>
      <c r="AC226" s="117"/>
      <c r="AD226" s="29"/>
      <c r="AE226" s="29"/>
      <c r="AF226" s="29"/>
      <c r="AG226" s="117"/>
      <c r="AH226" s="27"/>
      <c r="AI226" s="27"/>
      <c r="AJ226" s="27"/>
      <c r="AK226" s="117"/>
    </row>
    <row r="227" spans="1:37" x14ac:dyDescent="0.3">
      <c r="A227" s="10"/>
      <c r="B227" s="10"/>
      <c r="C227" s="3"/>
      <c r="D227" s="26"/>
      <c r="E227" s="3"/>
      <c r="F227" s="3"/>
      <c r="G227" s="27"/>
      <c r="H227" s="28"/>
      <c r="I227" s="28"/>
      <c r="J227" s="10"/>
      <c r="K227" s="10"/>
      <c r="L227" s="27"/>
      <c r="M227" s="27"/>
      <c r="N227" s="29"/>
      <c r="O227" s="29"/>
      <c r="P227" s="29"/>
      <c r="Q227" s="29"/>
      <c r="R227" s="29"/>
      <c r="S227" s="27"/>
      <c r="T227" s="28"/>
      <c r="U227" s="27"/>
      <c r="V227" s="28"/>
      <c r="W227" s="27"/>
      <c r="X227" s="10"/>
      <c r="Y227" s="27"/>
      <c r="Z227" s="10"/>
      <c r="AA227" s="27"/>
      <c r="AB227" s="10"/>
      <c r="AC227" s="117"/>
      <c r="AD227" s="29"/>
      <c r="AE227" s="29"/>
      <c r="AF227" s="29"/>
      <c r="AG227" s="117"/>
      <c r="AH227" s="27"/>
      <c r="AI227" s="27"/>
      <c r="AJ227" s="27"/>
      <c r="AK227" s="117"/>
    </row>
    <row r="228" spans="1:37" x14ac:dyDescent="0.3">
      <c r="A228" s="10"/>
      <c r="B228" s="10"/>
      <c r="C228" s="3"/>
      <c r="D228" s="26"/>
      <c r="E228" s="3"/>
      <c r="F228" s="3"/>
      <c r="G228" s="27"/>
      <c r="H228" s="28"/>
      <c r="I228" s="28"/>
      <c r="J228" s="10"/>
      <c r="K228" s="10"/>
      <c r="L228" s="27"/>
      <c r="M228" s="27"/>
      <c r="N228" s="29"/>
      <c r="O228" s="29"/>
      <c r="P228" s="29"/>
      <c r="Q228" s="29"/>
      <c r="R228" s="29"/>
      <c r="S228" s="27"/>
      <c r="T228" s="28"/>
      <c r="U228" s="27"/>
      <c r="V228" s="28"/>
      <c r="W228" s="27"/>
      <c r="X228" s="10"/>
      <c r="Y228" s="27"/>
      <c r="Z228" s="10"/>
      <c r="AA228" s="27"/>
      <c r="AB228" s="10"/>
      <c r="AC228" s="117"/>
      <c r="AD228" s="29"/>
      <c r="AE228" s="29"/>
      <c r="AF228" s="29"/>
      <c r="AG228" s="117"/>
      <c r="AH228" s="27"/>
      <c r="AI228" s="27"/>
      <c r="AJ228" s="27"/>
      <c r="AK228" s="117"/>
    </row>
    <row r="229" spans="1:37" x14ac:dyDescent="0.3">
      <c r="A229" s="10"/>
      <c r="B229" s="10"/>
      <c r="C229" s="3"/>
      <c r="D229" s="26"/>
      <c r="E229" s="3"/>
      <c r="F229" s="3"/>
      <c r="G229" s="27"/>
      <c r="H229" s="28"/>
      <c r="I229" s="28"/>
      <c r="J229" s="10"/>
      <c r="K229" s="10"/>
      <c r="L229" s="27"/>
      <c r="M229" s="27"/>
      <c r="N229" s="29"/>
      <c r="O229" s="29"/>
      <c r="P229" s="29"/>
      <c r="Q229" s="29"/>
      <c r="R229" s="29"/>
      <c r="S229" s="27"/>
      <c r="T229" s="28"/>
      <c r="U229" s="27"/>
      <c r="V229" s="28"/>
      <c r="W229" s="27"/>
      <c r="X229" s="10"/>
      <c r="Y229" s="27"/>
      <c r="Z229" s="10"/>
      <c r="AA229" s="27"/>
      <c r="AB229" s="10"/>
      <c r="AC229" s="117"/>
      <c r="AD229" s="29"/>
      <c r="AE229" s="29"/>
      <c r="AF229" s="29"/>
      <c r="AG229" s="117"/>
      <c r="AH229" s="27"/>
      <c r="AI229" s="27"/>
      <c r="AJ229" s="27"/>
      <c r="AK229" s="117"/>
    </row>
    <row r="230" spans="1:37" x14ac:dyDescent="0.3">
      <c r="A230" s="10"/>
      <c r="B230" s="10"/>
      <c r="C230" s="3"/>
      <c r="D230" s="26"/>
      <c r="E230" s="3"/>
      <c r="F230" s="3"/>
      <c r="G230" s="27"/>
      <c r="H230" s="28"/>
      <c r="I230" s="28"/>
      <c r="J230" s="10"/>
      <c r="K230" s="10"/>
      <c r="L230" s="27"/>
      <c r="M230" s="27"/>
      <c r="N230" s="29"/>
      <c r="O230" s="29"/>
      <c r="P230" s="29"/>
      <c r="Q230" s="29"/>
      <c r="R230" s="29"/>
      <c r="S230" s="27"/>
      <c r="T230" s="28"/>
      <c r="U230" s="27"/>
      <c r="V230" s="28"/>
      <c r="W230" s="27"/>
      <c r="X230" s="10"/>
      <c r="Y230" s="27"/>
      <c r="Z230" s="10"/>
      <c r="AA230" s="27"/>
      <c r="AB230" s="10"/>
      <c r="AC230" s="117"/>
      <c r="AD230" s="29"/>
      <c r="AE230" s="29"/>
      <c r="AF230" s="29"/>
      <c r="AG230" s="117"/>
      <c r="AH230" s="27"/>
      <c r="AI230" s="27"/>
      <c r="AJ230" s="27"/>
      <c r="AK230" s="117"/>
    </row>
    <row r="231" spans="1:37" x14ac:dyDescent="0.3">
      <c r="A231" s="10"/>
      <c r="B231" s="10"/>
      <c r="C231" s="3"/>
      <c r="D231" s="26"/>
      <c r="E231" s="3"/>
      <c r="F231" s="3"/>
      <c r="G231" s="27"/>
      <c r="H231" s="28"/>
      <c r="I231" s="28"/>
      <c r="J231" s="10"/>
      <c r="K231" s="10"/>
      <c r="L231" s="27"/>
      <c r="M231" s="27"/>
      <c r="N231" s="29"/>
      <c r="O231" s="29"/>
      <c r="P231" s="29"/>
      <c r="Q231" s="29"/>
      <c r="R231" s="29"/>
      <c r="S231" s="27"/>
      <c r="T231" s="28"/>
      <c r="U231" s="27"/>
      <c r="V231" s="28"/>
      <c r="W231" s="27"/>
      <c r="X231" s="10"/>
      <c r="Y231" s="27"/>
      <c r="Z231" s="10"/>
      <c r="AA231" s="27"/>
      <c r="AB231" s="10"/>
      <c r="AC231" s="117"/>
      <c r="AD231" s="29"/>
      <c r="AE231" s="29"/>
      <c r="AF231" s="29"/>
      <c r="AG231" s="117"/>
      <c r="AH231" s="27"/>
      <c r="AI231" s="27"/>
      <c r="AJ231" s="27"/>
      <c r="AK231" s="117"/>
    </row>
    <row r="232" spans="1:37" x14ac:dyDescent="0.3">
      <c r="A232" s="10"/>
      <c r="B232" s="10"/>
      <c r="C232" s="3"/>
      <c r="D232" s="26"/>
      <c r="E232" s="3"/>
      <c r="F232" s="3"/>
      <c r="G232" s="27"/>
      <c r="H232" s="28"/>
      <c r="I232" s="28"/>
      <c r="J232" s="10"/>
      <c r="K232" s="10"/>
      <c r="L232" s="27"/>
      <c r="M232" s="27"/>
      <c r="N232" s="29"/>
      <c r="O232" s="29"/>
      <c r="P232" s="29"/>
      <c r="Q232" s="29"/>
      <c r="R232" s="29"/>
      <c r="S232" s="27"/>
      <c r="T232" s="28"/>
      <c r="U232" s="27"/>
      <c r="V232" s="28"/>
      <c r="W232" s="27"/>
      <c r="X232" s="10"/>
      <c r="Y232" s="27"/>
      <c r="Z232" s="10"/>
      <c r="AA232" s="27"/>
      <c r="AB232" s="10"/>
      <c r="AC232" s="117"/>
      <c r="AD232" s="29"/>
      <c r="AE232" s="29"/>
      <c r="AF232" s="29"/>
      <c r="AG232" s="117"/>
      <c r="AH232" s="27"/>
      <c r="AI232" s="27"/>
      <c r="AJ232" s="27"/>
      <c r="AK232" s="117"/>
    </row>
    <row r="233" spans="1:37" x14ac:dyDescent="0.3">
      <c r="A233" s="10"/>
      <c r="B233" s="10"/>
      <c r="C233" s="3"/>
      <c r="D233" s="26"/>
      <c r="E233" s="3"/>
      <c r="F233" s="3"/>
      <c r="G233" s="27"/>
      <c r="H233" s="28"/>
      <c r="I233" s="28"/>
      <c r="J233" s="10"/>
      <c r="K233" s="10"/>
      <c r="L233" s="27"/>
      <c r="M233" s="27"/>
      <c r="N233" s="29"/>
      <c r="O233" s="29"/>
      <c r="P233" s="29"/>
      <c r="Q233" s="29"/>
      <c r="R233" s="29"/>
      <c r="S233" s="27"/>
      <c r="T233" s="28"/>
      <c r="U233" s="27"/>
      <c r="V233" s="28"/>
      <c r="W233" s="27"/>
      <c r="X233" s="10"/>
      <c r="Y233" s="27"/>
      <c r="Z233" s="10"/>
      <c r="AA233" s="27"/>
      <c r="AB233" s="10"/>
      <c r="AC233" s="117"/>
      <c r="AD233" s="29"/>
      <c r="AE233" s="29"/>
      <c r="AF233" s="29"/>
      <c r="AG233" s="117"/>
      <c r="AH233" s="27"/>
      <c r="AI233" s="27"/>
      <c r="AJ233" s="27"/>
      <c r="AK233" s="117"/>
    </row>
    <row r="234" spans="1:37" x14ac:dyDescent="0.3">
      <c r="A234" s="10"/>
      <c r="B234" s="10"/>
      <c r="C234" s="3"/>
      <c r="D234" s="26"/>
      <c r="E234" s="3"/>
      <c r="F234" s="3"/>
      <c r="G234" s="27"/>
      <c r="H234" s="28"/>
      <c r="I234" s="28"/>
      <c r="J234" s="10"/>
      <c r="K234" s="10"/>
      <c r="L234" s="27"/>
      <c r="M234" s="27"/>
      <c r="N234" s="29"/>
      <c r="O234" s="29"/>
      <c r="P234" s="29"/>
      <c r="Q234" s="29"/>
      <c r="R234" s="29"/>
      <c r="S234" s="27"/>
      <c r="T234" s="28"/>
      <c r="U234" s="27"/>
      <c r="V234" s="28"/>
      <c r="W234" s="27"/>
      <c r="X234" s="10"/>
      <c r="Y234" s="27"/>
      <c r="Z234" s="10"/>
      <c r="AA234" s="27"/>
      <c r="AB234" s="10"/>
      <c r="AC234" s="117"/>
      <c r="AD234" s="29"/>
      <c r="AE234" s="29"/>
      <c r="AF234" s="29"/>
      <c r="AG234" s="117"/>
      <c r="AH234" s="27"/>
      <c r="AI234" s="27"/>
      <c r="AJ234" s="27"/>
      <c r="AK234" s="117"/>
    </row>
    <row r="235" spans="1:37" x14ac:dyDescent="0.3">
      <c r="A235" s="10"/>
      <c r="B235" s="10"/>
      <c r="C235" s="3"/>
      <c r="D235" s="26"/>
      <c r="E235" s="3"/>
      <c r="F235" s="3"/>
      <c r="G235" s="27"/>
      <c r="H235" s="28"/>
      <c r="I235" s="28"/>
      <c r="J235" s="10"/>
      <c r="K235" s="10"/>
      <c r="L235" s="27"/>
      <c r="M235" s="27"/>
      <c r="N235" s="29"/>
      <c r="O235" s="29"/>
      <c r="P235" s="29"/>
      <c r="Q235" s="29"/>
      <c r="R235" s="29"/>
      <c r="S235" s="27"/>
      <c r="T235" s="28"/>
      <c r="U235" s="27"/>
      <c r="V235" s="28"/>
      <c r="W235" s="27"/>
      <c r="X235" s="10"/>
      <c r="Y235" s="27"/>
      <c r="Z235" s="10"/>
      <c r="AA235" s="27"/>
      <c r="AB235" s="10"/>
      <c r="AC235" s="117"/>
      <c r="AD235" s="29"/>
      <c r="AE235" s="29"/>
      <c r="AF235" s="29"/>
      <c r="AG235" s="117"/>
      <c r="AH235" s="27"/>
      <c r="AI235" s="27"/>
      <c r="AJ235" s="27"/>
      <c r="AK235" s="117"/>
    </row>
    <row r="236" spans="1:37" x14ac:dyDescent="0.3">
      <c r="A236" s="10"/>
      <c r="B236" s="10"/>
      <c r="C236" s="3"/>
      <c r="D236" s="26"/>
      <c r="E236" s="3"/>
      <c r="F236" s="3"/>
      <c r="G236" s="27"/>
      <c r="H236" s="28"/>
      <c r="I236" s="28"/>
      <c r="J236" s="10"/>
      <c r="K236" s="10"/>
      <c r="L236" s="27"/>
      <c r="M236" s="27"/>
      <c r="N236" s="29"/>
      <c r="O236" s="29"/>
      <c r="P236" s="29"/>
      <c r="Q236" s="29"/>
      <c r="R236" s="29"/>
      <c r="S236" s="27"/>
      <c r="T236" s="28"/>
      <c r="U236" s="27"/>
      <c r="V236" s="28"/>
      <c r="W236" s="27"/>
      <c r="X236" s="10"/>
      <c r="Y236" s="27"/>
      <c r="Z236" s="10"/>
      <c r="AA236" s="27"/>
      <c r="AB236" s="10"/>
      <c r="AC236" s="117"/>
      <c r="AD236" s="29"/>
      <c r="AE236" s="29"/>
      <c r="AF236" s="29"/>
      <c r="AG236" s="117"/>
      <c r="AH236" s="27"/>
      <c r="AI236" s="27"/>
      <c r="AJ236" s="27"/>
      <c r="AK236" s="117"/>
    </row>
    <row r="237" spans="1:37" x14ac:dyDescent="0.3">
      <c r="A237" s="10"/>
      <c r="B237" s="10"/>
      <c r="C237" s="3"/>
      <c r="D237" s="26"/>
      <c r="E237" s="3"/>
      <c r="F237" s="3"/>
      <c r="G237" s="27"/>
      <c r="H237" s="28"/>
      <c r="I237" s="28"/>
      <c r="J237" s="10"/>
      <c r="K237" s="10"/>
      <c r="L237" s="27"/>
      <c r="M237" s="27"/>
      <c r="N237" s="29"/>
      <c r="O237" s="29"/>
      <c r="P237" s="29"/>
      <c r="Q237" s="29"/>
      <c r="R237" s="29"/>
      <c r="S237" s="27"/>
      <c r="T237" s="28"/>
      <c r="U237" s="27"/>
      <c r="V237" s="28"/>
      <c r="W237" s="27"/>
      <c r="X237" s="10"/>
      <c r="Y237" s="27"/>
      <c r="Z237" s="10"/>
      <c r="AA237" s="27"/>
      <c r="AB237" s="10"/>
      <c r="AC237" s="117"/>
      <c r="AD237" s="29"/>
      <c r="AE237" s="29"/>
      <c r="AF237" s="29"/>
      <c r="AG237" s="117" t="s">
        <v>31</v>
      </c>
      <c r="AH237" s="27"/>
      <c r="AI237" s="27"/>
      <c r="AJ237" s="27"/>
      <c r="AK237" s="117"/>
    </row>
    <row r="238" spans="1:37" x14ac:dyDescent="0.3">
      <c r="A238" s="10"/>
      <c r="B238" s="10"/>
      <c r="C238" s="3"/>
      <c r="D238" s="26"/>
      <c r="E238" s="3"/>
      <c r="F238" s="3"/>
      <c r="G238" s="27"/>
      <c r="H238" s="28"/>
      <c r="I238" s="28"/>
      <c r="J238" s="10"/>
      <c r="K238" s="10"/>
      <c r="L238" s="27"/>
      <c r="M238" s="27"/>
      <c r="N238" s="29"/>
      <c r="O238" s="29"/>
      <c r="P238" s="29"/>
      <c r="Q238" s="29"/>
      <c r="R238" s="29"/>
      <c r="S238" s="27"/>
      <c r="T238" s="28"/>
      <c r="U238" s="27"/>
      <c r="V238" s="28"/>
      <c r="W238" s="27"/>
      <c r="X238" s="10"/>
      <c r="Y238" s="27"/>
      <c r="Z238" s="10"/>
      <c r="AA238" s="27"/>
      <c r="AB238" s="10"/>
      <c r="AC238" s="117"/>
      <c r="AD238" s="29"/>
      <c r="AE238" s="29"/>
      <c r="AF238" s="29"/>
      <c r="AG238" s="117"/>
      <c r="AH238" s="27"/>
      <c r="AI238" s="27"/>
      <c r="AJ238" s="27"/>
      <c r="AK238" s="117"/>
    </row>
    <row r="239" spans="1:37" x14ac:dyDescent="0.3">
      <c r="A239" s="10"/>
      <c r="B239" s="10"/>
      <c r="C239" s="3"/>
      <c r="D239" s="26"/>
      <c r="E239" s="3"/>
      <c r="F239" s="3"/>
      <c r="G239" s="27"/>
      <c r="H239" s="28"/>
      <c r="I239" s="28"/>
      <c r="J239" s="10"/>
      <c r="K239" s="10"/>
      <c r="L239" s="27"/>
      <c r="M239" s="27"/>
      <c r="N239" s="29"/>
      <c r="O239" s="29"/>
      <c r="P239" s="29"/>
      <c r="Q239" s="29"/>
      <c r="R239" s="29"/>
      <c r="S239" s="27"/>
      <c r="T239" s="28"/>
      <c r="U239" s="27"/>
      <c r="V239" s="28"/>
      <c r="W239" s="27"/>
      <c r="X239" s="10"/>
      <c r="Y239" s="27"/>
      <c r="Z239" s="10"/>
      <c r="AA239" s="27"/>
      <c r="AB239" s="10"/>
      <c r="AC239" s="117"/>
      <c r="AD239" s="29"/>
      <c r="AE239" s="29"/>
      <c r="AF239" s="29"/>
      <c r="AG239" s="117"/>
      <c r="AH239" s="27"/>
      <c r="AI239" s="27"/>
      <c r="AJ239" s="27"/>
      <c r="AK239" s="117"/>
    </row>
    <row r="240" spans="1:37" x14ac:dyDescent="0.3">
      <c r="A240" s="10"/>
      <c r="B240" s="10"/>
      <c r="C240" s="3"/>
      <c r="D240" s="26"/>
      <c r="E240" s="3"/>
      <c r="F240" s="3"/>
      <c r="G240" s="27"/>
      <c r="H240" s="28"/>
      <c r="I240" s="28"/>
      <c r="J240" s="10"/>
      <c r="K240" s="10"/>
      <c r="L240" s="27"/>
      <c r="M240" s="27"/>
      <c r="N240" s="29"/>
      <c r="O240" s="29"/>
      <c r="P240" s="29"/>
      <c r="Q240" s="29"/>
      <c r="R240" s="29"/>
      <c r="S240" s="27"/>
      <c r="T240" s="28"/>
      <c r="U240" s="27"/>
      <c r="V240" s="28"/>
      <c r="W240" s="27"/>
      <c r="X240" s="10"/>
      <c r="Y240" s="27"/>
      <c r="Z240" s="10"/>
      <c r="AA240" s="27"/>
      <c r="AB240" s="10"/>
      <c r="AC240" s="117"/>
      <c r="AD240" s="29"/>
      <c r="AE240" s="29"/>
      <c r="AF240" s="29"/>
      <c r="AG240" s="117"/>
      <c r="AH240" s="27"/>
      <c r="AI240" s="27"/>
      <c r="AJ240" s="27"/>
      <c r="AK240" s="117"/>
    </row>
    <row r="241" spans="1:37" x14ac:dyDescent="0.3">
      <c r="A241" s="10"/>
      <c r="B241" s="10"/>
      <c r="C241" s="3"/>
      <c r="D241" s="26"/>
      <c r="E241" s="3"/>
      <c r="F241" s="3"/>
      <c r="G241" s="27"/>
      <c r="H241" s="28"/>
      <c r="I241" s="28"/>
      <c r="J241" s="10"/>
      <c r="K241" s="10"/>
      <c r="L241" s="27"/>
      <c r="M241" s="27"/>
      <c r="N241" s="29"/>
      <c r="O241" s="29"/>
      <c r="P241" s="29"/>
      <c r="Q241" s="29"/>
      <c r="R241" s="29"/>
      <c r="S241" s="27"/>
      <c r="T241" s="28"/>
      <c r="U241" s="27"/>
      <c r="V241" s="28"/>
      <c r="W241" s="27"/>
      <c r="X241" s="10"/>
      <c r="Y241" s="27"/>
      <c r="Z241" s="10"/>
      <c r="AA241" s="27"/>
      <c r="AB241" s="10"/>
      <c r="AC241" s="117"/>
      <c r="AD241" s="29"/>
      <c r="AE241" s="29"/>
      <c r="AF241" s="29"/>
      <c r="AG241" s="117"/>
      <c r="AH241" s="27"/>
      <c r="AI241" s="27"/>
      <c r="AJ241" s="27"/>
      <c r="AK241" s="117"/>
    </row>
    <row r="242" spans="1:37" x14ac:dyDescent="0.3">
      <c r="A242" s="10"/>
      <c r="B242" s="10"/>
      <c r="C242" s="3"/>
      <c r="D242" s="26"/>
      <c r="E242" s="3"/>
      <c r="F242" s="3"/>
      <c r="G242" s="27"/>
      <c r="H242" s="28"/>
      <c r="I242" s="28"/>
      <c r="J242" s="10"/>
      <c r="K242" s="10"/>
      <c r="L242" s="27"/>
      <c r="M242" s="27"/>
      <c r="N242" s="29"/>
      <c r="O242" s="29"/>
      <c r="P242" s="29"/>
      <c r="Q242" s="29"/>
      <c r="R242" s="29"/>
      <c r="S242" s="27"/>
      <c r="T242" s="28"/>
      <c r="U242" s="27"/>
      <c r="V242" s="28"/>
      <c r="W242" s="27"/>
      <c r="X242" s="10"/>
      <c r="Y242" s="27"/>
      <c r="Z242" s="10"/>
      <c r="AA242" s="27"/>
      <c r="AB242" s="10"/>
      <c r="AC242" s="117"/>
      <c r="AD242" s="29"/>
      <c r="AE242" s="29"/>
      <c r="AF242" s="29"/>
      <c r="AG242" s="117"/>
      <c r="AH242" s="27"/>
      <c r="AI242" s="27"/>
      <c r="AJ242" s="27"/>
      <c r="AK242" s="117"/>
    </row>
    <row r="243" spans="1:37" x14ac:dyDescent="0.3">
      <c r="A243" s="10"/>
      <c r="B243" s="10"/>
      <c r="C243" s="3"/>
      <c r="D243" s="26"/>
      <c r="E243" s="3"/>
      <c r="F243" s="3"/>
      <c r="G243" s="27"/>
      <c r="H243" s="28"/>
      <c r="I243" s="28"/>
      <c r="J243" s="10"/>
      <c r="K243" s="10"/>
      <c r="L243" s="27"/>
      <c r="M243" s="27"/>
      <c r="N243" s="29"/>
      <c r="O243" s="29"/>
      <c r="P243" s="29"/>
      <c r="Q243" s="29"/>
      <c r="R243" s="29"/>
      <c r="S243" s="27"/>
      <c r="T243" s="28"/>
      <c r="U243" s="27"/>
      <c r="V243" s="28"/>
      <c r="W243" s="27"/>
      <c r="X243" s="10"/>
      <c r="Y243" s="27"/>
      <c r="Z243" s="10"/>
      <c r="AA243" s="27"/>
      <c r="AB243" s="10"/>
      <c r="AC243" s="117"/>
      <c r="AD243" s="29"/>
      <c r="AE243" s="29"/>
      <c r="AF243" s="29"/>
      <c r="AG243" s="117"/>
      <c r="AH243" s="27"/>
      <c r="AI243" s="27"/>
      <c r="AJ243" s="27"/>
      <c r="AK243" s="117"/>
    </row>
    <row r="244" spans="1:37" x14ac:dyDescent="0.3">
      <c r="A244" s="10"/>
      <c r="B244" s="10"/>
      <c r="C244" s="3"/>
      <c r="D244" s="26"/>
      <c r="E244" s="3"/>
      <c r="F244" s="3"/>
      <c r="G244" s="27"/>
      <c r="H244" s="28"/>
      <c r="I244" s="28"/>
      <c r="J244" s="10"/>
      <c r="K244" s="10"/>
      <c r="L244" s="27"/>
      <c r="M244" s="27"/>
      <c r="N244" s="29"/>
      <c r="O244" s="29"/>
      <c r="P244" s="29"/>
      <c r="Q244" s="29"/>
      <c r="R244" s="29"/>
      <c r="S244" s="27"/>
      <c r="T244" s="28"/>
      <c r="U244" s="27"/>
      <c r="V244" s="28"/>
      <c r="W244" s="27"/>
      <c r="X244" s="10"/>
      <c r="Y244" s="27"/>
      <c r="Z244" s="10"/>
      <c r="AA244" s="27"/>
      <c r="AB244" s="10"/>
      <c r="AC244" s="117"/>
      <c r="AD244" s="29"/>
      <c r="AE244" s="29"/>
      <c r="AF244" s="29"/>
      <c r="AG244" s="117"/>
      <c r="AH244" s="27"/>
      <c r="AI244" s="27"/>
      <c r="AJ244" s="27"/>
      <c r="AK244" s="117"/>
    </row>
    <row r="245" spans="1:37" x14ac:dyDescent="0.3">
      <c r="A245" s="10"/>
      <c r="B245" s="10"/>
      <c r="C245" s="3"/>
      <c r="D245" s="26"/>
      <c r="E245" s="3"/>
      <c r="F245" s="3"/>
      <c r="G245" s="27"/>
      <c r="H245" s="28"/>
      <c r="I245" s="28"/>
      <c r="J245" s="10"/>
      <c r="K245" s="10"/>
      <c r="L245" s="27"/>
      <c r="M245" s="27"/>
      <c r="N245" s="29"/>
      <c r="O245" s="29"/>
      <c r="P245" s="29"/>
      <c r="Q245" s="29"/>
      <c r="R245" s="29"/>
      <c r="S245" s="27"/>
      <c r="T245" s="28"/>
      <c r="U245" s="27"/>
      <c r="V245" s="28"/>
      <c r="W245" s="27"/>
      <c r="X245" s="10"/>
      <c r="Y245" s="27"/>
      <c r="Z245" s="10"/>
      <c r="AA245" s="27"/>
      <c r="AB245" s="10"/>
      <c r="AC245" s="117"/>
      <c r="AD245" s="29"/>
      <c r="AE245" s="29"/>
      <c r="AF245" s="29"/>
      <c r="AG245" s="117"/>
      <c r="AH245" s="27"/>
      <c r="AI245" s="27"/>
      <c r="AJ245" s="27"/>
      <c r="AK245" s="117"/>
    </row>
    <row r="246" spans="1:37" x14ac:dyDescent="0.3">
      <c r="A246" s="10"/>
      <c r="B246" s="10"/>
      <c r="C246" s="3"/>
      <c r="D246" s="26"/>
      <c r="E246" s="3"/>
      <c r="F246" s="3"/>
      <c r="G246" s="27"/>
      <c r="H246" s="28"/>
      <c r="I246" s="28"/>
      <c r="J246" s="10"/>
      <c r="K246" s="10"/>
      <c r="L246" s="27"/>
      <c r="M246" s="27"/>
      <c r="N246" s="29"/>
      <c r="O246" s="29"/>
      <c r="P246" s="29"/>
      <c r="Q246" s="29"/>
      <c r="R246" s="29"/>
      <c r="S246" s="27"/>
      <c r="T246" s="28"/>
      <c r="U246" s="27"/>
      <c r="V246" s="28"/>
      <c r="W246" s="27"/>
      <c r="X246" s="10"/>
      <c r="Y246" s="27"/>
      <c r="Z246" s="10"/>
      <c r="AA246" s="27"/>
      <c r="AB246" s="10"/>
      <c r="AC246" s="117"/>
      <c r="AD246" s="29"/>
      <c r="AE246" s="29"/>
      <c r="AF246" s="29"/>
      <c r="AG246" s="117"/>
      <c r="AH246" s="27"/>
      <c r="AI246" s="27"/>
      <c r="AJ246" s="27"/>
      <c r="AK246" s="117"/>
    </row>
    <row r="247" spans="1:37" x14ac:dyDescent="0.3">
      <c r="A247" s="10"/>
      <c r="B247" s="10"/>
      <c r="C247" s="3"/>
      <c r="D247" s="26"/>
      <c r="E247" s="3"/>
      <c r="F247" s="3"/>
      <c r="G247" s="27"/>
      <c r="H247" s="28"/>
      <c r="I247" s="28"/>
      <c r="J247" s="10"/>
      <c r="K247" s="10"/>
      <c r="L247" s="27"/>
      <c r="M247" s="27"/>
      <c r="N247" s="29"/>
      <c r="O247" s="29"/>
      <c r="P247" s="29"/>
      <c r="Q247" s="29"/>
      <c r="R247" s="29"/>
      <c r="S247" s="27"/>
      <c r="T247" s="28"/>
      <c r="U247" s="27"/>
      <c r="V247" s="28"/>
      <c r="W247" s="27"/>
      <c r="X247" s="10"/>
      <c r="Y247" s="27"/>
      <c r="Z247" s="10"/>
      <c r="AA247" s="27"/>
      <c r="AB247" s="10"/>
      <c r="AC247" s="117"/>
      <c r="AD247" s="29"/>
      <c r="AE247" s="29"/>
      <c r="AF247" s="29"/>
      <c r="AG247" s="117"/>
      <c r="AH247" s="27"/>
      <c r="AI247" s="27"/>
      <c r="AJ247" s="27"/>
      <c r="AK247" s="117"/>
    </row>
    <row r="248" spans="1:37" x14ac:dyDescent="0.3">
      <c r="A248" s="10"/>
      <c r="B248" s="10"/>
      <c r="C248" s="3"/>
      <c r="D248" s="26"/>
      <c r="E248" s="3"/>
      <c r="F248" s="3"/>
      <c r="G248" s="27"/>
      <c r="H248" s="28"/>
      <c r="I248" s="28"/>
      <c r="J248" s="10"/>
      <c r="K248" s="10"/>
      <c r="L248" s="27"/>
      <c r="M248" s="27"/>
      <c r="N248" s="29"/>
      <c r="O248" s="29"/>
      <c r="P248" s="29"/>
      <c r="Q248" s="29"/>
      <c r="R248" s="29"/>
      <c r="S248" s="27"/>
      <c r="T248" s="28"/>
      <c r="U248" s="27"/>
      <c r="V248" s="28"/>
      <c r="W248" s="27"/>
      <c r="X248" s="10"/>
      <c r="Y248" s="27"/>
      <c r="Z248" s="10"/>
      <c r="AA248" s="27"/>
      <c r="AB248" s="10"/>
      <c r="AC248" s="117"/>
      <c r="AD248" s="29"/>
      <c r="AE248" s="29"/>
      <c r="AF248" s="29"/>
      <c r="AG248" s="117"/>
      <c r="AH248" s="27"/>
      <c r="AI248" s="27"/>
      <c r="AJ248" s="27"/>
      <c r="AK248" s="117"/>
    </row>
    <row r="249" spans="1:37" x14ac:dyDescent="0.3">
      <c r="A249" s="10"/>
      <c r="B249" s="10"/>
      <c r="C249" s="3"/>
      <c r="D249" s="26"/>
      <c r="E249" s="3"/>
      <c r="F249" s="3"/>
      <c r="G249" s="27"/>
      <c r="H249" s="28"/>
      <c r="I249" s="28"/>
      <c r="J249" s="10"/>
      <c r="K249" s="10"/>
      <c r="L249" s="27"/>
      <c r="M249" s="27"/>
      <c r="N249" s="29"/>
      <c r="O249" s="29"/>
      <c r="P249" s="29"/>
      <c r="Q249" s="29"/>
      <c r="R249" s="29"/>
      <c r="S249" s="27"/>
      <c r="T249" s="28"/>
      <c r="U249" s="27"/>
      <c r="V249" s="28"/>
      <c r="W249" s="27"/>
      <c r="X249" s="10"/>
      <c r="Y249" s="27"/>
      <c r="Z249" s="10"/>
      <c r="AA249" s="27"/>
      <c r="AB249" s="10"/>
      <c r="AC249" s="117"/>
      <c r="AD249" s="29"/>
      <c r="AE249" s="29"/>
      <c r="AF249" s="29"/>
      <c r="AG249" s="117"/>
      <c r="AH249" s="27"/>
      <c r="AI249" s="27"/>
      <c r="AJ249" s="27"/>
      <c r="AK249" s="117"/>
    </row>
    <row r="250" spans="1:37" x14ac:dyDescent="0.3">
      <c r="A250" s="10"/>
      <c r="B250" s="10"/>
      <c r="C250" s="3"/>
      <c r="D250" s="26"/>
      <c r="E250" s="3"/>
      <c r="F250" s="3"/>
      <c r="G250" s="27"/>
      <c r="H250" s="28"/>
      <c r="I250" s="28"/>
      <c r="J250" s="10"/>
      <c r="K250" s="10"/>
      <c r="L250" s="27"/>
      <c r="M250" s="27"/>
      <c r="N250" s="29"/>
      <c r="O250" s="29"/>
      <c r="P250" s="29"/>
      <c r="Q250" s="29"/>
      <c r="R250" s="29"/>
      <c r="S250" s="27"/>
      <c r="T250" s="28"/>
      <c r="U250" s="27"/>
      <c r="V250" s="28"/>
      <c r="W250" s="27"/>
      <c r="X250" s="10"/>
      <c r="Y250" s="27"/>
      <c r="Z250" s="10"/>
      <c r="AA250" s="27"/>
      <c r="AB250" s="10"/>
      <c r="AC250" s="117"/>
      <c r="AD250" s="29"/>
      <c r="AE250" s="29"/>
      <c r="AF250" s="29"/>
      <c r="AG250" s="117"/>
      <c r="AH250" s="27"/>
      <c r="AI250" s="27"/>
      <c r="AJ250" s="27"/>
      <c r="AK250" s="117"/>
    </row>
    <row r="251" spans="1:37" x14ac:dyDescent="0.3">
      <c r="A251" s="10"/>
      <c r="B251" s="10"/>
      <c r="C251" s="3"/>
      <c r="D251" s="26"/>
      <c r="E251" s="3"/>
      <c r="F251" s="3"/>
      <c r="G251" s="27"/>
      <c r="H251" s="28"/>
      <c r="I251" s="28"/>
      <c r="J251" s="10"/>
      <c r="K251" s="10"/>
      <c r="L251" s="27"/>
      <c r="M251" s="27"/>
      <c r="N251" s="29"/>
      <c r="O251" s="29"/>
      <c r="P251" s="29"/>
      <c r="Q251" s="29"/>
      <c r="R251" s="29"/>
      <c r="S251" s="27"/>
      <c r="T251" s="28"/>
      <c r="U251" s="27"/>
      <c r="V251" s="28"/>
      <c r="W251" s="27"/>
      <c r="X251" s="10"/>
      <c r="Y251" s="27"/>
      <c r="Z251" s="10"/>
      <c r="AA251" s="27"/>
      <c r="AB251" s="10"/>
      <c r="AC251" s="117"/>
      <c r="AD251" s="29"/>
      <c r="AE251" s="29"/>
      <c r="AF251" s="29"/>
      <c r="AG251" s="117"/>
      <c r="AH251" s="27"/>
      <c r="AI251" s="27"/>
      <c r="AJ251" s="27"/>
      <c r="AK251" s="117"/>
    </row>
    <row r="252" spans="1:37" x14ac:dyDescent="0.3">
      <c r="A252" s="10"/>
      <c r="B252" s="10"/>
      <c r="C252" s="3"/>
      <c r="D252" s="26"/>
      <c r="E252" s="3"/>
      <c r="F252" s="3"/>
      <c r="G252" s="27"/>
      <c r="H252" s="28"/>
      <c r="I252" s="28"/>
      <c r="J252" s="10"/>
      <c r="K252" s="10"/>
      <c r="L252" s="27"/>
      <c r="M252" s="27"/>
      <c r="N252" s="29"/>
      <c r="O252" s="29"/>
      <c r="P252" s="29"/>
      <c r="Q252" s="29"/>
      <c r="R252" s="29"/>
      <c r="S252" s="27"/>
      <c r="T252" s="28"/>
      <c r="U252" s="27"/>
      <c r="V252" s="28"/>
      <c r="W252" s="27"/>
      <c r="X252" s="10"/>
      <c r="Y252" s="27"/>
      <c r="Z252" s="10"/>
      <c r="AA252" s="27"/>
      <c r="AB252" s="10"/>
      <c r="AC252" s="117"/>
      <c r="AD252" s="29"/>
      <c r="AE252" s="29"/>
      <c r="AF252" s="29"/>
      <c r="AG252" s="117"/>
      <c r="AH252" s="27"/>
      <c r="AI252" s="27"/>
      <c r="AJ252" s="27"/>
      <c r="AK252" s="117"/>
    </row>
    <row r="253" spans="1:37" x14ac:dyDescent="0.3">
      <c r="A253" s="10"/>
      <c r="B253" s="10"/>
      <c r="C253" s="3"/>
      <c r="D253" s="26"/>
      <c r="E253" s="3"/>
      <c r="F253" s="3"/>
      <c r="G253" s="27"/>
      <c r="H253" s="28"/>
      <c r="I253" s="28"/>
      <c r="J253" s="10"/>
      <c r="K253" s="10"/>
      <c r="L253" s="27"/>
      <c r="M253" s="27"/>
      <c r="N253" s="29"/>
      <c r="O253" s="29"/>
      <c r="P253" s="29"/>
      <c r="Q253" s="29"/>
      <c r="R253" s="29"/>
      <c r="S253" s="27"/>
      <c r="T253" s="28"/>
      <c r="U253" s="27"/>
      <c r="V253" s="28"/>
      <c r="W253" s="27"/>
      <c r="X253" s="10"/>
      <c r="Y253" s="27"/>
      <c r="Z253" s="10"/>
      <c r="AA253" s="27"/>
      <c r="AB253" s="10"/>
      <c r="AC253" s="117"/>
      <c r="AD253" s="29"/>
      <c r="AE253" s="29"/>
      <c r="AF253" s="29"/>
      <c r="AG253" s="117"/>
      <c r="AH253" s="27"/>
      <c r="AI253" s="27"/>
      <c r="AJ253" s="27"/>
      <c r="AK253" s="117"/>
    </row>
    <row r="254" spans="1:37" x14ac:dyDescent="0.3">
      <c r="A254" s="10"/>
      <c r="B254" s="10"/>
      <c r="C254" s="3"/>
      <c r="D254" s="26"/>
      <c r="E254" s="3"/>
      <c r="F254" s="3"/>
      <c r="G254" s="27"/>
      <c r="H254" s="28"/>
      <c r="I254" s="28"/>
      <c r="J254" s="10"/>
      <c r="K254" s="10"/>
      <c r="L254" s="27"/>
      <c r="M254" s="27"/>
      <c r="N254" s="29"/>
      <c r="O254" s="29"/>
      <c r="P254" s="29"/>
      <c r="Q254" s="29"/>
      <c r="R254" s="29"/>
      <c r="S254" s="27"/>
      <c r="T254" s="28"/>
      <c r="U254" s="27"/>
      <c r="V254" s="28"/>
      <c r="W254" s="27"/>
      <c r="X254" s="10"/>
      <c r="Y254" s="27"/>
      <c r="Z254" s="10"/>
      <c r="AA254" s="27"/>
      <c r="AB254" s="10"/>
      <c r="AC254" s="117"/>
      <c r="AD254" s="29"/>
      <c r="AE254" s="29"/>
      <c r="AF254" s="29"/>
      <c r="AG254" s="117"/>
      <c r="AH254" s="27"/>
      <c r="AI254" s="27"/>
      <c r="AJ254" s="27"/>
      <c r="AK254" s="117"/>
    </row>
    <row r="255" spans="1:37" x14ac:dyDescent="0.3">
      <c r="A255" s="10"/>
      <c r="B255" s="10"/>
      <c r="C255" s="3"/>
      <c r="D255" s="26"/>
      <c r="E255" s="3"/>
      <c r="F255" s="3"/>
      <c r="G255" s="27"/>
      <c r="H255" s="28"/>
      <c r="I255" s="28"/>
      <c r="J255" s="10"/>
      <c r="K255" s="10"/>
      <c r="L255" s="27"/>
      <c r="M255" s="27"/>
      <c r="N255" s="29"/>
      <c r="O255" s="29"/>
      <c r="P255" s="29"/>
      <c r="Q255" s="29"/>
      <c r="R255" s="29"/>
      <c r="S255" s="27"/>
      <c r="T255" s="28"/>
      <c r="U255" s="27"/>
      <c r="V255" s="28"/>
      <c r="W255" s="27"/>
      <c r="X255" s="10"/>
      <c r="Y255" s="27"/>
      <c r="Z255" s="10"/>
      <c r="AA255" s="27"/>
      <c r="AB255" s="10"/>
      <c r="AC255" s="117"/>
      <c r="AD255" s="29"/>
      <c r="AE255" s="29"/>
      <c r="AF255" s="29"/>
      <c r="AG255" s="117"/>
      <c r="AH255" s="27"/>
      <c r="AI255" s="27"/>
      <c r="AJ255" s="27"/>
      <c r="AK255" s="117"/>
    </row>
    <row r="256" spans="1:37" x14ac:dyDescent="0.3">
      <c r="A256" s="10"/>
      <c r="B256" s="10"/>
      <c r="C256" s="3"/>
      <c r="D256" s="26"/>
      <c r="E256" s="3"/>
      <c r="F256" s="3"/>
      <c r="G256" s="27"/>
      <c r="H256" s="28"/>
      <c r="I256" s="28"/>
      <c r="J256" s="10"/>
      <c r="K256" s="10"/>
      <c r="L256" s="27"/>
      <c r="M256" s="27"/>
      <c r="N256" s="29"/>
      <c r="O256" s="29"/>
      <c r="P256" s="29"/>
      <c r="Q256" s="29"/>
      <c r="R256" s="29"/>
      <c r="S256" s="27"/>
      <c r="T256" s="28"/>
      <c r="U256" s="27"/>
      <c r="V256" s="28"/>
      <c r="W256" s="27"/>
      <c r="X256" s="10"/>
      <c r="Y256" s="27"/>
      <c r="Z256" s="10"/>
      <c r="AA256" s="27"/>
      <c r="AB256" s="10"/>
      <c r="AC256" s="117"/>
      <c r="AD256" s="29"/>
      <c r="AE256" s="29"/>
      <c r="AF256" s="29"/>
      <c r="AG256" s="117"/>
      <c r="AH256" s="27"/>
      <c r="AI256" s="27"/>
      <c r="AJ256" s="27"/>
      <c r="AK256" s="117"/>
    </row>
    <row r="257" spans="1:37" x14ac:dyDescent="0.3">
      <c r="A257" s="10"/>
      <c r="B257" s="10"/>
      <c r="C257" s="3"/>
      <c r="D257" s="26"/>
      <c r="E257" s="3"/>
      <c r="F257" s="3"/>
      <c r="G257" s="27"/>
      <c r="H257" s="28"/>
      <c r="I257" s="28"/>
      <c r="J257" s="10"/>
      <c r="K257" s="10"/>
      <c r="L257" s="27"/>
      <c r="M257" s="27"/>
      <c r="N257" s="29"/>
      <c r="O257" s="29"/>
      <c r="P257" s="29"/>
      <c r="Q257" s="29"/>
      <c r="R257" s="29"/>
      <c r="S257" s="27"/>
      <c r="T257" s="28"/>
      <c r="U257" s="27"/>
      <c r="V257" s="28"/>
      <c r="W257" s="27"/>
      <c r="X257" s="10"/>
      <c r="Y257" s="27"/>
      <c r="Z257" s="10"/>
      <c r="AA257" s="27"/>
      <c r="AB257" s="10"/>
      <c r="AC257" s="117"/>
      <c r="AD257" s="29"/>
      <c r="AE257" s="29"/>
      <c r="AF257" s="29"/>
      <c r="AG257" s="117"/>
      <c r="AH257" s="27"/>
      <c r="AI257" s="27"/>
      <c r="AJ257" s="27"/>
      <c r="AK257" s="117"/>
    </row>
    <row r="258" spans="1:37" x14ac:dyDescent="0.3">
      <c r="A258" s="10"/>
      <c r="B258" s="10"/>
      <c r="C258" s="3"/>
      <c r="D258" s="26"/>
      <c r="E258" s="3"/>
      <c r="F258" s="3"/>
      <c r="G258" s="27"/>
      <c r="H258" s="28"/>
      <c r="I258" s="28"/>
      <c r="J258" s="10"/>
      <c r="K258" s="10"/>
      <c r="L258" s="27"/>
      <c r="M258" s="27"/>
      <c r="N258" s="29"/>
      <c r="O258" s="29"/>
      <c r="P258" s="29"/>
      <c r="Q258" s="29"/>
      <c r="R258" s="29"/>
      <c r="S258" s="27"/>
      <c r="T258" s="28"/>
      <c r="U258" s="27"/>
      <c r="V258" s="28"/>
      <c r="W258" s="27"/>
      <c r="X258" s="10"/>
      <c r="Y258" s="27"/>
      <c r="Z258" s="10"/>
      <c r="AA258" s="27"/>
      <c r="AB258" s="10"/>
      <c r="AC258" s="117"/>
      <c r="AD258" s="29"/>
      <c r="AE258" s="29"/>
      <c r="AF258" s="29"/>
      <c r="AG258" s="117"/>
      <c r="AH258" s="27"/>
      <c r="AI258" s="27"/>
      <c r="AJ258" s="27"/>
      <c r="AK258" s="117"/>
    </row>
    <row r="259" spans="1:37" x14ac:dyDescent="0.3">
      <c r="A259" s="10"/>
      <c r="B259" s="10"/>
      <c r="C259" s="3"/>
      <c r="D259" s="26"/>
      <c r="E259" s="3"/>
      <c r="F259" s="3"/>
      <c r="G259" s="27"/>
      <c r="H259" s="28"/>
      <c r="I259" s="28"/>
      <c r="J259" s="10"/>
      <c r="K259" s="10"/>
      <c r="L259" s="27"/>
      <c r="M259" s="27"/>
      <c r="N259" s="29"/>
      <c r="O259" s="29"/>
      <c r="P259" s="29"/>
      <c r="Q259" s="29"/>
      <c r="R259" s="29"/>
      <c r="S259" s="27"/>
      <c r="T259" s="28"/>
      <c r="U259" s="27"/>
      <c r="V259" s="28"/>
      <c r="W259" s="27"/>
      <c r="X259" s="10"/>
      <c r="Y259" s="27"/>
      <c r="Z259" s="10"/>
      <c r="AA259" s="27"/>
      <c r="AB259" s="10"/>
      <c r="AC259" s="117"/>
      <c r="AD259" s="29"/>
      <c r="AE259" s="29"/>
      <c r="AF259" s="29"/>
      <c r="AG259" s="117"/>
      <c r="AH259" s="27"/>
      <c r="AI259" s="27"/>
      <c r="AJ259" s="27"/>
      <c r="AK259" s="117"/>
    </row>
    <row r="260" spans="1:37" x14ac:dyDescent="0.3">
      <c r="A260" s="10"/>
      <c r="B260" s="10"/>
      <c r="C260" s="3"/>
      <c r="D260" s="26"/>
      <c r="E260" s="3"/>
      <c r="F260" s="3"/>
      <c r="G260" s="27"/>
      <c r="H260" s="28"/>
      <c r="I260" s="28"/>
      <c r="J260" s="10"/>
      <c r="K260" s="10"/>
      <c r="L260" s="27"/>
      <c r="M260" s="27"/>
      <c r="N260" s="29"/>
      <c r="O260" s="29"/>
      <c r="P260" s="29"/>
      <c r="Q260" s="29"/>
      <c r="R260" s="29"/>
      <c r="S260" s="27"/>
      <c r="T260" s="28"/>
      <c r="U260" s="27"/>
      <c r="V260" s="28"/>
      <c r="W260" s="27"/>
      <c r="X260" s="10"/>
      <c r="Y260" s="27"/>
      <c r="Z260" s="10"/>
      <c r="AA260" s="27"/>
      <c r="AB260" s="10"/>
      <c r="AC260" s="117"/>
      <c r="AD260" s="29"/>
      <c r="AE260" s="29"/>
      <c r="AF260" s="29"/>
      <c r="AG260" s="117"/>
      <c r="AH260" s="27"/>
      <c r="AI260" s="27"/>
      <c r="AJ260" s="27"/>
      <c r="AK260" s="117"/>
    </row>
    <row r="261" spans="1:37" x14ac:dyDescent="0.3">
      <c r="A261" s="10"/>
      <c r="B261" s="10"/>
      <c r="C261" s="3"/>
      <c r="D261" s="26"/>
      <c r="E261" s="3"/>
      <c r="F261" s="3"/>
      <c r="G261" s="27"/>
      <c r="H261" s="28"/>
      <c r="I261" s="28"/>
      <c r="J261" s="10"/>
      <c r="K261" s="10"/>
      <c r="L261" s="27"/>
      <c r="M261" s="27"/>
      <c r="N261" s="29"/>
      <c r="O261" s="29"/>
      <c r="P261" s="29"/>
      <c r="Q261" s="29"/>
      <c r="R261" s="29"/>
      <c r="S261" s="27"/>
      <c r="T261" s="28"/>
      <c r="U261" s="27"/>
      <c r="V261" s="28"/>
      <c r="W261" s="27"/>
      <c r="X261" s="10"/>
      <c r="Y261" s="27"/>
      <c r="Z261" s="10"/>
      <c r="AA261" s="27"/>
      <c r="AB261" s="10"/>
      <c r="AC261" s="117"/>
      <c r="AD261" s="29"/>
      <c r="AE261" s="29"/>
      <c r="AF261" s="29"/>
      <c r="AG261" s="117"/>
      <c r="AH261" s="27"/>
      <c r="AI261" s="27"/>
      <c r="AJ261" s="27"/>
      <c r="AK261" s="117"/>
    </row>
    <row r="262" spans="1:37" x14ac:dyDescent="0.3">
      <c r="A262" s="10"/>
      <c r="B262" s="10"/>
      <c r="C262" s="3"/>
      <c r="D262" s="26"/>
      <c r="E262" s="3"/>
      <c r="F262" s="3"/>
      <c r="G262" s="27"/>
      <c r="H262" s="28"/>
      <c r="I262" s="28"/>
      <c r="J262" s="10"/>
      <c r="K262" s="10"/>
      <c r="L262" s="27"/>
      <c r="M262" s="27"/>
      <c r="N262" s="29"/>
      <c r="O262" s="29"/>
      <c r="P262" s="29"/>
      <c r="Q262" s="29"/>
      <c r="R262" s="29"/>
      <c r="S262" s="27"/>
      <c r="T262" s="28"/>
      <c r="U262" s="27"/>
      <c r="V262" s="28"/>
      <c r="W262" s="27"/>
      <c r="X262" s="10"/>
      <c r="Y262" s="27"/>
      <c r="Z262" s="10"/>
      <c r="AA262" s="27"/>
      <c r="AB262" s="10"/>
      <c r="AC262" s="117"/>
      <c r="AD262" s="29"/>
      <c r="AE262" s="29"/>
      <c r="AF262" s="29"/>
      <c r="AG262" s="117"/>
      <c r="AH262" s="27"/>
      <c r="AI262" s="27"/>
      <c r="AJ262" s="27"/>
      <c r="AK262" s="117"/>
    </row>
    <row r="263" spans="1:37" x14ac:dyDescent="0.3">
      <c r="A263" s="10"/>
      <c r="B263" s="10"/>
      <c r="C263" s="3"/>
      <c r="D263" s="26"/>
      <c r="E263" s="3"/>
      <c r="F263" s="3"/>
      <c r="G263" s="27"/>
      <c r="H263" s="28"/>
      <c r="I263" s="28"/>
      <c r="J263" s="10"/>
      <c r="K263" s="10"/>
      <c r="L263" s="27"/>
      <c r="M263" s="27"/>
      <c r="N263" s="29"/>
      <c r="O263" s="29"/>
      <c r="P263" s="29"/>
      <c r="Q263" s="29"/>
      <c r="R263" s="29"/>
      <c r="S263" s="27"/>
      <c r="T263" s="28"/>
      <c r="U263" s="27"/>
      <c r="V263" s="28"/>
      <c r="W263" s="27"/>
      <c r="X263" s="10"/>
      <c r="Y263" s="27"/>
      <c r="Z263" s="10"/>
      <c r="AA263" s="27"/>
      <c r="AB263" s="10"/>
      <c r="AC263" s="117"/>
      <c r="AD263" s="29"/>
      <c r="AE263" s="29"/>
      <c r="AF263" s="29"/>
      <c r="AG263" s="117"/>
      <c r="AH263" s="27"/>
      <c r="AI263" s="27"/>
      <c r="AJ263" s="27"/>
      <c r="AK263" s="117"/>
    </row>
    <row r="264" spans="1:37" x14ac:dyDescent="0.3">
      <c r="A264" s="10"/>
      <c r="B264" s="10"/>
      <c r="C264" s="3"/>
      <c r="D264" s="26"/>
      <c r="E264" s="3"/>
      <c r="F264" s="3"/>
      <c r="G264" s="27"/>
      <c r="H264" s="28"/>
      <c r="I264" s="28"/>
      <c r="J264" s="10"/>
      <c r="K264" s="10"/>
      <c r="L264" s="27"/>
      <c r="M264" s="27"/>
      <c r="N264" s="29"/>
      <c r="O264" s="29"/>
      <c r="P264" s="29"/>
      <c r="Q264" s="29"/>
      <c r="R264" s="29"/>
      <c r="S264" s="27"/>
      <c r="T264" s="28"/>
      <c r="U264" s="27"/>
      <c r="V264" s="28"/>
      <c r="W264" s="27"/>
      <c r="X264" s="10"/>
      <c r="Y264" s="27"/>
      <c r="Z264" s="10"/>
      <c r="AA264" s="27"/>
      <c r="AB264" s="10"/>
      <c r="AC264" s="117"/>
      <c r="AD264" s="29"/>
      <c r="AE264" s="29"/>
      <c r="AF264" s="29"/>
      <c r="AG264" s="117"/>
      <c r="AH264" s="27"/>
      <c r="AI264" s="27"/>
      <c r="AJ264" s="27"/>
      <c r="AK264" s="117"/>
    </row>
    <row r="265" spans="1:37" x14ac:dyDescent="0.3">
      <c r="A265" s="10"/>
      <c r="B265" s="10"/>
      <c r="C265" s="3"/>
      <c r="D265" s="26"/>
      <c r="E265" s="3"/>
      <c r="F265" s="3"/>
      <c r="G265" s="27"/>
      <c r="H265" s="28"/>
      <c r="I265" s="28"/>
      <c r="J265" s="10"/>
      <c r="K265" s="10"/>
      <c r="L265" s="27"/>
      <c r="M265" s="27"/>
      <c r="N265" s="29"/>
      <c r="O265" s="29"/>
      <c r="P265" s="29"/>
      <c r="Q265" s="29"/>
      <c r="R265" s="29"/>
      <c r="S265" s="27"/>
      <c r="T265" s="28"/>
      <c r="U265" s="27"/>
      <c r="V265" s="28"/>
      <c r="W265" s="27"/>
      <c r="X265" s="10"/>
      <c r="Y265" s="27"/>
      <c r="Z265" s="10"/>
      <c r="AA265" s="27"/>
      <c r="AB265" s="10"/>
      <c r="AC265" s="117"/>
      <c r="AD265" s="29"/>
      <c r="AE265" s="29"/>
      <c r="AF265" s="29"/>
      <c r="AG265" s="117"/>
      <c r="AH265" s="27"/>
      <c r="AI265" s="27"/>
      <c r="AJ265" s="27"/>
      <c r="AK265" s="117"/>
    </row>
    <row r="266" spans="1:37" x14ac:dyDescent="0.3">
      <c r="A266" s="10"/>
      <c r="B266" s="10"/>
      <c r="C266" s="3"/>
      <c r="D266" s="26"/>
      <c r="E266" s="3"/>
      <c r="F266" s="3"/>
      <c r="G266" s="27"/>
      <c r="H266" s="28"/>
      <c r="I266" s="28"/>
      <c r="J266" s="10"/>
      <c r="K266" s="10"/>
      <c r="L266" s="27"/>
      <c r="M266" s="27"/>
      <c r="N266" s="29"/>
      <c r="O266" s="29"/>
      <c r="P266" s="29"/>
      <c r="Q266" s="29"/>
      <c r="R266" s="29"/>
      <c r="S266" s="27"/>
      <c r="T266" s="28"/>
      <c r="U266" s="27"/>
      <c r="V266" s="28"/>
      <c r="W266" s="27"/>
      <c r="X266" s="10"/>
      <c r="Y266" s="27"/>
      <c r="Z266" s="10"/>
      <c r="AA266" s="27"/>
      <c r="AB266" s="10"/>
      <c r="AC266" s="117"/>
      <c r="AD266" s="29"/>
      <c r="AE266" s="29"/>
      <c r="AF266" s="29"/>
      <c r="AG266" s="117"/>
      <c r="AH266" s="27"/>
      <c r="AI266" s="27"/>
      <c r="AJ266" s="27"/>
      <c r="AK266" s="117"/>
    </row>
    <row r="267" spans="1:37" x14ac:dyDescent="0.3">
      <c r="A267" s="10"/>
      <c r="B267" s="10"/>
      <c r="C267" s="3"/>
      <c r="D267" s="26"/>
      <c r="E267" s="3"/>
      <c r="F267" s="3"/>
      <c r="G267" s="27"/>
      <c r="H267" s="28"/>
      <c r="I267" s="28"/>
      <c r="J267" s="10"/>
      <c r="K267" s="10"/>
      <c r="L267" s="27"/>
      <c r="M267" s="27"/>
      <c r="N267" s="29"/>
      <c r="O267" s="29"/>
      <c r="P267" s="29"/>
      <c r="Q267" s="29"/>
      <c r="R267" s="29"/>
      <c r="S267" s="27"/>
      <c r="T267" s="28"/>
      <c r="U267" s="27"/>
      <c r="V267" s="28"/>
      <c r="W267" s="27"/>
      <c r="X267" s="10"/>
      <c r="Y267" s="27"/>
      <c r="Z267" s="10"/>
      <c r="AA267" s="27"/>
      <c r="AB267" s="10"/>
      <c r="AC267" s="117"/>
      <c r="AD267" s="29"/>
      <c r="AE267" s="29"/>
      <c r="AF267" s="29"/>
      <c r="AG267" s="117"/>
      <c r="AH267" s="27"/>
      <c r="AI267" s="27"/>
      <c r="AJ267" s="27"/>
      <c r="AK267" s="117"/>
    </row>
    <row r="268" spans="1:37" x14ac:dyDescent="0.3">
      <c r="A268" s="10"/>
      <c r="B268" s="10"/>
      <c r="C268" s="3"/>
      <c r="D268" s="26"/>
      <c r="E268" s="3"/>
      <c r="F268" s="3"/>
      <c r="G268" s="27"/>
      <c r="H268" s="28"/>
      <c r="I268" s="28"/>
      <c r="J268" s="10"/>
      <c r="K268" s="10"/>
      <c r="L268" s="27"/>
      <c r="M268" s="27"/>
      <c r="N268" s="29"/>
      <c r="O268" s="29"/>
      <c r="P268" s="29"/>
      <c r="Q268" s="29"/>
      <c r="R268" s="29"/>
      <c r="S268" s="27"/>
      <c r="T268" s="28"/>
      <c r="U268" s="27"/>
      <c r="V268" s="28"/>
      <c r="W268" s="27"/>
      <c r="X268" s="10"/>
      <c r="Y268" s="27"/>
      <c r="Z268" s="10"/>
      <c r="AA268" s="27"/>
      <c r="AB268" s="10"/>
      <c r="AC268" s="117"/>
      <c r="AD268" s="29"/>
      <c r="AE268" s="29"/>
      <c r="AF268" s="29"/>
      <c r="AG268" s="117"/>
      <c r="AH268" s="27"/>
      <c r="AI268" s="27"/>
      <c r="AJ268" s="27"/>
      <c r="AK268" s="117"/>
    </row>
    <row r="269" spans="1:37" x14ac:dyDescent="0.3">
      <c r="A269" s="10"/>
      <c r="B269" s="10"/>
      <c r="C269" s="3"/>
      <c r="D269" s="26"/>
      <c r="E269" s="3"/>
      <c r="F269" s="3"/>
      <c r="G269" s="27"/>
      <c r="H269" s="28"/>
      <c r="I269" s="28"/>
      <c r="J269" s="10"/>
      <c r="K269" s="10"/>
      <c r="L269" s="27"/>
      <c r="M269" s="27"/>
      <c r="N269" s="29"/>
      <c r="O269" s="29"/>
      <c r="P269" s="29"/>
      <c r="Q269" s="29"/>
      <c r="R269" s="29"/>
      <c r="S269" s="27"/>
      <c r="T269" s="28"/>
      <c r="U269" s="27"/>
      <c r="V269" s="28"/>
      <c r="W269" s="27"/>
      <c r="X269" s="10"/>
      <c r="Y269" s="27"/>
      <c r="Z269" s="10"/>
      <c r="AA269" s="27"/>
      <c r="AB269" s="10"/>
      <c r="AC269" s="117"/>
      <c r="AD269" s="29"/>
      <c r="AE269" s="29"/>
      <c r="AF269" s="29"/>
      <c r="AG269" s="117"/>
      <c r="AH269" s="27"/>
      <c r="AI269" s="27"/>
      <c r="AJ269" s="27"/>
      <c r="AK269" s="117"/>
    </row>
    <row r="270" spans="1:37" x14ac:dyDescent="0.3">
      <c r="A270" s="10"/>
      <c r="B270" s="10"/>
      <c r="C270" s="3"/>
      <c r="D270" s="26"/>
      <c r="E270" s="3"/>
      <c r="F270" s="3"/>
      <c r="G270" s="27"/>
      <c r="H270" s="28"/>
      <c r="I270" s="28"/>
      <c r="J270" s="10"/>
      <c r="K270" s="10"/>
      <c r="L270" s="27"/>
      <c r="M270" s="27"/>
      <c r="N270" s="29"/>
      <c r="O270" s="29"/>
      <c r="P270" s="29"/>
      <c r="Q270" s="29"/>
      <c r="R270" s="29"/>
      <c r="S270" s="27"/>
      <c r="T270" s="28"/>
      <c r="U270" s="27"/>
      <c r="V270" s="28"/>
      <c r="W270" s="27"/>
      <c r="X270" s="10"/>
      <c r="Y270" s="27"/>
      <c r="Z270" s="10"/>
      <c r="AA270" s="27"/>
      <c r="AB270" s="10"/>
      <c r="AC270" s="117"/>
      <c r="AD270" s="29"/>
      <c r="AE270" s="29"/>
      <c r="AF270" s="29"/>
      <c r="AG270" s="117"/>
      <c r="AH270" s="27"/>
      <c r="AI270" s="27"/>
      <c r="AJ270" s="27"/>
      <c r="AK270" s="117"/>
    </row>
    <row r="271" spans="1:37" x14ac:dyDescent="0.3">
      <c r="A271" s="10"/>
      <c r="B271" s="10"/>
      <c r="C271" s="3"/>
      <c r="D271" s="26"/>
      <c r="E271" s="3"/>
      <c r="F271" s="3"/>
      <c r="G271" s="27"/>
      <c r="H271" s="28"/>
      <c r="I271" s="28"/>
      <c r="J271" s="10"/>
      <c r="K271" s="10"/>
      <c r="L271" s="27"/>
      <c r="M271" s="27"/>
      <c r="N271" s="29"/>
      <c r="O271" s="29"/>
      <c r="P271" s="29"/>
      <c r="Q271" s="29"/>
      <c r="R271" s="29"/>
      <c r="S271" s="27"/>
      <c r="T271" s="28"/>
      <c r="U271" s="27"/>
      <c r="V271" s="28"/>
      <c r="W271" s="27"/>
      <c r="X271" s="10"/>
      <c r="Y271" s="27"/>
      <c r="Z271" s="10"/>
      <c r="AA271" s="27"/>
      <c r="AB271" s="10"/>
      <c r="AC271" s="117"/>
      <c r="AD271" s="29"/>
      <c r="AE271" s="29"/>
      <c r="AF271" s="29"/>
      <c r="AG271" s="117"/>
      <c r="AH271" s="27"/>
      <c r="AI271" s="27"/>
      <c r="AJ271" s="27"/>
      <c r="AK271" s="117"/>
    </row>
    <row r="272" spans="1:37" x14ac:dyDescent="0.3">
      <c r="A272" s="10"/>
      <c r="B272" s="10"/>
      <c r="C272" s="3"/>
      <c r="D272" s="26"/>
      <c r="E272" s="3"/>
      <c r="F272" s="3"/>
      <c r="G272" s="27"/>
      <c r="H272" s="28"/>
      <c r="I272" s="28"/>
      <c r="J272" s="10"/>
      <c r="K272" s="10"/>
      <c r="L272" s="27"/>
      <c r="M272" s="27"/>
      <c r="N272" s="29"/>
      <c r="O272" s="29"/>
      <c r="P272" s="29"/>
      <c r="Q272" s="29"/>
      <c r="R272" s="29"/>
      <c r="S272" s="27"/>
      <c r="T272" s="28"/>
      <c r="U272" s="27"/>
      <c r="V272" s="28"/>
      <c r="W272" s="27"/>
      <c r="X272" s="10"/>
      <c r="Y272" s="27"/>
      <c r="Z272" s="10"/>
      <c r="AA272" s="27"/>
      <c r="AB272" s="10"/>
      <c r="AC272" s="117"/>
      <c r="AD272" s="29"/>
      <c r="AE272" s="29"/>
      <c r="AF272" s="29"/>
      <c r="AG272" s="117"/>
      <c r="AH272" s="27"/>
      <c r="AI272" s="27"/>
      <c r="AJ272" s="27"/>
      <c r="AK272" s="117"/>
    </row>
    <row r="273" spans="1:37" x14ac:dyDescent="0.3">
      <c r="A273" s="10"/>
      <c r="B273" s="10"/>
      <c r="C273" s="3"/>
      <c r="D273" s="26"/>
      <c r="E273" s="3"/>
      <c r="F273" s="3"/>
      <c r="G273" s="27"/>
      <c r="H273" s="28"/>
      <c r="I273" s="28"/>
      <c r="J273" s="10"/>
      <c r="K273" s="10"/>
      <c r="L273" s="27"/>
      <c r="M273" s="27"/>
      <c r="N273" s="29"/>
      <c r="O273" s="29"/>
      <c r="P273" s="29"/>
      <c r="Q273" s="29"/>
      <c r="R273" s="29"/>
      <c r="S273" s="27"/>
      <c r="T273" s="28"/>
      <c r="U273" s="27"/>
      <c r="V273" s="28"/>
      <c r="W273" s="27"/>
      <c r="X273" s="10"/>
      <c r="Y273" s="27"/>
      <c r="Z273" s="10"/>
      <c r="AA273" s="27"/>
      <c r="AB273" s="10"/>
      <c r="AC273" s="117"/>
      <c r="AD273" s="29"/>
      <c r="AE273" s="29"/>
      <c r="AF273" s="29"/>
      <c r="AG273" s="117"/>
      <c r="AH273" s="27"/>
      <c r="AI273" s="27"/>
      <c r="AJ273" s="27"/>
      <c r="AK273" s="117"/>
    </row>
    <row r="274" spans="1:37" x14ac:dyDescent="0.3">
      <c r="A274" s="10"/>
      <c r="B274" s="10"/>
      <c r="C274" s="3"/>
      <c r="D274" s="26"/>
      <c r="E274" s="3"/>
      <c r="F274" s="3"/>
      <c r="G274" s="27"/>
      <c r="H274" s="28"/>
      <c r="I274" s="28"/>
      <c r="J274" s="10"/>
      <c r="K274" s="10"/>
      <c r="L274" s="27"/>
      <c r="M274" s="27"/>
      <c r="N274" s="29"/>
      <c r="O274" s="29"/>
      <c r="P274" s="29"/>
      <c r="Q274" s="29"/>
      <c r="R274" s="29"/>
      <c r="S274" s="27"/>
      <c r="T274" s="28"/>
      <c r="U274" s="27"/>
      <c r="V274" s="28"/>
      <c r="W274" s="27"/>
      <c r="X274" s="10"/>
      <c r="Y274" s="27"/>
      <c r="Z274" s="10"/>
      <c r="AA274" s="27"/>
      <c r="AB274" s="10"/>
      <c r="AC274" s="117"/>
      <c r="AD274" s="29"/>
      <c r="AE274" s="29"/>
      <c r="AF274" s="29"/>
      <c r="AG274" s="117"/>
      <c r="AH274" s="27"/>
      <c r="AI274" s="27"/>
      <c r="AJ274" s="27"/>
      <c r="AK274" s="117"/>
    </row>
    <row r="275" spans="1:37" x14ac:dyDescent="0.3">
      <c r="A275" s="10"/>
      <c r="B275" s="10"/>
      <c r="C275" s="3"/>
      <c r="D275" s="26"/>
      <c r="E275" s="3"/>
      <c r="F275" s="3"/>
      <c r="G275" s="27"/>
      <c r="H275" s="28"/>
      <c r="I275" s="28"/>
      <c r="J275" s="10"/>
      <c r="K275" s="10"/>
      <c r="L275" s="27"/>
      <c r="M275" s="27"/>
      <c r="N275" s="29"/>
      <c r="O275" s="29"/>
      <c r="P275" s="29"/>
      <c r="Q275" s="29"/>
      <c r="R275" s="29"/>
      <c r="S275" s="27"/>
      <c r="T275" s="28"/>
      <c r="U275" s="27"/>
      <c r="V275" s="28"/>
      <c r="W275" s="27"/>
      <c r="X275" s="10"/>
      <c r="Y275" s="27"/>
      <c r="Z275" s="10"/>
      <c r="AA275" s="27"/>
      <c r="AB275" s="10"/>
      <c r="AC275" s="117"/>
      <c r="AD275" s="29"/>
      <c r="AE275" s="29"/>
      <c r="AF275" s="29"/>
      <c r="AG275" s="117"/>
      <c r="AH275" s="27"/>
      <c r="AI275" s="27"/>
      <c r="AJ275" s="27"/>
      <c r="AK275" s="117"/>
    </row>
    <row r="276" spans="1:37" x14ac:dyDescent="0.3">
      <c r="A276" s="10"/>
      <c r="B276" s="10"/>
      <c r="C276" s="3"/>
      <c r="D276" s="26"/>
      <c r="E276" s="3"/>
      <c r="F276" s="3"/>
      <c r="G276" s="27"/>
      <c r="H276" s="28"/>
      <c r="I276" s="28"/>
      <c r="J276" s="10"/>
      <c r="K276" s="10"/>
      <c r="L276" s="27"/>
      <c r="M276" s="27"/>
      <c r="N276" s="29"/>
      <c r="O276" s="29"/>
      <c r="P276" s="29"/>
      <c r="Q276" s="29"/>
      <c r="R276" s="29"/>
      <c r="S276" s="27"/>
      <c r="T276" s="28"/>
      <c r="U276" s="27"/>
      <c r="V276" s="28"/>
      <c r="W276" s="27"/>
      <c r="X276" s="10"/>
      <c r="Y276" s="27"/>
      <c r="Z276" s="10"/>
      <c r="AA276" s="27"/>
      <c r="AB276" s="10"/>
      <c r="AC276" s="117"/>
      <c r="AD276" s="29"/>
      <c r="AE276" s="29"/>
      <c r="AF276" s="29"/>
      <c r="AG276" s="117"/>
      <c r="AH276" s="27"/>
      <c r="AI276" s="27"/>
      <c r="AJ276" s="27"/>
      <c r="AK276" s="117"/>
    </row>
    <row r="277" spans="1:37" x14ac:dyDescent="0.3">
      <c r="A277" s="10"/>
      <c r="B277" s="10"/>
      <c r="C277" s="3"/>
      <c r="D277" s="26"/>
      <c r="E277" s="3"/>
      <c r="F277" s="3"/>
      <c r="G277" s="27"/>
      <c r="H277" s="28"/>
      <c r="I277" s="28"/>
      <c r="J277" s="10"/>
      <c r="K277" s="10"/>
      <c r="L277" s="27"/>
      <c r="M277" s="27"/>
      <c r="N277" s="29"/>
      <c r="O277" s="29"/>
      <c r="P277" s="29"/>
      <c r="Q277" s="29"/>
      <c r="R277" s="29"/>
      <c r="S277" s="27"/>
      <c r="T277" s="28"/>
      <c r="U277" s="27"/>
      <c r="V277" s="28"/>
      <c r="W277" s="27"/>
      <c r="X277" s="10"/>
      <c r="Y277" s="27"/>
      <c r="Z277" s="10"/>
      <c r="AA277" s="27"/>
      <c r="AB277" s="10"/>
      <c r="AC277" s="117"/>
      <c r="AD277" s="29"/>
      <c r="AE277" s="29"/>
      <c r="AF277" s="29"/>
      <c r="AG277" s="117"/>
      <c r="AH277" s="27"/>
      <c r="AI277" s="27"/>
      <c r="AJ277" s="27"/>
      <c r="AK277" s="117"/>
    </row>
    <row r="278" spans="1:37" x14ac:dyDescent="0.3">
      <c r="A278" s="10"/>
      <c r="B278" s="10"/>
      <c r="C278" s="3"/>
      <c r="D278" s="26"/>
      <c r="E278" s="3"/>
      <c r="F278" s="3"/>
      <c r="G278" s="27"/>
      <c r="H278" s="28"/>
      <c r="I278" s="28"/>
      <c r="J278" s="10"/>
      <c r="K278" s="10"/>
      <c r="L278" s="27"/>
      <c r="M278" s="27"/>
      <c r="N278" s="29"/>
      <c r="O278" s="29"/>
      <c r="P278" s="29"/>
      <c r="Q278" s="29"/>
      <c r="R278" s="29"/>
      <c r="S278" s="27"/>
      <c r="T278" s="28"/>
      <c r="U278" s="27"/>
      <c r="V278" s="28"/>
      <c r="W278" s="27"/>
      <c r="X278" s="10"/>
      <c r="Y278" s="27"/>
      <c r="Z278" s="10"/>
      <c r="AA278" s="27"/>
      <c r="AB278" s="10"/>
      <c r="AC278" s="117"/>
      <c r="AD278" s="29"/>
      <c r="AE278" s="29"/>
      <c r="AF278" s="29"/>
      <c r="AG278" s="117"/>
      <c r="AH278" s="27"/>
      <c r="AI278" s="27"/>
      <c r="AJ278" s="27"/>
      <c r="AK278" s="117"/>
    </row>
    <row r="279" spans="1:37" x14ac:dyDescent="0.3">
      <c r="A279" s="10"/>
      <c r="B279" s="10"/>
      <c r="C279" s="3"/>
      <c r="D279" s="26"/>
      <c r="E279" s="3"/>
      <c r="F279" s="3"/>
      <c r="G279" s="27"/>
      <c r="H279" s="28"/>
      <c r="I279" s="28"/>
      <c r="J279" s="10"/>
      <c r="K279" s="10"/>
      <c r="L279" s="27"/>
      <c r="M279" s="27"/>
      <c r="N279" s="29"/>
      <c r="O279" s="29"/>
      <c r="P279" s="29"/>
      <c r="Q279" s="29"/>
      <c r="R279" s="29"/>
      <c r="S279" s="27"/>
      <c r="T279" s="28"/>
      <c r="U279" s="27"/>
      <c r="V279" s="28"/>
      <c r="W279" s="27"/>
      <c r="X279" s="10"/>
      <c r="Y279" s="27"/>
      <c r="Z279" s="10"/>
      <c r="AA279" s="27"/>
      <c r="AB279" s="10"/>
      <c r="AC279" s="117"/>
      <c r="AD279" s="29"/>
      <c r="AE279" s="29"/>
      <c r="AF279" s="29"/>
      <c r="AG279" s="117"/>
      <c r="AH279" s="27"/>
      <c r="AI279" s="27"/>
      <c r="AJ279" s="27"/>
      <c r="AK279" s="117"/>
    </row>
    <row r="280" spans="1:37" x14ac:dyDescent="0.3">
      <c r="A280" s="10"/>
      <c r="B280" s="10"/>
      <c r="C280" s="3"/>
      <c r="D280" s="26"/>
      <c r="E280" s="3"/>
      <c r="F280" s="3"/>
      <c r="G280" s="27"/>
      <c r="H280" s="28"/>
      <c r="I280" s="28"/>
      <c r="J280" s="10"/>
      <c r="K280" s="10"/>
      <c r="L280" s="27"/>
      <c r="M280" s="27"/>
      <c r="N280" s="29"/>
      <c r="O280" s="29"/>
      <c r="P280" s="29"/>
      <c r="Q280" s="29"/>
      <c r="R280" s="29"/>
      <c r="S280" s="27"/>
      <c r="T280" s="28"/>
      <c r="U280" s="27"/>
      <c r="V280" s="28"/>
      <c r="W280" s="27"/>
      <c r="X280" s="10"/>
      <c r="Y280" s="27"/>
      <c r="Z280" s="10"/>
      <c r="AA280" s="27"/>
      <c r="AB280" s="10"/>
      <c r="AC280" s="117"/>
      <c r="AD280" s="29"/>
      <c r="AE280" s="29"/>
      <c r="AF280" s="29"/>
      <c r="AG280" s="117"/>
      <c r="AH280" s="27"/>
      <c r="AI280" s="27"/>
      <c r="AJ280" s="27"/>
      <c r="AK280" s="117"/>
    </row>
    <row r="281" spans="1:37" x14ac:dyDescent="0.3">
      <c r="A281" s="10"/>
      <c r="B281" s="10"/>
      <c r="C281" s="3"/>
      <c r="D281" s="26"/>
      <c r="E281" s="3"/>
      <c r="F281" s="3"/>
      <c r="G281" s="27"/>
      <c r="H281" s="28"/>
      <c r="I281" s="28"/>
      <c r="J281" s="10"/>
      <c r="K281" s="10"/>
      <c r="L281" s="27"/>
      <c r="M281" s="27"/>
      <c r="N281" s="29"/>
      <c r="O281" s="29"/>
      <c r="P281" s="29"/>
      <c r="Q281" s="29"/>
      <c r="R281" s="29"/>
      <c r="S281" s="27"/>
      <c r="T281" s="28"/>
      <c r="U281" s="27"/>
      <c r="V281" s="28"/>
      <c r="W281" s="27"/>
      <c r="X281" s="10"/>
      <c r="Y281" s="27"/>
      <c r="Z281" s="10"/>
      <c r="AA281" s="27"/>
      <c r="AB281" s="10"/>
      <c r="AC281" s="117"/>
      <c r="AD281" s="29"/>
      <c r="AE281" s="29"/>
      <c r="AF281" s="29"/>
      <c r="AG281" s="117"/>
      <c r="AH281" s="27"/>
      <c r="AI281" s="27"/>
      <c r="AJ281" s="27"/>
      <c r="AK281" s="117"/>
    </row>
    <row r="282" spans="1:37" x14ac:dyDescent="0.3">
      <c r="A282" s="10"/>
      <c r="B282" s="10"/>
      <c r="C282" s="3"/>
      <c r="D282" s="26"/>
      <c r="E282" s="3"/>
      <c r="F282" s="3"/>
      <c r="G282" s="27"/>
      <c r="H282" s="28"/>
      <c r="I282" s="28"/>
      <c r="J282" s="10"/>
      <c r="K282" s="10"/>
      <c r="L282" s="27"/>
      <c r="M282" s="27"/>
      <c r="N282" s="29"/>
      <c r="O282" s="29"/>
      <c r="P282" s="29"/>
      <c r="Q282" s="29"/>
      <c r="R282" s="29"/>
      <c r="S282" s="27"/>
      <c r="T282" s="28"/>
      <c r="U282" s="27"/>
      <c r="V282" s="28"/>
      <c r="W282" s="27"/>
      <c r="X282" s="10"/>
      <c r="Y282" s="27"/>
      <c r="Z282" s="10"/>
      <c r="AA282" s="27"/>
      <c r="AB282" s="10"/>
      <c r="AC282" s="117"/>
      <c r="AD282" s="29"/>
      <c r="AE282" s="29"/>
      <c r="AF282" s="29"/>
      <c r="AG282" s="117"/>
      <c r="AH282" s="27"/>
      <c r="AI282" s="27"/>
      <c r="AJ282" s="27"/>
      <c r="AK282" s="117"/>
    </row>
    <row r="283" spans="1:37" x14ac:dyDescent="0.3">
      <c r="A283" s="10"/>
      <c r="B283" s="10"/>
      <c r="C283" s="3"/>
      <c r="D283" s="26"/>
      <c r="E283" s="3"/>
      <c r="F283" s="3"/>
      <c r="G283" s="27"/>
      <c r="H283" s="28"/>
      <c r="I283" s="28"/>
      <c r="J283" s="10"/>
      <c r="K283" s="10"/>
      <c r="L283" s="27"/>
      <c r="M283" s="27"/>
      <c r="N283" s="29"/>
      <c r="O283" s="29"/>
      <c r="P283" s="29"/>
      <c r="Q283" s="29"/>
      <c r="R283" s="29"/>
      <c r="S283" s="27"/>
      <c r="T283" s="28"/>
      <c r="U283" s="27"/>
      <c r="V283" s="28"/>
      <c r="W283" s="27"/>
      <c r="X283" s="10"/>
      <c r="Y283" s="27"/>
      <c r="Z283" s="10"/>
      <c r="AA283" s="27"/>
      <c r="AB283" s="10"/>
      <c r="AC283" s="117"/>
      <c r="AD283" s="29"/>
      <c r="AE283" s="29"/>
      <c r="AF283" s="29"/>
      <c r="AG283" s="117"/>
      <c r="AH283" s="27"/>
      <c r="AI283" s="27"/>
      <c r="AJ283" s="27"/>
      <c r="AK283" s="117"/>
    </row>
    <row r="284" spans="1:37" x14ac:dyDescent="0.3">
      <c r="A284" s="10"/>
      <c r="B284" s="10"/>
      <c r="C284" s="3"/>
      <c r="D284" s="26"/>
      <c r="E284" s="3"/>
      <c r="F284" s="3"/>
      <c r="G284" s="27"/>
      <c r="H284" s="28"/>
      <c r="I284" s="28"/>
      <c r="J284" s="10"/>
      <c r="K284" s="10"/>
      <c r="L284" s="27"/>
      <c r="M284" s="27"/>
      <c r="N284" s="29"/>
      <c r="O284" s="29"/>
      <c r="P284" s="29"/>
      <c r="Q284" s="29"/>
      <c r="R284" s="29"/>
      <c r="S284" s="27"/>
      <c r="T284" s="28"/>
      <c r="U284" s="27"/>
      <c r="V284" s="28"/>
      <c r="W284" s="27"/>
      <c r="X284" s="10"/>
      <c r="Y284" s="27"/>
      <c r="Z284" s="10"/>
      <c r="AA284" s="27"/>
      <c r="AB284" s="10"/>
      <c r="AC284" s="117"/>
      <c r="AD284" s="29"/>
      <c r="AE284" s="29"/>
      <c r="AF284" s="29"/>
      <c r="AG284" s="117"/>
      <c r="AH284" s="27"/>
      <c r="AI284" s="27"/>
      <c r="AJ284" s="27"/>
      <c r="AK284" s="117"/>
    </row>
    <row r="285" spans="1:37" x14ac:dyDescent="0.3">
      <c r="A285" s="10"/>
      <c r="B285" s="10"/>
      <c r="C285" s="3"/>
      <c r="D285" s="26"/>
      <c r="E285" s="3"/>
      <c r="F285" s="3"/>
      <c r="G285" s="27"/>
      <c r="H285" s="28"/>
      <c r="I285" s="28"/>
      <c r="J285" s="10"/>
      <c r="K285" s="10"/>
      <c r="L285" s="27"/>
      <c r="M285" s="27"/>
      <c r="N285" s="29"/>
      <c r="O285" s="29"/>
      <c r="P285" s="29"/>
      <c r="Q285" s="29"/>
      <c r="R285" s="29"/>
      <c r="S285" s="27"/>
      <c r="T285" s="28"/>
      <c r="U285" s="27"/>
      <c r="V285" s="28"/>
      <c r="W285" s="27"/>
      <c r="X285" s="10"/>
      <c r="Y285" s="27"/>
      <c r="Z285" s="10"/>
      <c r="AA285" s="27"/>
      <c r="AB285" s="10"/>
      <c r="AC285" s="117"/>
      <c r="AD285" s="29"/>
      <c r="AE285" s="29"/>
      <c r="AF285" s="29"/>
      <c r="AG285" s="117"/>
      <c r="AH285" s="27"/>
      <c r="AI285" s="27"/>
      <c r="AJ285" s="27"/>
      <c r="AK285" s="117"/>
    </row>
    <row r="286" spans="1:37" ht="9.75" customHeight="1" x14ac:dyDescent="0.3">
      <c r="A286" s="10"/>
      <c r="B286" s="10"/>
      <c r="C286" s="3"/>
      <c r="D286" s="26"/>
      <c r="E286" s="3"/>
      <c r="F286" s="3"/>
      <c r="G286" s="27"/>
      <c r="H286" s="28"/>
      <c r="I286" s="28"/>
      <c r="J286" s="10"/>
      <c r="K286" s="10"/>
      <c r="L286" s="27"/>
      <c r="M286" s="27"/>
      <c r="N286" s="29"/>
      <c r="O286" s="29"/>
      <c r="P286" s="29"/>
      <c r="Q286" s="29"/>
      <c r="R286" s="29"/>
      <c r="S286" s="27"/>
      <c r="T286" s="28"/>
      <c r="U286" s="27"/>
      <c r="V286" s="28"/>
      <c r="W286" s="27"/>
      <c r="X286" s="10"/>
      <c r="Y286" s="27"/>
      <c r="Z286" s="10"/>
      <c r="AA286" s="27"/>
      <c r="AB286" s="10"/>
      <c r="AC286" s="117"/>
      <c r="AD286" s="29"/>
      <c r="AE286" s="29"/>
      <c r="AF286" s="29"/>
      <c r="AG286" s="117"/>
      <c r="AH286" s="27"/>
      <c r="AI286" s="27"/>
      <c r="AJ286" s="27"/>
      <c r="AK286" s="117"/>
    </row>
    <row r="287" spans="1:37" x14ac:dyDescent="0.3">
      <c r="A287" s="10"/>
      <c r="B287" s="10"/>
      <c r="C287" s="3"/>
      <c r="D287" s="26"/>
      <c r="E287" s="3"/>
      <c r="F287" s="3"/>
      <c r="G287" s="27"/>
      <c r="H287" s="28"/>
      <c r="I287" s="28"/>
      <c r="J287" s="10"/>
      <c r="K287" s="10"/>
      <c r="L287" s="27"/>
      <c r="M287" s="27"/>
      <c r="N287" s="29"/>
      <c r="O287" s="29"/>
      <c r="P287" s="29"/>
      <c r="Q287" s="29"/>
      <c r="R287" s="29"/>
      <c r="S287" s="27"/>
      <c r="T287" s="28"/>
      <c r="U287" s="27"/>
      <c r="V287" s="28"/>
      <c r="W287" s="27"/>
      <c r="X287" s="10"/>
      <c r="Y287" s="27"/>
      <c r="Z287" s="10"/>
      <c r="AA287" s="27"/>
      <c r="AB287" s="10"/>
      <c r="AC287" s="117"/>
      <c r="AD287" s="29"/>
      <c r="AE287" s="29"/>
      <c r="AF287" s="29"/>
      <c r="AG287" s="117"/>
      <c r="AH287" s="27"/>
      <c r="AI287" s="27"/>
      <c r="AJ287" s="27"/>
      <c r="AK287" s="117"/>
    </row>
    <row r="288" spans="1:37" x14ac:dyDescent="0.3">
      <c r="A288" s="10"/>
      <c r="B288" s="10"/>
      <c r="C288" s="3"/>
      <c r="D288" s="26"/>
      <c r="E288" s="3"/>
      <c r="F288" s="3"/>
      <c r="G288" s="27"/>
      <c r="H288" s="28"/>
      <c r="I288" s="28"/>
      <c r="J288" s="10"/>
      <c r="K288" s="10"/>
      <c r="L288" s="27"/>
      <c r="M288" s="27"/>
      <c r="N288" s="29"/>
      <c r="O288" s="29"/>
      <c r="P288" s="29"/>
      <c r="Q288" s="29"/>
      <c r="R288" s="29"/>
      <c r="S288" s="27"/>
      <c r="T288" s="28"/>
      <c r="U288" s="27"/>
      <c r="V288" s="28"/>
      <c r="W288" s="27"/>
      <c r="X288" s="10"/>
      <c r="Y288" s="27"/>
      <c r="Z288" s="10"/>
      <c r="AA288" s="27"/>
      <c r="AB288" s="10"/>
      <c r="AC288" s="117"/>
      <c r="AD288" s="29"/>
      <c r="AE288" s="29"/>
      <c r="AF288" s="29"/>
      <c r="AG288" s="117"/>
      <c r="AH288" s="27"/>
      <c r="AI288" s="27"/>
      <c r="AJ288" s="27"/>
      <c r="AK288" s="117"/>
    </row>
    <row r="289" spans="1:37" x14ac:dyDescent="0.3">
      <c r="A289" s="10"/>
      <c r="B289" s="10"/>
      <c r="C289" s="3"/>
      <c r="D289" s="26"/>
      <c r="E289" s="3"/>
      <c r="F289" s="3"/>
      <c r="G289" s="27"/>
      <c r="H289" s="28"/>
      <c r="I289" s="28"/>
      <c r="J289" s="10"/>
      <c r="K289" s="10"/>
      <c r="L289" s="27"/>
      <c r="M289" s="27"/>
      <c r="N289" s="29"/>
      <c r="O289" s="29"/>
      <c r="P289" s="29"/>
      <c r="Q289" s="29"/>
      <c r="R289" s="29"/>
      <c r="S289" s="27"/>
      <c r="T289" s="28"/>
      <c r="U289" s="27"/>
      <c r="V289" s="28"/>
      <c r="W289" s="27"/>
      <c r="X289" s="10"/>
      <c r="Y289" s="27"/>
      <c r="Z289" s="10"/>
      <c r="AA289" s="27"/>
      <c r="AB289" s="10"/>
      <c r="AC289" s="117"/>
      <c r="AD289" s="29"/>
      <c r="AE289" s="29"/>
      <c r="AF289" s="29"/>
      <c r="AG289" s="117"/>
      <c r="AH289" s="27"/>
      <c r="AI289" s="27"/>
      <c r="AJ289" s="27"/>
      <c r="AK289" s="117"/>
    </row>
    <row r="290" spans="1:37" x14ac:dyDescent="0.3">
      <c r="A290" s="10"/>
      <c r="B290" s="10"/>
      <c r="C290" s="3"/>
      <c r="D290" s="26"/>
      <c r="E290" s="3"/>
      <c r="F290" s="3"/>
      <c r="G290" s="27"/>
      <c r="H290" s="28"/>
      <c r="I290" s="28"/>
      <c r="J290" s="10"/>
      <c r="K290" s="10"/>
      <c r="L290" s="27"/>
      <c r="M290" s="27"/>
      <c r="N290" s="29"/>
      <c r="O290" s="29"/>
      <c r="P290" s="29"/>
      <c r="Q290" s="29"/>
      <c r="R290" s="29"/>
      <c r="S290" s="27"/>
      <c r="T290" s="28"/>
      <c r="U290" s="27"/>
      <c r="V290" s="28"/>
      <c r="W290" s="27"/>
      <c r="X290" s="10"/>
      <c r="Y290" s="27"/>
      <c r="Z290" s="10"/>
      <c r="AA290" s="27"/>
      <c r="AB290" s="10"/>
      <c r="AC290" s="117"/>
      <c r="AD290" s="29"/>
      <c r="AE290" s="29"/>
      <c r="AF290" s="29"/>
      <c r="AG290" s="117"/>
      <c r="AH290" s="27"/>
      <c r="AI290" s="27"/>
      <c r="AJ290" s="27"/>
      <c r="AK290" s="117"/>
    </row>
    <row r="291" spans="1:37" x14ac:dyDescent="0.3">
      <c r="A291" s="10"/>
      <c r="B291" s="10"/>
      <c r="C291" s="3"/>
      <c r="D291" s="26"/>
      <c r="E291" s="3"/>
      <c r="F291" s="3"/>
      <c r="G291" s="27"/>
      <c r="H291" s="28"/>
      <c r="I291" s="28"/>
      <c r="J291" s="10"/>
      <c r="K291" s="10"/>
      <c r="L291" s="27"/>
      <c r="M291" s="27"/>
      <c r="N291" s="29"/>
      <c r="O291" s="29"/>
      <c r="P291" s="29"/>
      <c r="Q291" s="29"/>
      <c r="R291" s="29"/>
      <c r="S291" s="27"/>
      <c r="T291" s="28"/>
      <c r="U291" s="27"/>
      <c r="V291" s="28"/>
      <c r="W291" s="27"/>
      <c r="X291" s="10"/>
      <c r="Y291" s="27"/>
      <c r="Z291" s="10"/>
      <c r="AA291" s="27"/>
      <c r="AB291" s="10"/>
      <c r="AC291" s="117"/>
      <c r="AD291" s="29"/>
      <c r="AE291" s="29"/>
      <c r="AF291" s="29"/>
      <c r="AG291" s="117"/>
      <c r="AH291" s="27"/>
      <c r="AI291" s="27"/>
      <c r="AJ291" s="27"/>
      <c r="AK291" s="117"/>
    </row>
    <row r="292" spans="1:37" x14ac:dyDescent="0.3">
      <c r="A292" s="10"/>
      <c r="B292" s="10"/>
      <c r="C292" s="3"/>
      <c r="D292" s="26"/>
      <c r="E292" s="3"/>
      <c r="F292" s="3"/>
      <c r="G292" s="27"/>
      <c r="H292" s="28"/>
      <c r="I292" s="28"/>
      <c r="J292" s="10"/>
      <c r="K292" s="10"/>
      <c r="L292" s="27"/>
      <c r="M292" s="27"/>
      <c r="N292" s="29"/>
      <c r="O292" s="29"/>
      <c r="P292" s="29"/>
      <c r="Q292" s="29"/>
      <c r="R292" s="29"/>
      <c r="S292" s="27"/>
      <c r="T292" s="28"/>
      <c r="U292" s="27"/>
      <c r="V292" s="28"/>
      <c r="W292" s="27"/>
      <c r="X292" s="10"/>
      <c r="Y292" s="27"/>
      <c r="Z292" s="10"/>
      <c r="AA292" s="27"/>
      <c r="AB292" s="10"/>
      <c r="AC292" s="117"/>
      <c r="AD292" s="29"/>
      <c r="AE292" s="29"/>
      <c r="AF292" s="29"/>
      <c r="AG292" s="117"/>
      <c r="AH292" s="27"/>
      <c r="AI292" s="27"/>
      <c r="AJ292" s="27"/>
      <c r="AK292" s="117"/>
    </row>
    <row r="293" spans="1:37" x14ac:dyDescent="0.3">
      <c r="A293" s="10"/>
      <c r="B293" s="10"/>
      <c r="C293" s="3"/>
      <c r="D293" s="26"/>
      <c r="E293" s="3"/>
      <c r="F293" s="3"/>
      <c r="G293" s="27"/>
      <c r="H293" s="28"/>
      <c r="I293" s="28"/>
      <c r="J293" s="10"/>
      <c r="K293" s="10"/>
      <c r="L293" s="27"/>
      <c r="M293" s="27"/>
      <c r="N293" s="29"/>
      <c r="O293" s="29"/>
      <c r="P293" s="29"/>
      <c r="Q293" s="29"/>
      <c r="R293" s="29"/>
      <c r="S293" s="27"/>
      <c r="T293" s="28"/>
      <c r="U293" s="27"/>
      <c r="V293" s="28"/>
      <c r="W293" s="27"/>
      <c r="X293" s="10"/>
      <c r="Y293" s="27"/>
      <c r="Z293" s="10"/>
      <c r="AA293" s="27"/>
      <c r="AB293" s="10"/>
      <c r="AC293" s="117"/>
      <c r="AD293" s="29"/>
      <c r="AE293" s="29"/>
      <c r="AF293" s="29"/>
      <c r="AG293" s="117"/>
      <c r="AH293" s="27"/>
      <c r="AI293" s="27"/>
      <c r="AJ293" s="27"/>
      <c r="AK293" s="117"/>
    </row>
    <row r="294" spans="1:37" x14ac:dyDescent="0.3">
      <c r="A294" s="10"/>
      <c r="B294" s="10"/>
      <c r="C294" s="3"/>
      <c r="D294" s="26"/>
      <c r="E294" s="3"/>
      <c r="F294" s="3"/>
      <c r="G294" s="27"/>
      <c r="H294" s="28"/>
      <c r="I294" s="28"/>
      <c r="J294" s="10"/>
      <c r="K294" s="10"/>
      <c r="L294" s="27"/>
      <c r="M294" s="27"/>
      <c r="N294" s="29"/>
      <c r="O294" s="29"/>
      <c r="P294" s="29"/>
      <c r="Q294" s="29"/>
      <c r="R294" s="29"/>
      <c r="S294" s="27"/>
      <c r="T294" s="28"/>
      <c r="U294" s="27"/>
      <c r="V294" s="28"/>
      <c r="W294" s="27"/>
      <c r="X294" s="10"/>
      <c r="Y294" s="27"/>
      <c r="Z294" s="10"/>
      <c r="AA294" s="27"/>
      <c r="AB294" s="10"/>
      <c r="AC294" s="117"/>
      <c r="AD294" s="29"/>
      <c r="AE294" s="29"/>
      <c r="AF294" s="29"/>
      <c r="AG294" s="117"/>
      <c r="AH294" s="27"/>
      <c r="AI294" s="27"/>
      <c r="AJ294" s="27"/>
      <c r="AK294" s="117"/>
    </row>
    <row r="295" spans="1:37" x14ac:dyDescent="0.3">
      <c r="A295" s="10"/>
      <c r="B295" s="10"/>
      <c r="C295" s="3"/>
      <c r="D295" s="26"/>
      <c r="E295" s="3"/>
      <c r="F295" s="3"/>
      <c r="G295" s="27"/>
      <c r="H295" s="28"/>
      <c r="I295" s="28"/>
      <c r="J295" s="10"/>
      <c r="K295" s="10"/>
      <c r="L295" s="27"/>
      <c r="M295" s="27"/>
      <c r="N295" s="29"/>
      <c r="O295" s="29"/>
      <c r="P295" s="29"/>
      <c r="Q295" s="29"/>
      <c r="R295" s="29"/>
      <c r="S295" s="27"/>
      <c r="T295" s="28"/>
      <c r="U295" s="27"/>
      <c r="V295" s="28"/>
      <c r="W295" s="27"/>
      <c r="X295" s="10"/>
      <c r="Y295" s="27"/>
      <c r="Z295" s="10"/>
      <c r="AA295" s="27"/>
      <c r="AB295" s="10"/>
      <c r="AC295" s="117"/>
      <c r="AD295" s="29"/>
      <c r="AE295" s="29"/>
      <c r="AF295" s="29"/>
      <c r="AG295" s="117"/>
      <c r="AH295" s="27"/>
      <c r="AI295" s="27"/>
      <c r="AJ295" s="27"/>
      <c r="AK295" s="117"/>
    </row>
    <row r="296" spans="1:37" x14ac:dyDescent="0.3">
      <c r="A296" s="10"/>
      <c r="B296" s="10"/>
      <c r="C296" s="3"/>
      <c r="D296" s="26"/>
      <c r="E296" s="3"/>
      <c r="F296" s="3"/>
      <c r="G296" s="27"/>
      <c r="H296" s="28"/>
      <c r="I296" s="28"/>
      <c r="J296" s="10"/>
      <c r="K296" s="10"/>
      <c r="L296" s="27"/>
      <c r="M296" s="27"/>
      <c r="N296" s="29"/>
      <c r="O296" s="29"/>
      <c r="P296" s="29"/>
      <c r="Q296" s="29"/>
      <c r="R296" s="29"/>
      <c r="S296" s="27"/>
      <c r="T296" s="28"/>
      <c r="U296" s="27"/>
      <c r="V296" s="28"/>
      <c r="W296" s="27"/>
      <c r="X296" s="10"/>
      <c r="Y296" s="27"/>
      <c r="Z296" s="10"/>
      <c r="AA296" s="27"/>
      <c r="AB296" s="10"/>
      <c r="AC296" s="117"/>
      <c r="AD296" s="29"/>
      <c r="AE296" s="29"/>
      <c r="AF296" s="29"/>
      <c r="AG296" s="117"/>
      <c r="AH296" s="27"/>
      <c r="AI296" s="27"/>
      <c r="AJ296" s="27"/>
      <c r="AK296" s="117"/>
    </row>
    <row r="297" spans="1:37" x14ac:dyDescent="0.3">
      <c r="A297" s="10"/>
      <c r="B297" s="10"/>
      <c r="C297" s="3"/>
      <c r="D297" s="26"/>
      <c r="E297" s="3"/>
      <c r="F297" s="3"/>
      <c r="G297" s="27"/>
      <c r="H297" s="28"/>
      <c r="I297" s="28"/>
      <c r="J297" s="10"/>
      <c r="K297" s="10"/>
      <c r="L297" s="27"/>
      <c r="M297" s="27"/>
      <c r="N297" s="29"/>
      <c r="O297" s="29"/>
      <c r="P297" s="29"/>
      <c r="Q297" s="29"/>
      <c r="R297" s="29"/>
      <c r="S297" s="27"/>
      <c r="T297" s="28"/>
      <c r="U297" s="27"/>
      <c r="V297" s="28"/>
      <c r="W297" s="27"/>
      <c r="X297" s="10"/>
      <c r="Y297" s="27"/>
      <c r="Z297" s="10"/>
      <c r="AA297" s="27"/>
      <c r="AB297" s="10"/>
      <c r="AC297" s="117"/>
      <c r="AD297" s="29"/>
      <c r="AE297" s="29"/>
      <c r="AF297" s="29"/>
      <c r="AG297" s="117"/>
      <c r="AH297" s="27"/>
      <c r="AI297" s="27"/>
      <c r="AJ297" s="27"/>
      <c r="AK297" s="117"/>
    </row>
    <row r="298" spans="1:37" x14ac:dyDescent="0.3">
      <c r="A298" s="3"/>
      <c r="B298" s="3"/>
      <c r="C298" s="3"/>
      <c r="D298" s="26"/>
      <c r="E298" s="3"/>
      <c r="F298" s="3"/>
      <c r="G298" s="27"/>
      <c r="H298" s="28"/>
      <c r="I298" s="28"/>
      <c r="J298" s="10"/>
      <c r="K298" s="10"/>
      <c r="L298" s="27"/>
      <c r="M298" s="27"/>
      <c r="N298" s="29"/>
      <c r="O298" s="29"/>
      <c r="P298" s="29"/>
      <c r="Q298" s="29"/>
      <c r="R298" s="29"/>
      <c r="S298" s="27"/>
      <c r="T298" s="28"/>
      <c r="U298" s="27"/>
      <c r="V298" s="28"/>
      <c r="W298" s="27"/>
      <c r="X298" s="10"/>
      <c r="Y298" s="27"/>
      <c r="Z298" s="10"/>
      <c r="AA298" s="27"/>
      <c r="AB298" s="10"/>
      <c r="AC298" s="117"/>
      <c r="AD298" s="29"/>
      <c r="AE298" s="29"/>
      <c r="AF298" s="29"/>
      <c r="AG298" s="117"/>
      <c r="AH298" s="27"/>
      <c r="AI298" s="27"/>
      <c r="AJ298" s="27"/>
      <c r="AK298" s="117"/>
    </row>
    <row r="299" spans="1:37" x14ac:dyDescent="0.3">
      <c r="A299" s="3"/>
      <c r="B299" s="3"/>
      <c r="C299" s="3"/>
      <c r="D299" s="26"/>
      <c r="E299" s="3"/>
      <c r="F299" s="3"/>
      <c r="G299" s="27"/>
      <c r="H299" s="28"/>
      <c r="I299" s="28"/>
      <c r="J299" s="10"/>
      <c r="K299" s="10"/>
      <c r="L299" s="27"/>
      <c r="M299" s="27"/>
      <c r="N299" s="29"/>
      <c r="O299" s="29"/>
      <c r="P299" s="29"/>
      <c r="Q299" s="29"/>
      <c r="R299" s="29"/>
      <c r="S299" s="27"/>
      <c r="T299" s="28"/>
      <c r="U299" s="27"/>
      <c r="V299" s="28"/>
      <c r="W299" s="27"/>
      <c r="X299" s="10"/>
      <c r="Y299" s="27"/>
      <c r="Z299" s="10"/>
      <c r="AA299" s="27"/>
      <c r="AB299" s="10"/>
      <c r="AC299" s="117"/>
      <c r="AD299" s="29"/>
      <c r="AE299" s="29"/>
      <c r="AF299" s="29"/>
      <c r="AG299" s="117"/>
      <c r="AH299" s="27"/>
      <c r="AI299" s="27"/>
      <c r="AJ299" s="27"/>
      <c r="AK299" s="117"/>
    </row>
    <row r="300" spans="1:37" x14ac:dyDescent="0.3">
      <c r="B300" s="3"/>
      <c r="C300" s="3"/>
      <c r="D300" s="26"/>
      <c r="E300" s="3"/>
      <c r="F300" s="3"/>
      <c r="G300" s="27"/>
      <c r="H300" s="28"/>
      <c r="I300" s="28"/>
      <c r="J300" s="10"/>
      <c r="K300" s="10"/>
      <c r="L300" s="27"/>
      <c r="M300" s="27"/>
      <c r="N300" s="29"/>
      <c r="O300" s="29"/>
      <c r="P300" s="29"/>
      <c r="Q300" s="29"/>
      <c r="R300" s="29"/>
      <c r="S300" s="27"/>
      <c r="T300" s="28"/>
      <c r="U300" s="27"/>
      <c r="V300" s="28"/>
      <c r="W300" s="27"/>
      <c r="X300" s="10"/>
      <c r="Y300" s="27"/>
      <c r="Z300" s="10"/>
      <c r="AA300" s="27"/>
      <c r="AB300" s="10"/>
      <c r="AC300" s="117"/>
      <c r="AD300" s="29"/>
      <c r="AE300" s="29"/>
      <c r="AF300" s="29"/>
      <c r="AG300" s="117"/>
      <c r="AH300" s="27"/>
      <c r="AI300" s="27"/>
      <c r="AJ300" s="27"/>
      <c r="AK300" s="117"/>
    </row>
    <row r="301" spans="1:37" x14ac:dyDescent="0.3">
      <c r="B301" s="3"/>
      <c r="C301" s="3"/>
      <c r="D301" s="26"/>
      <c r="E301" s="3"/>
      <c r="F301" s="3"/>
      <c r="G301" s="27"/>
      <c r="H301" s="28"/>
      <c r="I301" s="28"/>
      <c r="J301" s="10"/>
      <c r="K301" s="10"/>
      <c r="L301" s="27"/>
      <c r="M301" s="27"/>
      <c r="N301" s="29"/>
      <c r="O301" s="29"/>
      <c r="P301" s="29"/>
      <c r="Q301" s="29"/>
      <c r="R301" s="29"/>
      <c r="S301" s="27"/>
      <c r="T301" s="28"/>
      <c r="U301" s="27"/>
      <c r="V301" s="28"/>
      <c r="W301" s="27"/>
      <c r="X301" s="10"/>
      <c r="Y301" s="27"/>
      <c r="Z301" s="10"/>
      <c r="AA301" s="27"/>
      <c r="AB301" s="10"/>
      <c r="AC301" s="117"/>
      <c r="AD301" s="29"/>
      <c r="AE301" s="29"/>
      <c r="AF301" s="29"/>
      <c r="AG301" s="117"/>
      <c r="AH301" s="27"/>
      <c r="AI301" s="27"/>
      <c r="AJ301" s="27"/>
      <c r="AK301" s="117"/>
    </row>
    <row r="302" spans="1:37" x14ac:dyDescent="0.3">
      <c r="B302" s="3"/>
      <c r="C302" s="3"/>
      <c r="D302" s="26"/>
      <c r="E302" s="3"/>
      <c r="F302" s="3"/>
      <c r="G302" s="27"/>
      <c r="H302" s="28"/>
      <c r="I302" s="28"/>
      <c r="J302" s="10"/>
      <c r="K302" s="10"/>
      <c r="L302" s="27"/>
      <c r="M302" s="27"/>
      <c r="N302" s="29"/>
      <c r="O302" s="29"/>
      <c r="P302" s="29"/>
      <c r="Q302" s="29"/>
      <c r="R302" s="29"/>
      <c r="S302" s="27"/>
      <c r="T302" s="28"/>
      <c r="U302" s="27"/>
      <c r="V302" s="28"/>
      <c r="W302" s="27"/>
      <c r="X302" s="10"/>
      <c r="Y302" s="27"/>
      <c r="Z302" s="10"/>
      <c r="AA302" s="27"/>
      <c r="AB302" s="10"/>
      <c r="AC302" s="117"/>
      <c r="AD302" s="29"/>
      <c r="AE302" s="29"/>
      <c r="AF302" s="29"/>
      <c r="AG302" s="117"/>
      <c r="AH302" s="27"/>
      <c r="AI302" s="27"/>
      <c r="AJ302" s="27"/>
      <c r="AK302" s="117"/>
    </row>
    <row r="303" spans="1:37" x14ac:dyDescent="0.3">
      <c r="B303" s="3"/>
      <c r="C303" s="3"/>
      <c r="D303" s="26"/>
      <c r="E303" s="3"/>
      <c r="F303" s="3"/>
      <c r="G303" s="27"/>
      <c r="H303" s="28"/>
      <c r="I303" s="28"/>
      <c r="J303" s="10"/>
      <c r="K303" s="10"/>
      <c r="L303" s="27"/>
      <c r="M303" s="27"/>
      <c r="N303" s="29"/>
      <c r="O303" s="29"/>
      <c r="P303" s="29"/>
      <c r="Q303" s="29"/>
      <c r="R303" s="29"/>
      <c r="S303" s="27"/>
      <c r="T303" s="28"/>
      <c r="U303" s="27"/>
      <c r="V303" s="28"/>
      <c r="W303" s="27"/>
      <c r="X303" s="10"/>
      <c r="Y303" s="27"/>
      <c r="Z303" s="10"/>
      <c r="AA303" s="27"/>
      <c r="AB303" s="10"/>
      <c r="AC303" s="117"/>
      <c r="AD303" s="29"/>
      <c r="AE303" s="29"/>
      <c r="AF303" s="29"/>
      <c r="AG303" s="117"/>
      <c r="AH303" s="27"/>
      <c r="AI303" s="27"/>
      <c r="AJ303" s="27"/>
      <c r="AK303" s="117"/>
    </row>
    <row r="304" spans="1:37" x14ac:dyDescent="0.3">
      <c r="B304" s="3"/>
      <c r="C304" s="3"/>
      <c r="D304" s="26"/>
      <c r="E304" s="3"/>
      <c r="F304" s="3"/>
      <c r="G304" s="27"/>
      <c r="H304" s="28"/>
      <c r="I304" s="28"/>
      <c r="J304" s="10"/>
      <c r="K304" s="10"/>
      <c r="L304" s="27"/>
      <c r="M304" s="27"/>
      <c r="N304" s="29"/>
      <c r="O304" s="29"/>
      <c r="P304" s="29"/>
      <c r="Q304" s="29"/>
      <c r="R304" s="29"/>
      <c r="S304" s="27"/>
      <c r="T304" s="28"/>
      <c r="U304" s="27"/>
      <c r="V304" s="28"/>
      <c r="W304" s="27"/>
      <c r="X304" s="10"/>
      <c r="Y304" s="27"/>
      <c r="Z304" s="10"/>
      <c r="AA304" s="27"/>
      <c r="AB304" s="10"/>
      <c r="AC304" s="117"/>
      <c r="AD304" s="29"/>
      <c r="AE304" s="29"/>
      <c r="AF304" s="29"/>
      <c r="AG304" s="117"/>
      <c r="AH304" s="27"/>
      <c r="AI304" s="27"/>
      <c r="AJ304" s="27"/>
      <c r="AK304" s="117"/>
    </row>
    <row r="305" spans="1:37" x14ac:dyDescent="0.3">
      <c r="B305" s="3"/>
      <c r="C305" s="3"/>
      <c r="D305" s="26"/>
      <c r="E305" s="3"/>
      <c r="F305" s="3"/>
      <c r="G305" s="27"/>
      <c r="H305" s="28"/>
      <c r="I305" s="28"/>
      <c r="J305" s="10"/>
      <c r="K305" s="10"/>
      <c r="L305" s="27"/>
      <c r="M305" s="27"/>
      <c r="N305" s="29"/>
      <c r="O305" s="29"/>
      <c r="P305" s="29"/>
      <c r="Q305" s="29"/>
      <c r="R305" s="29"/>
      <c r="S305" s="27"/>
      <c r="T305" s="28"/>
      <c r="U305" s="27"/>
      <c r="V305" s="28"/>
      <c r="W305" s="27"/>
      <c r="X305" s="10"/>
      <c r="Y305" s="27"/>
      <c r="Z305" s="10"/>
      <c r="AA305" s="27"/>
      <c r="AB305" s="10"/>
      <c r="AC305" s="117"/>
      <c r="AD305" s="29"/>
      <c r="AE305" s="29"/>
      <c r="AF305" s="29"/>
      <c r="AG305" s="117"/>
      <c r="AH305" s="27"/>
      <c r="AI305" s="27"/>
      <c r="AJ305" s="27"/>
      <c r="AK305" s="117"/>
    </row>
    <row r="306" spans="1:37" x14ac:dyDescent="0.3">
      <c r="B306" s="3"/>
      <c r="C306" s="3"/>
      <c r="D306" s="26"/>
      <c r="E306" s="3"/>
      <c r="F306" s="3"/>
      <c r="G306" s="27"/>
      <c r="H306" s="28"/>
      <c r="I306" s="28"/>
      <c r="J306" s="10"/>
      <c r="K306" s="10"/>
      <c r="L306" s="27"/>
      <c r="M306" s="27"/>
      <c r="N306" s="29"/>
      <c r="O306" s="29"/>
      <c r="P306" s="29"/>
      <c r="Q306" s="29"/>
      <c r="R306" s="29"/>
      <c r="S306" s="27"/>
      <c r="T306" s="28"/>
      <c r="U306" s="27"/>
      <c r="V306" s="28"/>
      <c r="W306" s="27"/>
      <c r="X306" s="10"/>
      <c r="Y306" s="27"/>
      <c r="Z306" s="10"/>
      <c r="AA306" s="27"/>
      <c r="AB306" s="10"/>
      <c r="AC306" s="117"/>
      <c r="AD306" s="29"/>
      <c r="AE306" s="29"/>
      <c r="AF306" s="29"/>
      <c r="AG306" s="117"/>
      <c r="AH306" s="27"/>
      <c r="AI306" s="27"/>
      <c r="AJ306" s="27"/>
      <c r="AK306" s="117"/>
    </row>
    <row r="307" spans="1:37" x14ac:dyDescent="0.3">
      <c r="B307" s="3"/>
      <c r="C307" s="3"/>
      <c r="D307" s="26"/>
      <c r="E307" s="3"/>
      <c r="F307" s="3"/>
      <c r="G307" s="27"/>
      <c r="H307" s="28"/>
      <c r="I307" s="28"/>
      <c r="J307" s="10"/>
      <c r="K307" s="10"/>
      <c r="L307" s="27"/>
      <c r="M307" s="27"/>
      <c r="N307" s="29"/>
      <c r="O307" s="29"/>
      <c r="P307" s="29"/>
      <c r="Q307" s="29"/>
      <c r="R307" s="29"/>
      <c r="S307" s="27"/>
      <c r="T307" s="28"/>
      <c r="U307" s="27"/>
      <c r="V307" s="28"/>
      <c r="W307" s="27"/>
      <c r="X307" s="10"/>
      <c r="Y307" s="27"/>
      <c r="Z307" s="10"/>
      <c r="AA307" s="27"/>
      <c r="AB307" s="10"/>
      <c r="AC307" s="117"/>
      <c r="AD307" s="29"/>
      <c r="AE307" s="29"/>
      <c r="AF307" s="29"/>
      <c r="AG307" s="117"/>
      <c r="AH307" s="27"/>
      <c r="AI307" s="27"/>
      <c r="AJ307" s="27"/>
      <c r="AK307" s="117"/>
    </row>
    <row r="308" spans="1:37" x14ac:dyDescent="0.3">
      <c r="B308" s="3"/>
      <c r="C308" s="3"/>
      <c r="D308" s="26"/>
      <c r="E308" s="3"/>
      <c r="F308" s="3"/>
      <c r="G308" s="27"/>
      <c r="H308" s="28"/>
      <c r="I308" s="28"/>
      <c r="J308" s="10"/>
      <c r="K308" s="10"/>
      <c r="L308" s="27"/>
      <c r="M308" s="27"/>
      <c r="N308" s="29"/>
      <c r="O308" s="29"/>
      <c r="P308" s="29"/>
      <c r="Q308" s="29"/>
      <c r="R308" s="29"/>
      <c r="S308" s="27"/>
      <c r="T308" s="28"/>
      <c r="U308" s="27"/>
      <c r="V308" s="28"/>
      <c r="W308" s="27"/>
      <c r="X308" s="10"/>
      <c r="Y308" s="27"/>
      <c r="Z308" s="10"/>
      <c r="AA308" s="27"/>
      <c r="AB308" s="10"/>
      <c r="AC308" s="117"/>
      <c r="AD308" s="29"/>
      <c r="AE308" s="29"/>
      <c r="AF308" s="29"/>
      <c r="AG308" s="117"/>
      <c r="AH308" s="27"/>
      <c r="AI308" s="27"/>
      <c r="AJ308" s="27"/>
      <c r="AK308" s="117"/>
    </row>
    <row r="309" spans="1:37" x14ac:dyDescent="0.3">
      <c r="B309" s="3"/>
      <c r="C309" s="3"/>
      <c r="D309" s="26"/>
      <c r="E309" s="3"/>
      <c r="F309" s="3"/>
      <c r="G309" s="27"/>
      <c r="H309" s="28"/>
      <c r="I309" s="28"/>
      <c r="J309" s="10"/>
      <c r="K309" s="10"/>
      <c r="L309" s="27"/>
      <c r="M309" s="27"/>
      <c r="N309" s="29"/>
      <c r="O309" s="29"/>
      <c r="P309" s="29"/>
      <c r="Q309" s="29"/>
      <c r="R309" s="29"/>
      <c r="S309" s="27"/>
      <c r="T309" s="28"/>
      <c r="U309" s="27"/>
      <c r="V309" s="28"/>
      <c r="W309" s="27"/>
      <c r="X309" s="10"/>
      <c r="Y309" s="27"/>
      <c r="Z309" s="10"/>
      <c r="AA309" s="27"/>
      <c r="AB309" s="10"/>
      <c r="AC309" s="117"/>
      <c r="AD309" s="29"/>
      <c r="AE309" s="29"/>
      <c r="AF309" s="29"/>
      <c r="AG309" s="117"/>
      <c r="AH309" s="27"/>
      <c r="AI309" s="27"/>
      <c r="AJ309" s="27"/>
      <c r="AK309" s="117"/>
    </row>
    <row r="310" spans="1:37" x14ac:dyDescent="0.3">
      <c r="B310" s="3"/>
      <c r="C310" s="3"/>
      <c r="D310" s="26"/>
      <c r="E310" s="3"/>
      <c r="F310" s="3"/>
      <c r="G310" s="27"/>
      <c r="H310" s="28"/>
      <c r="I310" s="28"/>
      <c r="J310" s="10"/>
      <c r="K310" s="10"/>
      <c r="L310" s="27"/>
      <c r="M310" s="27"/>
      <c r="N310" s="29"/>
      <c r="O310" s="29"/>
      <c r="P310" s="29"/>
      <c r="Q310" s="29"/>
      <c r="R310" s="29"/>
      <c r="S310" s="27"/>
      <c r="T310" s="28"/>
      <c r="U310" s="27"/>
      <c r="V310" s="28"/>
      <c r="W310" s="27"/>
      <c r="X310" s="10"/>
      <c r="Y310" s="27"/>
      <c r="Z310" s="10"/>
      <c r="AA310" s="27"/>
      <c r="AB310" s="10"/>
      <c r="AC310" s="117"/>
      <c r="AD310" s="29"/>
      <c r="AE310" s="29"/>
      <c r="AF310" s="29"/>
      <c r="AG310" s="117"/>
      <c r="AH310" s="27"/>
      <c r="AI310" s="27"/>
      <c r="AJ310" s="27"/>
      <c r="AK310" s="117"/>
    </row>
    <row r="311" spans="1:37" x14ac:dyDescent="0.3">
      <c r="B311" s="3"/>
      <c r="C311" s="3"/>
      <c r="D311" s="26"/>
      <c r="E311" s="3"/>
      <c r="F311" s="3"/>
      <c r="G311" s="27"/>
      <c r="H311" s="28"/>
      <c r="I311" s="28"/>
      <c r="J311" s="10"/>
      <c r="K311" s="10"/>
      <c r="L311" s="27"/>
      <c r="M311" s="27"/>
      <c r="N311" s="29"/>
      <c r="O311" s="29"/>
      <c r="P311" s="29"/>
      <c r="Q311" s="29"/>
      <c r="R311" s="29"/>
      <c r="S311" s="27"/>
      <c r="T311" s="28"/>
      <c r="U311" s="27"/>
      <c r="V311" s="28"/>
      <c r="W311" s="27"/>
      <c r="X311" s="10"/>
      <c r="Y311" s="27"/>
      <c r="Z311" s="10"/>
      <c r="AA311" s="27"/>
      <c r="AB311" s="10"/>
      <c r="AC311" s="117"/>
      <c r="AD311" s="29"/>
      <c r="AE311" s="29"/>
      <c r="AF311" s="29"/>
      <c r="AG311" s="117"/>
      <c r="AH311" s="27"/>
      <c r="AI311" s="27"/>
      <c r="AJ311" s="27"/>
      <c r="AK311" s="117"/>
    </row>
    <row r="312" spans="1:37" x14ac:dyDescent="0.3">
      <c r="B312" s="3"/>
      <c r="C312" s="3"/>
      <c r="D312" s="26"/>
      <c r="E312" s="3"/>
      <c r="F312" s="3"/>
      <c r="G312" s="27"/>
      <c r="H312" s="28"/>
      <c r="I312" s="28"/>
      <c r="J312" s="10"/>
      <c r="K312" s="10"/>
      <c r="L312" s="27"/>
      <c r="M312" s="27"/>
      <c r="N312" s="29"/>
      <c r="O312" s="29"/>
      <c r="P312" s="29"/>
      <c r="Q312" s="29"/>
      <c r="R312" s="29"/>
      <c r="S312" s="27"/>
      <c r="T312" s="28"/>
      <c r="U312" s="27"/>
      <c r="V312" s="28"/>
      <c r="W312" s="27"/>
      <c r="X312" s="10"/>
      <c r="Y312" s="27"/>
      <c r="Z312" s="10"/>
      <c r="AA312" s="27"/>
      <c r="AB312" s="10"/>
      <c r="AC312" s="117"/>
      <c r="AD312" s="29"/>
      <c r="AE312" s="29"/>
      <c r="AF312" s="29"/>
      <c r="AG312" s="117"/>
      <c r="AH312" s="27"/>
      <c r="AI312" s="27"/>
      <c r="AJ312" s="27"/>
      <c r="AK312" s="117"/>
    </row>
    <row r="313" spans="1:37" x14ac:dyDescent="0.3">
      <c r="B313" s="3"/>
      <c r="C313" s="3"/>
      <c r="D313" s="26"/>
      <c r="E313" s="3"/>
      <c r="F313" s="3"/>
      <c r="G313" s="27"/>
      <c r="H313" s="28"/>
      <c r="I313" s="28"/>
      <c r="J313" s="10"/>
      <c r="K313" s="10"/>
      <c r="L313" s="27"/>
      <c r="M313" s="27"/>
      <c r="N313" s="29"/>
      <c r="O313" s="29"/>
      <c r="P313" s="29"/>
      <c r="Q313" s="29"/>
      <c r="R313" s="29"/>
      <c r="S313" s="27"/>
      <c r="T313" s="28"/>
      <c r="U313" s="27"/>
      <c r="V313" s="28"/>
      <c r="W313" s="27"/>
      <c r="X313" s="10"/>
      <c r="Y313" s="27"/>
      <c r="Z313" s="10"/>
      <c r="AA313" s="27"/>
      <c r="AB313" s="10"/>
      <c r="AC313" s="117"/>
      <c r="AD313" s="29"/>
      <c r="AE313" s="29"/>
      <c r="AF313" s="29"/>
      <c r="AG313" s="117"/>
      <c r="AH313" s="27"/>
      <c r="AI313" s="27"/>
      <c r="AJ313" s="27"/>
      <c r="AK313" s="117"/>
    </row>
    <row r="314" spans="1:37" x14ac:dyDescent="0.3">
      <c r="A314" s="30"/>
      <c r="B314" s="3"/>
      <c r="C314" s="3"/>
      <c r="D314" s="26"/>
      <c r="E314" s="3"/>
      <c r="F314" s="3"/>
      <c r="G314" s="27"/>
      <c r="H314" s="28"/>
      <c r="I314" s="28"/>
      <c r="J314" s="10"/>
      <c r="K314" s="10"/>
      <c r="L314" s="27"/>
      <c r="M314" s="27"/>
      <c r="N314" s="29"/>
      <c r="O314" s="29"/>
      <c r="P314" s="29"/>
      <c r="Q314" s="29"/>
      <c r="R314" s="29"/>
      <c r="S314" s="27"/>
      <c r="T314" s="28"/>
      <c r="U314" s="27"/>
      <c r="V314" s="28"/>
      <c r="W314" s="27"/>
      <c r="X314" s="10"/>
      <c r="Y314" s="27"/>
      <c r="Z314" s="10"/>
      <c r="AA314" s="27"/>
      <c r="AB314" s="10"/>
      <c r="AC314" s="117"/>
      <c r="AD314" s="29"/>
      <c r="AE314" s="29"/>
      <c r="AF314" s="29"/>
      <c r="AG314" s="117"/>
      <c r="AH314" s="27"/>
      <c r="AI314" s="27"/>
      <c r="AJ314" s="27"/>
      <c r="AK314" s="117"/>
    </row>
    <row r="315" spans="1:37" x14ac:dyDescent="0.3">
      <c r="A315" s="30"/>
      <c r="B315" s="3"/>
      <c r="C315" s="3"/>
      <c r="D315" s="26"/>
      <c r="E315" s="3"/>
      <c r="F315" s="3"/>
      <c r="G315" s="27"/>
      <c r="H315" s="28"/>
      <c r="I315" s="28"/>
      <c r="J315" s="10"/>
      <c r="K315" s="10"/>
      <c r="L315" s="27"/>
      <c r="M315" s="27"/>
      <c r="N315" s="29"/>
      <c r="O315" s="29"/>
      <c r="P315" s="29"/>
      <c r="Q315" s="29"/>
      <c r="R315" s="29"/>
      <c r="S315" s="27"/>
      <c r="T315" s="28"/>
      <c r="U315" s="27"/>
      <c r="V315" s="28"/>
      <c r="W315" s="27"/>
      <c r="X315" s="10"/>
      <c r="Y315" s="27"/>
      <c r="Z315" s="10"/>
      <c r="AA315" s="27"/>
      <c r="AB315" s="10"/>
      <c r="AC315" s="117"/>
      <c r="AD315" s="29"/>
      <c r="AE315" s="29"/>
      <c r="AF315" s="29"/>
      <c r="AG315" s="117"/>
      <c r="AH315" s="27"/>
      <c r="AI315" s="27"/>
      <c r="AJ315" s="27"/>
      <c r="AK315" s="117"/>
    </row>
    <row r="316" spans="1:37" x14ac:dyDescent="0.3">
      <c r="A316" s="3"/>
      <c r="B316" s="3"/>
      <c r="C316" s="3"/>
      <c r="D316" s="26"/>
      <c r="E316" s="3"/>
      <c r="F316" s="3"/>
      <c r="G316" s="27"/>
      <c r="H316" s="28"/>
      <c r="I316" s="28"/>
      <c r="J316" s="10"/>
      <c r="K316" s="10"/>
      <c r="L316" s="27"/>
      <c r="M316" s="27"/>
      <c r="N316" s="29"/>
      <c r="O316" s="29"/>
      <c r="P316" s="29"/>
      <c r="Q316" s="29"/>
      <c r="R316" s="29"/>
      <c r="S316" s="27"/>
      <c r="T316" s="28"/>
      <c r="U316" s="27"/>
      <c r="V316" s="28"/>
      <c r="W316" s="27"/>
      <c r="X316" s="10"/>
      <c r="Y316" s="27"/>
      <c r="Z316" s="10"/>
      <c r="AA316" s="27"/>
      <c r="AB316" s="10"/>
      <c r="AC316" s="117"/>
      <c r="AD316" s="29"/>
      <c r="AE316" s="29"/>
      <c r="AF316" s="29"/>
      <c r="AG316" s="117"/>
      <c r="AH316" s="27"/>
      <c r="AI316" s="27"/>
      <c r="AJ316" s="27"/>
      <c r="AK316" s="117"/>
    </row>
    <row r="317" spans="1:37" x14ac:dyDescent="0.3">
      <c r="B317" s="3"/>
      <c r="C317" s="3"/>
      <c r="D317" s="26"/>
      <c r="E317" s="3"/>
      <c r="F317" s="3"/>
      <c r="G317" s="27"/>
      <c r="H317" s="28"/>
      <c r="I317" s="28"/>
      <c r="J317" s="10"/>
      <c r="K317" s="10"/>
      <c r="L317" s="27"/>
      <c r="M317" s="27"/>
      <c r="N317" s="29"/>
      <c r="O317" s="29"/>
      <c r="P317" s="29"/>
      <c r="Q317" s="29"/>
      <c r="R317" s="29"/>
      <c r="S317" s="27"/>
      <c r="T317" s="28"/>
      <c r="U317" s="27"/>
      <c r="V317" s="28"/>
      <c r="W317" s="27"/>
      <c r="X317" s="10"/>
      <c r="Y317" s="27"/>
      <c r="Z317" s="10"/>
      <c r="AA317" s="27"/>
      <c r="AB317" s="10"/>
      <c r="AC317" s="117"/>
      <c r="AD317" s="29"/>
      <c r="AE317" s="29"/>
      <c r="AF317" s="29"/>
      <c r="AG317" s="117"/>
      <c r="AH317" s="27"/>
      <c r="AI317" s="27"/>
      <c r="AJ317" s="27"/>
      <c r="AK317" s="117"/>
    </row>
    <row r="318" spans="1:37" x14ac:dyDescent="0.3">
      <c r="B318" s="3"/>
      <c r="C318" s="3"/>
      <c r="D318" s="26"/>
      <c r="E318" s="3"/>
      <c r="F318" s="3"/>
      <c r="G318" s="27"/>
      <c r="H318" s="28"/>
      <c r="I318" s="28"/>
      <c r="J318" s="10"/>
      <c r="K318" s="10"/>
      <c r="L318" s="27"/>
      <c r="M318" s="27"/>
      <c r="N318" s="29"/>
      <c r="O318" s="29"/>
      <c r="P318" s="29"/>
      <c r="Q318" s="29"/>
      <c r="R318" s="29"/>
      <c r="S318" s="27"/>
      <c r="T318" s="28"/>
      <c r="U318" s="27"/>
      <c r="V318" s="28"/>
      <c r="W318" s="27"/>
      <c r="X318" s="10"/>
      <c r="Y318" s="27"/>
      <c r="Z318" s="10"/>
      <c r="AA318" s="27"/>
      <c r="AB318" s="10"/>
      <c r="AC318" s="117"/>
      <c r="AD318" s="29"/>
      <c r="AE318" s="29"/>
      <c r="AF318" s="29"/>
      <c r="AG318" s="117"/>
      <c r="AH318" s="27"/>
      <c r="AI318" s="27"/>
      <c r="AJ318" s="27"/>
      <c r="AK318" s="117"/>
    </row>
    <row r="319" spans="1:37" x14ac:dyDescent="0.3">
      <c r="B319" s="3"/>
      <c r="C319" s="3"/>
      <c r="D319" s="26"/>
      <c r="E319" s="3"/>
      <c r="F319" s="3"/>
      <c r="G319" s="27"/>
      <c r="H319" s="28"/>
      <c r="I319" s="28"/>
      <c r="J319" s="10"/>
      <c r="K319" s="10"/>
      <c r="L319" s="27"/>
      <c r="M319" s="27"/>
      <c r="N319" s="29"/>
      <c r="O319" s="29"/>
      <c r="P319" s="29"/>
      <c r="Q319" s="29"/>
      <c r="R319" s="29"/>
      <c r="S319" s="27"/>
      <c r="T319" s="28"/>
      <c r="U319" s="27"/>
      <c r="V319" s="28"/>
      <c r="W319" s="27"/>
      <c r="X319" s="10"/>
      <c r="Y319" s="27"/>
      <c r="Z319" s="10"/>
      <c r="AA319" s="27"/>
      <c r="AB319" s="10"/>
      <c r="AC319" s="117"/>
      <c r="AD319" s="29"/>
      <c r="AE319" s="29"/>
      <c r="AF319" s="29"/>
      <c r="AG319" s="117"/>
      <c r="AH319" s="27"/>
      <c r="AI319" s="27"/>
      <c r="AJ319" s="27"/>
      <c r="AK319" s="117"/>
    </row>
    <row r="320" spans="1:37" x14ac:dyDescent="0.3">
      <c r="B320" s="3"/>
      <c r="C320" s="3"/>
      <c r="D320" s="26"/>
      <c r="E320" s="3"/>
      <c r="F320" s="3"/>
      <c r="G320" s="27"/>
      <c r="H320" s="28"/>
      <c r="I320" s="28"/>
      <c r="J320" s="10"/>
      <c r="K320" s="10"/>
      <c r="L320" s="27"/>
      <c r="M320" s="27"/>
      <c r="N320" s="29"/>
      <c r="O320" s="29"/>
      <c r="P320" s="29"/>
      <c r="Q320" s="29"/>
      <c r="R320" s="29"/>
      <c r="S320" s="27"/>
      <c r="T320" s="28"/>
      <c r="U320" s="27"/>
      <c r="V320" s="28"/>
      <c r="W320" s="27"/>
      <c r="X320" s="10"/>
      <c r="Y320" s="27"/>
      <c r="Z320" s="10"/>
      <c r="AA320" s="27"/>
      <c r="AB320" s="10"/>
      <c r="AC320" s="117"/>
      <c r="AD320" s="29"/>
      <c r="AE320" s="29"/>
      <c r="AF320" s="29"/>
      <c r="AG320" s="117"/>
      <c r="AH320" s="27"/>
      <c r="AI320" s="27"/>
      <c r="AJ320" s="27"/>
      <c r="AK320" s="117"/>
    </row>
    <row r="321" spans="1:37" x14ac:dyDescent="0.3">
      <c r="A321" s="3"/>
      <c r="B321" s="3"/>
      <c r="C321" s="3"/>
      <c r="D321" s="26"/>
      <c r="E321" s="3"/>
      <c r="F321" s="3"/>
      <c r="G321" s="27"/>
      <c r="H321" s="28"/>
      <c r="I321" s="28"/>
      <c r="J321" s="10"/>
      <c r="K321" s="10"/>
      <c r="L321" s="27"/>
      <c r="M321" s="27"/>
      <c r="N321" s="29"/>
      <c r="O321" s="29"/>
      <c r="P321" s="29"/>
      <c r="Q321" s="29"/>
      <c r="R321" s="29"/>
      <c r="S321" s="27"/>
      <c r="T321" s="28"/>
      <c r="U321" s="27"/>
      <c r="V321" s="28"/>
      <c r="W321" s="27"/>
      <c r="X321" s="10"/>
      <c r="Y321" s="27"/>
      <c r="Z321" s="10"/>
      <c r="AA321" s="27"/>
      <c r="AB321" s="10"/>
      <c r="AC321" s="117"/>
      <c r="AD321" s="29"/>
      <c r="AE321" s="29"/>
      <c r="AF321" s="29"/>
      <c r="AG321" s="117"/>
      <c r="AH321" s="27"/>
      <c r="AI321" s="27"/>
      <c r="AJ321" s="27"/>
      <c r="AK321" s="117"/>
    </row>
    <row r="322" spans="1:37" x14ac:dyDescent="0.3">
      <c r="B322" s="3"/>
      <c r="C322" s="3"/>
      <c r="D322" s="26"/>
      <c r="E322" s="3"/>
      <c r="F322" s="3"/>
      <c r="G322" s="27"/>
      <c r="H322" s="28"/>
      <c r="I322" s="28"/>
      <c r="J322" s="10"/>
      <c r="K322" s="10"/>
      <c r="L322" s="27"/>
      <c r="M322" s="27"/>
      <c r="N322" s="29"/>
      <c r="O322" s="29"/>
      <c r="P322" s="29"/>
      <c r="Q322" s="29"/>
      <c r="R322" s="29"/>
      <c r="S322" s="27"/>
      <c r="T322" s="28"/>
      <c r="U322" s="27"/>
      <c r="V322" s="28"/>
      <c r="W322" s="27"/>
      <c r="X322" s="10"/>
      <c r="Y322" s="27"/>
      <c r="Z322" s="10"/>
      <c r="AA322" s="27"/>
      <c r="AB322" s="10"/>
      <c r="AC322" s="117"/>
      <c r="AD322" s="29"/>
      <c r="AE322" s="29"/>
      <c r="AF322" s="29"/>
      <c r="AG322" s="117"/>
      <c r="AH322" s="27"/>
      <c r="AI322" s="27"/>
      <c r="AJ322" s="27"/>
      <c r="AK322" s="117"/>
    </row>
    <row r="323" spans="1:37" x14ac:dyDescent="0.3">
      <c r="B323" s="3"/>
      <c r="C323" s="3"/>
      <c r="D323" s="26"/>
      <c r="E323" s="3"/>
      <c r="F323" s="3"/>
      <c r="G323" s="27"/>
      <c r="H323" s="28"/>
      <c r="I323" s="28"/>
      <c r="J323" s="10"/>
      <c r="K323" s="10"/>
      <c r="L323" s="27"/>
      <c r="M323" s="27"/>
      <c r="N323" s="29"/>
      <c r="O323" s="29"/>
      <c r="P323" s="29"/>
      <c r="Q323" s="29"/>
      <c r="R323" s="29"/>
      <c r="S323" s="27"/>
      <c r="T323" s="28"/>
      <c r="U323" s="27"/>
      <c r="V323" s="28"/>
      <c r="W323" s="27"/>
      <c r="X323" s="10"/>
      <c r="Y323" s="27"/>
      <c r="Z323" s="10"/>
      <c r="AA323" s="27"/>
      <c r="AB323" s="10"/>
      <c r="AC323" s="117"/>
      <c r="AD323" s="29"/>
      <c r="AE323" s="29"/>
      <c r="AF323" s="29"/>
      <c r="AG323" s="117"/>
      <c r="AH323" s="27"/>
      <c r="AI323" s="27"/>
      <c r="AJ323" s="27"/>
      <c r="AK323" s="117"/>
    </row>
    <row r="324" spans="1:37" x14ac:dyDescent="0.3">
      <c r="B324" s="3"/>
      <c r="C324" s="3"/>
      <c r="D324" s="26"/>
      <c r="E324" s="3"/>
      <c r="F324" s="3"/>
      <c r="G324" s="27"/>
      <c r="H324" s="28"/>
      <c r="I324" s="28"/>
      <c r="J324" s="10"/>
      <c r="K324" s="10"/>
      <c r="L324" s="27"/>
      <c r="M324" s="27"/>
      <c r="N324" s="29"/>
      <c r="O324" s="29"/>
      <c r="P324" s="29"/>
      <c r="Q324" s="29"/>
      <c r="R324" s="29"/>
      <c r="S324" s="27"/>
      <c r="T324" s="28"/>
      <c r="U324" s="27"/>
      <c r="V324" s="28"/>
      <c r="W324" s="27"/>
      <c r="X324" s="10"/>
      <c r="Y324" s="27"/>
      <c r="Z324" s="10"/>
      <c r="AA324" s="27"/>
      <c r="AB324" s="10"/>
      <c r="AC324" s="117"/>
      <c r="AD324" s="29"/>
      <c r="AE324" s="29"/>
      <c r="AF324" s="29"/>
      <c r="AG324" s="117"/>
      <c r="AH324" s="27"/>
      <c r="AI324" s="27"/>
      <c r="AJ324" s="27"/>
      <c r="AK324" s="117"/>
    </row>
    <row r="325" spans="1:37" x14ac:dyDescent="0.3">
      <c r="B325" s="3"/>
      <c r="C325" s="3"/>
      <c r="D325" s="26"/>
      <c r="E325" s="3"/>
      <c r="F325" s="3"/>
      <c r="G325" s="27"/>
      <c r="H325" s="28"/>
      <c r="I325" s="28"/>
      <c r="J325" s="10"/>
      <c r="K325" s="10"/>
      <c r="L325" s="27"/>
      <c r="M325" s="27"/>
      <c r="N325" s="29"/>
      <c r="O325" s="29"/>
      <c r="P325" s="29"/>
      <c r="Q325" s="29"/>
      <c r="R325" s="29"/>
      <c r="S325" s="27"/>
      <c r="T325" s="28"/>
      <c r="U325" s="27"/>
      <c r="V325" s="28"/>
      <c r="W325" s="27"/>
      <c r="X325" s="10"/>
      <c r="Y325" s="27"/>
      <c r="Z325" s="10"/>
      <c r="AA325" s="27"/>
      <c r="AB325" s="10"/>
      <c r="AC325" s="117"/>
      <c r="AD325" s="29"/>
      <c r="AE325" s="29"/>
      <c r="AF325" s="29"/>
      <c r="AG325" s="117"/>
      <c r="AH325" s="27"/>
      <c r="AI325" s="27"/>
      <c r="AJ325" s="27"/>
      <c r="AK325" s="117"/>
    </row>
    <row r="326" spans="1:37" x14ac:dyDescent="0.3">
      <c r="A326" s="3"/>
      <c r="B326" s="3"/>
      <c r="C326" s="3"/>
      <c r="D326" s="26"/>
      <c r="E326" s="3"/>
      <c r="F326" s="3"/>
      <c r="G326" s="27"/>
      <c r="H326" s="28"/>
      <c r="I326" s="28"/>
      <c r="J326" s="10"/>
      <c r="K326" s="10"/>
      <c r="L326" s="27"/>
      <c r="M326" s="27"/>
      <c r="N326" s="29"/>
      <c r="O326" s="29"/>
      <c r="P326" s="29"/>
      <c r="Q326" s="29"/>
      <c r="R326" s="29"/>
      <c r="S326" s="27"/>
      <c r="T326" s="28"/>
      <c r="U326" s="27"/>
      <c r="V326" s="28"/>
      <c r="W326" s="27"/>
      <c r="X326" s="10"/>
      <c r="Y326" s="27"/>
      <c r="Z326" s="10"/>
      <c r="AA326" s="27"/>
      <c r="AB326" s="10"/>
      <c r="AC326" s="117"/>
      <c r="AD326" s="29"/>
      <c r="AE326" s="29"/>
      <c r="AF326" s="29"/>
      <c r="AG326" s="117"/>
      <c r="AH326" s="27"/>
      <c r="AI326" s="27"/>
      <c r="AJ326" s="27"/>
      <c r="AK326" s="117"/>
    </row>
    <row r="327" spans="1:37" x14ac:dyDescent="0.3">
      <c r="B327" s="3"/>
      <c r="C327" s="3"/>
      <c r="D327" s="26"/>
      <c r="E327" s="3"/>
      <c r="F327" s="3"/>
      <c r="G327" s="27"/>
      <c r="H327" s="28"/>
      <c r="I327" s="28"/>
      <c r="J327" s="10"/>
      <c r="K327" s="10"/>
      <c r="L327" s="27"/>
      <c r="M327" s="27"/>
      <c r="N327" s="29"/>
      <c r="O327" s="29"/>
      <c r="P327" s="29"/>
      <c r="Q327" s="29"/>
      <c r="R327" s="29"/>
      <c r="S327" s="27"/>
      <c r="T327" s="28"/>
      <c r="U327" s="27"/>
      <c r="V327" s="28"/>
      <c r="W327" s="27"/>
      <c r="X327" s="10"/>
      <c r="Y327" s="27"/>
      <c r="Z327" s="10"/>
      <c r="AA327" s="27"/>
      <c r="AB327" s="10"/>
      <c r="AC327" s="117"/>
      <c r="AD327" s="29"/>
      <c r="AE327" s="29"/>
      <c r="AF327" s="29"/>
      <c r="AG327" s="117"/>
      <c r="AH327" s="27"/>
      <c r="AI327" s="27"/>
      <c r="AJ327" s="27"/>
      <c r="AK327" s="117"/>
    </row>
    <row r="328" spans="1:37" x14ac:dyDescent="0.3">
      <c r="B328" s="3"/>
      <c r="C328" s="3"/>
      <c r="D328" s="26"/>
      <c r="E328" s="3"/>
      <c r="F328" s="3"/>
      <c r="G328" s="27"/>
      <c r="H328" s="28"/>
      <c r="I328" s="28"/>
      <c r="J328" s="10"/>
      <c r="K328" s="10"/>
      <c r="L328" s="27"/>
      <c r="M328" s="27"/>
      <c r="N328" s="29"/>
      <c r="O328" s="29"/>
      <c r="P328" s="29"/>
      <c r="Q328" s="29"/>
      <c r="R328" s="29"/>
      <c r="S328" s="27"/>
      <c r="T328" s="28"/>
      <c r="U328" s="27"/>
      <c r="V328" s="28"/>
      <c r="W328" s="27"/>
      <c r="X328" s="10"/>
      <c r="Y328" s="27"/>
      <c r="Z328" s="10"/>
      <c r="AA328" s="27"/>
      <c r="AB328" s="10"/>
      <c r="AC328" s="117"/>
      <c r="AD328" s="29"/>
      <c r="AE328" s="29"/>
      <c r="AF328" s="29"/>
      <c r="AG328" s="117"/>
      <c r="AH328" s="27"/>
      <c r="AI328" s="27"/>
      <c r="AJ328" s="27"/>
      <c r="AK328" s="117"/>
    </row>
    <row r="329" spans="1:37" x14ac:dyDescent="0.3">
      <c r="B329" s="3"/>
      <c r="C329" s="3"/>
      <c r="D329" s="26"/>
      <c r="E329" s="3"/>
      <c r="F329" s="3"/>
      <c r="G329" s="27"/>
      <c r="H329" s="28"/>
      <c r="I329" s="28"/>
      <c r="J329" s="10"/>
      <c r="K329" s="10"/>
      <c r="L329" s="27"/>
      <c r="M329" s="27"/>
      <c r="N329" s="29"/>
      <c r="O329" s="29"/>
      <c r="P329" s="29"/>
      <c r="Q329" s="29"/>
      <c r="R329" s="29"/>
      <c r="S329" s="27"/>
      <c r="T329" s="28"/>
      <c r="U329" s="27"/>
      <c r="V329" s="28"/>
      <c r="W329" s="27"/>
      <c r="X329" s="10"/>
      <c r="Y329" s="27"/>
      <c r="Z329" s="10"/>
      <c r="AA329" s="27"/>
      <c r="AB329" s="10"/>
      <c r="AC329" s="117"/>
      <c r="AD329" s="29"/>
      <c r="AE329" s="29"/>
      <c r="AF329" s="29"/>
      <c r="AG329" s="117"/>
      <c r="AH329" s="27"/>
      <c r="AI329" s="27"/>
      <c r="AJ329" s="27"/>
      <c r="AK329" s="117"/>
    </row>
    <row r="330" spans="1:37" x14ac:dyDescent="0.3">
      <c r="B330" s="3"/>
      <c r="C330" s="3"/>
      <c r="D330" s="26"/>
      <c r="E330" s="3"/>
      <c r="F330" s="3"/>
      <c r="G330" s="27"/>
      <c r="H330" s="28"/>
      <c r="I330" s="28"/>
      <c r="J330" s="10"/>
      <c r="K330" s="10"/>
      <c r="L330" s="27"/>
      <c r="M330" s="27"/>
      <c r="N330" s="29"/>
      <c r="O330" s="29"/>
      <c r="P330" s="29"/>
      <c r="Q330" s="29"/>
      <c r="R330" s="29"/>
      <c r="S330" s="27"/>
      <c r="T330" s="28"/>
      <c r="U330" s="27"/>
      <c r="V330" s="28"/>
      <c r="W330" s="27"/>
      <c r="X330" s="10"/>
      <c r="Y330" s="27"/>
      <c r="Z330" s="10"/>
      <c r="AA330" s="27"/>
      <c r="AB330" s="10"/>
      <c r="AC330" s="117"/>
      <c r="AD330" s="29"/>
      <c r="AE330" s="29"/>
      <c r="AF330" s="29"/>
      <c r="AG330" s="117"/>
      <c r="AH330" s="27"/>
      <c r="AI330" s="27"/>
      <c r="AJ330" s="27"/>
      <c r="AK330" s="117"/>
    </row>
    <row r="331" spans="1:37" x14ac:dyDescent="0.3">
      <c r="B331" s="3"/>
      <c r="C331" s="3"/>
      <c r="D331" s="26"/>
      <c r="E331" s="3"/>
      <c r="F331" s="3"/>
      <c r="G331" s="27"/>
      <c r="H331" s="28"/>
      <c r="I331" s="28"/>
      <c r="J331" s="10"/>
      <c r="K331" s="10"/>
      <c r="L331" s="27"/>
      <c r="M331" s="27"/>
      <c r="N331" s="29"/>
      <c r="O331" s="29"/>
      <c r="P331" s="29"/>
      <c r="Q331" s="29"/>
      <c r="R331" s="29"/>
      <c r="S331" s="27"/>
      <c r="T331" s="28"/>
      <c r="U331" s="27"/>
      <c r="V331" s="28"/>
      <c r="W331" s="27"/>
      <c r="X331" s="10"/>
      <c r="Y331" s="27"/>
      <c r="Z331" s="10"/>
      <c r="AA331" s="27"/>
      <c r="AB331" s="10"/>
      <c r="AC331" s="117"/>
      <c r="AD331" s="29"/>
      <c r="AE331" s="29"/>
      <c r="AF331" s="29"/>
      <c r="AG331" s="117"/>
      <c r="AH331" s="27"/>
      <c r="AI331" s="27"/>
      <c r="AJ331" s="27"/>
      <c r="AK331" s="117"/>
    </row>
    <row r="332" spans="1:37" x14ac:dyDescent="0.3">
      <c r="B332" s="3"/>
      <c r="C332" s="3"/>
      <c r="D332" s="26"/>
      <c r="E332" s="3"/>
      <c r="F332" s="3"/>
      <c r="G332" s="27"/>
      <c r="H332" s="28"/>
      <c r="I332" s="28"/>
      <c r="J332" s="10"/>
      <c r="K332" s="10"/>
      <c r="L332" s="27"/>
      <c r="M332" s="27"/>
      <c r="N332" s="29"/>
      <c r="O332" s="29"/>
      <c r="P332" s="29"/>
      <c r="Q332" s="29"/>
      <c r="R332" s="29"/>
      <c r="S332" s="27"/>
      <c r="T332" s="28"/>
      <c r="U332" s="27"/>
      <c r="V332" s="28"/>
      <c r="W332" s="27"/>
      <c r="X332" s="10"/>
      <c r="Y332" s="27"/>
      <c r="Z332" s="10"/>
      <c r="AA332" s="27"/>
      <c r="AB332" s="10"/>
      <c r="AC332" s="117"/>
      <c r="AD332" s="29"/>
      <c r="AE332" s="29"/>
      <c r="AF332" s="29"/>
      <c r="AG332" s="117"/>
      <c r="AH332" s="27"/>
      <c r="AI332" s="27"/>
      <c r="AJ332" s="27"/>
      <c r="AK332" s="117"/>
    </row>
    <row r="333" spans="1:37" x14ac:dyDescent="0.3">
      <c r="B333" s="3"/>
      <c r="C333" s="3"/>
      <c r="D333" s="26"/>
      <c r="E333" s="3"/>
      <c r="F333" s="3"/>
      <c r="G333" s="27"/>
      <c r="H333" s="28"/>
      <c r="I333" s="28"/>
      <c r="J333" s="10"/>
      <c r="K333" s="10"/>
      <c r="L333" s="27"/>
      <c r="M333" s="27"/>
      <c r="N333" s="29"/>
      <c r="O333" s="29"/>
      <c r="P333" s="29"/>
      <c r="Q333" s="29"/>
      <c r="R333" s="29"/>
      <c r="S333" s="27"/>
      <c r="T333" s="28"/>
      <c r="U333" s="27"/>
      <c r="V333" s="28"/>
      <c r="W333" s="27"/>
      <c r="X333" s="10"/>
      <c r="Y333" s="27"/>
      <c r="Z333" s="10"/>
      <c r="AA333" s="27"/>
      <c r="AB333" s="10"/>
      <c r="AC333" s="117"/>
      <c r="AD333" s="29"/>
      <c r="AE333" s="29"/>
      <c r="AF333" s="29"/>
      <c r="AG333" s="117"/>
      <c r="AH333" s="27"/>
      <c r="AI333" s="27"/>
      <c r="AJ333" s="27"/>
      <c r="AK333" s="117"/>
    </row>
    <row r="334" spans="1:37" x14ac:dyDescent="0.3">
      <c r="A334" s="3"/>
      <c r="B334" s="3"/>
      <c r="C334" s="3"/>
      <c r="D334" s="26"/>
      <c r="E334" s="3"/>
      <c r="F334" s="3"/>
      <c r="G334" s="27"/>
      <c r="H334" s="28"/>
      <c r="I334" s="28"/>
      <c r="J334" s="10"/>
      <c r="K334" s="10"/>
      <c r="L334" s="27"/>
      <c r="M334" s="27"/>
      <c r="N334" s="29"/>
      <c r="O334" s="29"/>
      <c r="P334" s="29"/>
      <c r="Q334" s="29"/>
      <c r="R334" s="29"/>
      <c r="S334" s="27"/>
      <c r="T334" s="28"/>
      <c r="U334" s="27"/>
      <c r="V334" s="28"/>
      <c r="W334" s="27"/>
      <c r="X334" s="10"/>
      <c r="Y334" s="27"/>
      <c r="Z334" s="10"/>
      <c r="AA334" s="27"/>
      <c r="AB334" s="10"/>
      <c r="AC334" s="117"/>
      <c r="AD334" s="29"/>
      <c r="AE334" s="29"/>
      <c r="AF334" s="29"/>
      <c r="AG334" s="117"/>
      <c r="AH334" s="27"/>
      <c r="AI334" s="27"/>
      <c r="AJ334" s="27"/>
      <c r="AK334" s="117"/>
    </row>
    <row r="335" spans="1:37" x14ac:dyDescent="0.3">
      <c r="B335" s="3"/>
      <c r="C335" s="3"/>
      <c r="D335" s="26"/>
      <c r="E335" s="3"/>
      <c r="F335" s="3"/>
      <c r="G335" s="27"/>
      <c r="H335" s="28"/>
      <c r="I335" s="28"/>
      <c r="J335" s="10"/>
      <c r="K335" s="10"/>
      <c r="L335" s="27"/>
      <c r="M335" s="27"/>
      <c r="N335" s="29"/>
      <c r="O335" s="29"/>
      <c r="P335" s="29"/>
      <c r="Q335" s="29"/>
      <c r="R335" s="29"/>
      <c r="S335" s="27"/>
      <c r="T335" s="28"/>
      <c r="U335" s="27"/>
      <c r="V335" s="28"/>
      <c r="W335" s="27"/>
      <c r="X335" s="10"/>
      <c r="Y335" s="27"/>
      <c r="Z335" s="10"/>
      <c r="AA335" s="27"/>
      <c r="AB335" s="10"/>
      <c r="AC335" s="117"/>
      <c r="AD335" s="29"/>
      <c r="AE335" s="29"/>
      <c r="AF335" s="29"/>
      <c r="AG335" s="117"/>
      <c r="AH335" s="27"/>
      <c r="AI335" s="27"/>
      <c r="AJ335" s="27"/>
      <c r="AK335" s="117"/>
    </row>
    <row r="336" spans="1:37" x14ac:dyDescent="0.3">
      <c r="B336" s="3"/>
      <c r="C336" s="3"/>
      <c r="D336" s="26"/>
      <c r="E336" s="3"/>
      <c r="F336" s="3"/>
      <c r="G336" s="27"/>
      <c r="H336" s="28"/>
      <c r="I336" s="28"/>
      <c r="J336" s="10"/>
      <c r="K336" s="10"/>
      <c r="L336" s="27"/>
      <c r="M336" s="27"/>
      <c r="N336" s="29"/>
      <c r="O336" s="29"/>
      <c r="P336" s="29"/>
      <c r="Q336" s="29"/>
      <c r="R336" s="29"/>
      <c r="S336" s="27"/>
      <c r="T336" s="28"/>
      <c r="U336" s="27"/>
      <c r="V336" s="28"/>
      <c r="W336" s="27"/>
      <c r="X336" s="10"/>
      <c r="Y336" s="27"/>
      <c r="Z336" s="10"/>
      <c r="AA336" s="27"/>
      <c r="AB336" s="10"/>
      <c r="AC336" s="117"/>
      <c r="AD336" s="29"/>
      <c r="AE336" s="29"/>
      <c r="AF336" s="29"/>
      <c r="AG336" s="117"/>
      <c r="AH336" s="27"/>
      <c r="AI336" s="27"/>
      <c r="AJ336" s="27"/>
      <c r="AK336" s="117"/>
    </row>
    <row r="337" spans="1:37" ht="15.5" x14ac:dyDescent="0.3">
      <c r="A337" s="1"/>
      <c r="B337" s="3"/>
      <c r="C337" s="3"/>
      <c r="D337" s="26"/>
      <c r="E337" s="3"/>
      <c r="F337" s="3"/>
      <c r="G337" s="27"/>
      <c r="H337" s="28"/>
      <c r="I337" s="28"/>
      <c r="J337" s="10"/>
      <c r="K337" s="10"/>
      <c r="L337" s="27"/>
      <c r="M337" s="27"/>
      <c r="N337" s="29"/>
      <c r="O337" s="29"/>
      <c r="P337" s="29"/>
      <c r="Q337" s="29"/>
      <c r="R337" s="29"/>
      <c r="S337" s="27"/>
      <c r="T337" s="28"/>
      <c r="U337" s="27"/>
      <c r="V337" s="28"/>
      <c r="W337" s="27"/>
      <c r="X337" s="10"/>
      <c r="Y337" s="27"/>
      <c r="Z337" s="10"/>
      <c r="AA337" s="27"/>
      <c r="AB337" s="10"/>
      <c r="AC337" s="117"/>
      <c r="AD337" s="29"/>
      <c r="AE337" s="29"/>
      <c r="AF337" s="29"/>
      <c r="AG337" s="117"/>
      <c r="AH337" s="27"/>
      <c r="AI337" s="27"/>
      <c r="AJ337" s="27"/>
      <c r="AK337" s="117"/>
    </row>
    <row r="338" spans="1:37" x14ac:dyDescent="0.3">
      <c r="A338" s="3"/>
      <c r="B338" s="3"/>
      <c r="C338" s="3"/>
      <c r="D338" s="26"/>
      <c r="E338" s="3"/>
      <c r="F338" s="3"/>
      <c r="G338" s="27"/>
      <c r="H338" s="28"/>
      <c r="I338" s="28"/>
      <c r="J338" s="10"/>
      <c r="K338" s="10"/>
      <c r="L338" s="27"/>
      <c r="M338" s="27"/>
      <c r="N338" s="29"/>
      <c r="O338" s="29"/>
      <c r="P338" s="29"/>
      <c r="Q338" s="29"/>
      <c r="R338" s="29"/>
      <c r="S338" s="27"/>
      <c r="T338" s="28"/>
      <c r="U338" s="27"/>
      <c r="V338" s="28"/>
      <c r="W338" s="27"/>
      <c r="X338" s="10"/>
      <c r="Y338" s="27"/>
      <c r="Z338" s="10"/>
      <c r="AA338" s="27"/>
      <c r="AB338" s="10"/>
      <c r="AC338" s="117"/>
      <c r="AD338" s="29"/>
      <c r="AE338" s="29"/>
      <c r="AF338" s="29"/>
      <c r="AG338" s="117"/>
      <c r="AH338" s="27"/>
      <c r="AI338" s="27"/>
      <c r="AJ338" s="27"/>
      <c r="AK338" s="117"/>
    </row>
    <row r="339" spans="1:37" x14ac:dyDescent="0.3">
      <c r="A339" s="3"/>
      <c r="B339" s="3"/>
      <c r="C339" s="3"/>
      <c r="D339" s="26"/>
      <c r="E339" s="3"/>
      <c r="F339" s="3"/>
      <c r="G339" s="27"/>
      <c r="H339" s="28"/>
      <c r="I339" s="28"/>
      <c r="J339" s="10"/>
      <c r="K339" s="10"/>
      <c r="L339" s="27"/>
      <c r="M339" s="27"/>
      <c r="N339" s="29"/>
      <c r="O339" s="29"/>
      <c r="P339" s="29"/>
      <c r="Q339" s="29"/>
      <c r="R339" s="29"/>
      <c r="S339" s="27"/>
      <c r="T339" s="28"/>
      <c r="U339" s="27"/>
      <c r="V339" s="28"/>
      <c r="W339" s="27"/>
      <c r="X339" s="10"/>
      <c r="Y339" s="27"/>
      <c r="Z339" s="10"/>
      <c r="AA339" s="27"/>
      <c r="AB339" s="10"/>
      <c r="AC339" s="117"/>
      <c r="AD339" s="29"/>
      <c r="AE339" s="29"/>
      <c r="AF339" s="29"/>
      <c r="AG339" s="117"/>
      <c r="AH339" s="27"/>
      <c r="AI339" s="27"/>
      <c r="AJ339" s="27"/>
      <c r="AK339" s="117"/>
    </row>
    <row r="340" spans="1:37" x14ac:dyDescent="0.3">
      <c r="A340" s="31"/>
      <c r="B340" s="31"/>
      <c r="C340" s="31"/>
      <c r="D340" s="26"/>
      <c r="E340" s="3"/>
      <c r="F340" s="3"/>
      <c r="G340" s="27"/>
      <c r="H340" s="28"/>
      <c r="I340" s="28"/>
      <c r="J340" s="10"/>
      <c r="K340" s="10"/>
      <c r="L340" s="27"/>
      <c r="M340" s="27"/>
      <c r="N340" s="29"/>
      <c r="O340" s="29"/>
      <c r="P340" s="29"/>
      <c r="Q340" s="29"/>
      <c r="R340" s="29"/>
      <c r="S340" s="27"/>
      <c r="T340" s="28"/>
      <c r="U340" s="27"/>
      <c r="V340" s="28"/>
      <c r="W340" s="27"/>
      <c r="X340" s="10"/>
      <c r="Y340" s="27"/>
      <c r="Z340" s="10"/>
      <c r="AA340" s="27"/>
      <c r="AB340" s="10"/>
      <c r="AC340" s="117"/>
      <c r="AD340" s="29"/>
      <c r="AE340" s="29"/>
      <c r="AF340" s="29"/>
      <c r="AG340" s="117"/>
      <c r="AH340" s="27"/>
      <c r="AI340" s="27"/>
      <c r="AJ340" s="27"/>
      <c r="AK340" s="117"/>
    </row>
    <row r="341" spans="1:37" x14ac:dyDescent="0.3">
      <c r="A341" s="10"/>
      <c r="B341" s="10"/>
      <c r="C341" s="3"/>
      <c r="D341" s="26"/>
      <c r="E341" s="3"/>
      <c r="F341" s="3"/>
      <c r="G341" s="27"/>
      <c r="H341" s="28"/>
      <c r="I341" s="28"/>
      <c r="J341" s="10"/>
      <c r="K341" s="10"/>
      <c r="L341" s="27"/>
      <c r="M341" s="27"/>
      <c r="N341" s="29"/>
      <c r="O341" s="29"/>
      <c r="P341" s="29"/>
      <c r="Q341" s="29"/>
      <c r="R341" s="29"/>
      <c r="S341" s="27"/>
      <c r="T341" s="28"/>
      <c r="U341" s="27"/>
      <c r="V341" s="28"/>
      <c r="W341" s="27"/>
      <c r="X341" s="10"/>
      <c r="Y341" s="27"/>
      <c r="Z341" s="10"/>
      <c r="AA341" s="27"/>
      <c r="AB341" s="10"/>
      <c r="AC341" s="117"/>
      <c r="AD341" s="29"/>
      <c r="AE341" s="29"/>
      <c r="AF341" s="29"/>
      <c r="AG341" s="117"/>
      <c r="AH341" s="27"/>
      <c r="AI341" s="27"/>
      <c r="AJ341" s="27"/>
      <c r="AK341" s="117"/>
    </row>
    <row r="342" spans="1:37" x14ac:dyDescent="0.3">
      <c r="A342" s="10"/>
      <c r="B342" s="10"/>
      <c r="C342" s="3"/>
      <c r="D342" s="26"/>
      <c r="E342" s="3"/>
      <c r="F342" s="3"/>
      <c r="G342" s="27"/>
      <c r="H342" s="28"/>
      <c r="I342" s="28"/>
      <c r="J342" s="10"/>
      <c r="K342" s="10"/>
      <c r="L342" s="27"/>
      <c r="M342" s="27"/>
      <c r="N342" s="29"/>
      <c r="O342" s="29"/>
      <c r="P342" s="29"/>
      <c r="Q342" s="29"/>
      <c r="R342" s="29"/>
      <c r="S342" s="27"/>
      <c r="T342" s="28"/>
      <c r="U342" s="27"/>
      <c r="V342" s="28"/>
      <c r="W342" s="27"/>
      <c r="X342" s="10"/>
      <c r="Y342" s="27"/>
      <c r="Z342" s="10"/>
      <c r="AA342" s="27"/>
      <c r="AB342" s="10"/>
      <c r="AC342" s="117"/>
      <c r="AD342" s="29"/>
      <c r="AE342" s="29"/>
      <c r="AF342" s="29"/>
      <c r="AG342" s="117"/>
      <c r="AH342" s="27"/>
      <c r="AI342" s="27"/>
      <c r="AJ342" s="27"/>
      <c r="AK342" s="117"/>
    </row>
    <row r="343" spans="1:37" x14ac:dyDescent="0.3">
      <c r="A343" s="10"/>
      <c r="B343" s="10"/>
      <c r="C343" s="3"/>
      <c r="D343" s="26"/>
      <c r="E343" s="3"/>
      <c r="F343" s="3"/>
      <c r="G343" s="27"/>
      <c r="H343" s="28"/>
      <c r="I343" s="28"/>
      <c r="J343" s="10"/>
      <c r="K343" s="10"/>
      <c r="L343" s="27"/>
      <c r="M343" s="27"/>
      <c r="N343" s="29"/>
      <c r="O343" s="29"/>
      <c r="P343" s="29"/>
      <c r="Q343" s="29"/>
      <c r="R343" s="29"/>
      <c r="S343" s="27"/>
      <c r="T343" s="28"/>
      <c r="U343" s="27"/>
      <c r="V343" s="28"/>
      <c r="W343" s="27"/>
      <c r="X343" s="10"/>
      <c r="Y343" s="27"/>
      <c r="Z343" s="10"/>
      <c r="AA343" s="27"/>
      <c r="AB343" s="10"/>
      <c r="AC343" s="117"/>
      <c r="AD343" s="29"/>
      <c r="AE343" s="29"/>
      <c r="AF343" s="29"/>
      <c r="AG343" s="117"/>
      <c r="AH343" s="27"/>
      <c r="AI343" s="27"/>
      <c r="AJ343" s="27"/>
      <c r="AK343" s="117"/>
    </row>
    <row r="344" spans="1:37" x14ac:dyDescent="0.3">
      <c r="A344" s="10"/>
      <c r="B344" s="10"/>
      <c r="C344" s="3"/>
      <c r="D344" s="26"/>
      <c r="E344" s="3"/>
      <c r="F344" s="3"/>
      <c r="G344" s="27"/>
      <c r="H344" s="28"/>
      <c r="I344" s="28"/>
      <c r="J344" s="10"/>
      <c r="K344" s="10"/>
      <c r="L344" s="27"/>
      <c r="M344" s="27"/>
      <c r="N344" s="29"/>
      <c r="O344" s="29"/>
      <c r="P344" s="29"/>
      <c r="Q344" s="29"/>
      <c r="R344" s="29"/>
      <c r="S344" s="27"/>
      <c r="T344" s="28"/>
      <c r="U344" s="27"/>
      <c r="V344" s="28"/>
      <c r="W344" s="27"/>
      <c r="X344" s="10"/>
      <c r="Y344" s="27"/>
      <c r="Z344" s="10"/>
      <c r="AA344" s="27"/>
      <c r="AB344" s="10"/>
      <c r="AC344" s="117"/>
      <c r="AD344" s="29"/>
      <c r="AE344" s="29"/>
      <c r="AF344" s="29"/>
      <c r="AG344" s="117"/>
      <c r="AH344" s="27"/>
      <c r="AI344" s="27"/>
      <c r="AJ344" s="27"/>
      <c r="AK344" s="117"/>
    </row>
    <row r="345" spans="1:37" x14ac:dyDescent="0.3">
      <c r="A345" s="10"/>
      <c r="B345" s="10"/>
      <c r="C345" s="3"/>
      <c r="D345" s="26"/>
      <c r="E345" s="3"/>
      <c r="F345" s="3"/>
      <c r="G345" s="27"/>
      <c r="H345" s="28"/>
      <c r="I345" s="28"/>
      <c r="J345" s="10"/>
      <c r="K345" s="10"/>
      <c r="L345" s="27"/>
      <c r="M345" s="27"/>
      <c r="N345" s="29"/>
      <c r="O345" s="29"/>
      <c r="P345" s="29"/>
      <c r="Q345" s="29"/>
      <c r="R345" s="29"/>
      <c r="S345" s="27"/>
      <c r="T345" s="28"/>
      <c r="U345" s="27"/>
      <c r="V345" s="28"/>
      <c r="W345" s="27"/>
      <c r="X345" s="10"/>
      <c r="Y345" s="27"/>
      <c r="Z345" s="10"/>
      <c r="AA345" s="27"/>
      <c r="AB345" s="10"/>
      <c r="AC345" s="117"/>
      <c r="AD345" s="29"/>
      <c r="AE345" s="29"/>
      <c r="AF345" s="29"/>
      <c r="AG345" s="117"/>
      <c r="AH345" s="27"/>
      <c r="AI345" s="27"/>
      <c r="AJ345" s="27"/>
      <c r="AK345" s="117"/>
    </row>
    <row r="346" spans="1:37" x14ac:dyDescent="0.3">
      <c r="A346" s="10"/>
      <c r="B346" s="10"/>
      <c r="C346" s="3"/>
      <c r="D346" s="26"/>
      <c r="E346" s="3"/>
      <c r="F346" s="3"/>
      <c r="G346" s="27"/>
      <c r="H346" s="28"/>
      <c r="I346" s="28"/>
      <c r="J346" s="10"/>
      <c r="K346" s="10"/>
      <c r="L346" s="27"/>
      <c r="M346" s="27"/>
      <c r="N346" s="29"/>
      <c r="O346" s="29"/>
      <c r="P346" s="29"/>
      <c r="Q346" s="29"/>
      <c r="R346" s="29"/>
      <c r="S346" s="27"/>
      <c r="T346" s="28"/>
      <c r="U346" s="27"/>
      <c r="V346" s="28"/>
      <c r="W346" s="27"/>
      <c r="X346" s="10"/>
      <c r="Y346" s="27"/>
      <c r="Z346" s="10"/>
      <c r="AA346" s="27"/>
      <c r="AB346" s="10"/>
      <c r="AC346" s="117"/>
      <c r="AD346" s="29"/>
      <c r="AE346" s="29"/>
      <c r="AF346" s="29"/>
      <c r="AG346" s="117"/>
      <c r="AH346" s="27"/>
      <c r="AI346" s="27"/>
      <c r="AJ346" s="27"/>
      <c r="AK346" s="117"/>
    </row>
    <row r="347" spans="1:37" x14ac:dyDescent="0.3">
      <c r="A347" s="10"/>
      <c r="B347" s="10"/>
      <c r="C347" s="3"/>
      <c r="D347" s="26"/>
      <c r="E347" s="3"/>
      <c r="F347" s="3"/>
      <c r="G347" s="27"/>
      <c r="H347" s="28"/>
      <c r="I347" s="28"/>
      <c r="J347" s="10"/>
      <c r="K347" s="10"/>
      <c r="L347" s="27"/>
      <c r="M347" s="27"/>
      <c r="N347" s="29"/>
      <c r="O347" s="29"/>
      <c r="P347" s="29"/>
      <c r="Q347" s="29"/>
      <c r="R347" s="29"/>
      <c r="S347" s="27"/>
      <c r="T347" s="28"/>
      <c r="U347" s="27"/>
      <c r="V347" s="28"/>
      <c r="W347" s="27"/>
      <c r="X347" s="10"/>
      <c r="Y347" s="27"/>
      <c r="Z347" s="10"/>
      <c r="AA347" s="27"/>
      <c r="AB347" s="10"/>
      <c r="AC347" s="117"/>
      <c r="AD347" s="29"/>
      <c r="AE347" s="29"/>
      <c r="AF347" s="29"/>
      <c r="AG347" s="117"/>
      <c r="AH347" s="27"/>
      <c r="AI347" s="27"/>
      <c r="AJ347" s="27"/>
      <c r="AK347" s="117"/>
    </row>
    <row r="348" spans="1:37" x14ac:dyDescent="0.3">
      <c r="A348" s="10"/>
      <c r="B348" s="10"/>
      <c r="C348" s="3"/>
      <c r="D348" s="26"/>
      <c r="E348" s="3"/>
      <c r="F348" s="3"/>
      <c r="G348" s="27"/>
      <c r="H348" s="28"/>
      <c r="I348" s="28"/>
      <c r="J348" s="10"/>
      <c r="K348" s="10"/>
      <c r="L348" s="27"/>
      <c r="M348" s="27"/>
      <c r="N348" s="29"/>
      <c r="O348" s="29"/>
      <c r="P348" s="29"/>
      <c r="Q348" s="29"/>
      <c r="R348" s="29"/>
      <c r="S348" s="27"/>
      <c r="T348" s="28"/>
      <c r="U348" s="27"/>
      <c r="V348" s="28"/>
      <c r="W348" s="27"/>
      <c r="X348" s="10"/>
      <c r="Y348" s="27"/>
      <c r="Z348" s="10"/>
      <c r="AA348" s="27"/>
      <c r="AB348" s="10"/>
      <c r="AC348" s="117"/>
      <c r="AD348" s="29"/>
      <c r="AE348" s="29"/>
      <c r="AF348" s="29"/>
      <c r="AG348" s="117"/>
      <c r="AH348" s="27"/>
      <c r="AI348" s="27"/>
      <c r="AJ348" s="27"/>
      <c r="AK348" s="117"/>
    </row>
    <row r="349" spans="1:37" x14ac:dyDescent="0.3">
      <c r="A349" s="10"/>
      <c r="B349" s="10"/>
      <c r="C349" s="3"/>
      <c r="D349" s="26"/>
      <c r="E349" s="3"/>
      <c r="F349" s="3"/>
      <c r="G349" s="27"/>
      <c r="H349" s="28"/>
      <c r="I349" s="28"/>
      <c r="J349" s="10"/>
      <c r="K349" s="10"/>
      <c r="L349" s="27"/>
      <c r="M349" s="27"/>
      <c r="N349" s="29"/>
      <c r="O349" s="29"/>
      <c r="P349" s="29"/>
      <c r="Q349" s="29"/>
      <c r="R349" s="29"/>
      <c r="S349" s="27"/>
      <c r="T349" s="28"/>
      <c r="U349" s="27"/>
      <c r="V349" s="28"/>
      <c r="W349" s="27"/>
      <c r="X349" s="10"/>
      <c r="Y349" s="27"/>
      <c r="Z349" s="10"/>
      <c r="AA349" s="27"/>
      <c r="AB349" s="10"/>
      <c r="AC349" s="117"/>
      <c r="AD349" s="29"/>
      <c r="AE349" s="29"/>
      <c r="AF349" s="29"/>
      <c r="AG349" s="117"/>
      <c r="AH349" s="27"/>
      <c r="AI349" s="27"/>
      <c r="AJ349" s="27"/>
      <c r="AK349" s="117"/>
    </row>
    <row r="350" spans="1:37" x14ac:dyDescent="0.3">
      <c r="A350" s="10"/>
      <c r="B350" s="10"/>
      <c r="C350" s="3"/>
      <c r="D350" s="26"/>
      <c r="E350" s="3"/>
      <c r="F350" s="3"/>
      <c r="G350" s="27"/>
      <c r="H350" s="28"/>
      <c r="I350" s="28"/>
      <c r="J350" s="10"/>
      <c r="K350" s="10"/>
      <c r="L350" s="27"/>
      <c r="M350" s="27"/>
      <c r="N350" s="29"/>
      <c r="O350" s="29"/>
      <c r="P350" s="29"/>
      <c r="Q350" s="29"/>
      <c r="R350" s="29"/>
      <c r="S350" s="27"/>
      <c r="T350" s="28"/>
      <c r="U350" s="27"/>
      <c r="V350" s="28"/>
      <c r="W350" s="27"/>
      <c r="X350" s="10"/>
      <c r="Y350" s="27"/>
      <c r="Z350" s="10"/>
      <c r="AA350" s="27"/>
      <c r="AB350" s="10"/>
      <c r="AC350" s="117"/>
      <c r="AD350" s="29"/>
      <c r="AE350" s="29"/>
      <c r="AF350" s="29"/>
      <c r="AG350" s="117"/>
      <c r="AH350" s="27"/>
      <c r="AI350" s="27"/>
      <c r="AJ350" s="27"/>
      <c r="AK350" s="117"/>
    </row>
    <row r="351" spans="1:37" x14ac:dyDescent="0.3">
      <c r="C351" s="32"/>
      <c r="D351" s="33"/>
      <c r="E351" s="32"/>
      <c r="F351" s="32"/>
    </row>
  </sheetData>
  <sheetProtection algorithmName="SHA-512" hashValue="M9RHiexNdocEY2U5XqpVYbzLXbORcVCtJgBaDoL1qT58PkNp3zGW4CL37Ecj6cI6JV2K/r7SiE3Eq5meld96Sw==" saltValue="fQtsLDInKAFL73RbqQvnpg==" spinCount="100000" sheet="1" objects="1" scenarios="1" insertRows="0" selectLockedCells="1" sort="0" autoFilter="0" pivotTables="0"/>
  <autoFilter ref="A15:AK220" xr:uid="{00000000-0009-0000-0000-000000000000}">
    <filterColumn colId="1">
      <filters blank="1"/>
    </filterColumn>
  </autoFilter>
  <phoneticPr fontId="9" type="noConversion"/>
  <conditionalFormatting sqref="G224">
    <cfRule type="cellIs" dxfId="123" priority="34473" operator="greaterThan">
      <formula>0.05</formula>
    </cfRule>
  </conditionalFormatting>
  <conditionalFormatting sqref="W220:Y220">
    <cfRule type="cellIs" dxfId="122" priority="34229" operator="lessThan">
      <formula>$D$9/$I$7</formula>
    </cfRule>
    <cfRule type="cellIs" dxfId="121" priority="34230" operator="greaterThan">
      <formula>$D$9/$I$7</formula>
    </cfRule>
  </conditionalFormatting>
  <conditionalFormatting sqref="L220:M220">
    <cfRule type="cellIs" dxfId="120" priority="34211" operator="lessThan">
      <formula>$D$9/$I$7</formula>
    </cfRule>
  </conditionalFormatting>
  <conditionalFormatting sqref="G220">
    <cfRule type="expression" dxfId="119" priority="26346">
      <formula>IF(AND($B220&lt;&gt;"",$G220=""),1,0)</formula>
    </cfRule>
    <cfRule type="expression" dxfId="118" priority="26387">
      <formula>IF(G220&lt;&gt;"",1,0)</formula>
    </cfRule>
  </conditionalFormatting>
  <conditionalFormatting sqref="H220">
    <cfRule type="expression" dxfId="117" priority="26345">
      <formula>IF(AND($B220&lt;&gt;"",$H220=""),1,0)</formula>
    </cfRule>
    <cfRule type="expression" dxfId="116" priority="26386">
      <formula>IF(H220&lt;&gt;"",1,0)</formula>
    </cfRule>
  </conditionalFormatting>
  <conditionalFormatting sqref="L220">
    <cfRule type="cellIs" dxfId="115" priority="23994" operator="greaterThan">
      <formula>$D$9/$I$7</formula>
    </cfRule>
  </conditionalFormatting>
  <conditionalFormatting sqref="D11:E11">
    <cfRule type="cellIs" dxfId="114" priority="19774" operator="greaterThan">
      <formula>$D$9</formula>
    </cfRule>
    <cfRule type="cellIs" dxfId="113" priority="19775" operator="lessThan">
      <formula>$D$10</formula>
    </cfRule>
  </conditionalFormatting>
  <conditionalFormatting sqref="D10:E10">
    <cfRule type="cellIs" dxfId="112" priority="19772" operator="greaterThan">
      <formula>$D$9</formula>
    </cfRule>
    <cfRule type="cellIs" dxfId="111" priority="19773" operator="greaterThan">
      <formula>$D$11</formula>
    </cfRule>
  </conditionalFormatting>
  <conditionalFormatting sqref="L17:L219">
    <cfRule type="expression" dxfId="110" priority="17495">
      <formula>IF($L17&lt;&gt;"",IF($L17&lt;$D$10,1,0),0)</formula>
    </cfRule>
    <cfRule type="cellIs" dxfId="109" priority="17497" operator="greaterThan">
      <formula>$D$11</formula>
    </cfRule>
    <cfRule type="expression" dxfId="108" priority="17498">
      <formula>IF(AND(B17&lt;&gt;"",L17=""),1,0)</formula>
    </cfRule>
  </conditionalFormatting>
  <conditionalFormatting sqref="W17:W219">
    <cfRule type="expression" dxfId="107" priority="17492">
      <formula>IF(AND(O17&lt;&gt;"",W17=""),1,0)</formula>
    </cfRule>
    <cfRule type="expression" dxfId="106" priority="17493">
      <formula>IF(AND($W17&lt;&gt;"",W17&lt;=$L17),1,0)</formula>
    </cfRule>
    <cfRule type="cellIs" dxfId="105" priority="17494" operator="lessThan">
      <formula>$X17</formula>
    </cfRule>
    <cfRule type="cellIs" dxfId="104" priority="17496" operator="greaterThan">
      <formula>L17</formula>
    </cfRule>
  </conditionalFormatting>
  <conditionalFormatting sqref="AE17:AE219">
    <cfRule type="containsBlanks" dxfId="103" priority="17487">
      <formula>LEN(TRIM(AE17))=0</formula>
    </cfRule>
  </conditionalFormatting>
  <conditionalFormatting sqref="P17:P219">
    <cfRule type="cellIs" dxfId="102" priority="17485" operator="lessThan">
      <formula>O17</formula>
    </cfRule>
    <cfRule type="notContainsBlanks" dxfId="101" priority="17489" stopIfTrue="1">
      <formula>LEN(TRIM(P17))&gt;0</formula>
    </cfRule>
  </conditionalFormatting>
  <conditionalFormatting sqref="Q17:Q219">
    <cfRule type="containsBlanks" dxfId="100" priority="17490">
      <formula>LEN(TRIM(Q17))=0</formula>
    </cfRule>
  </conditionalFormatting>
  <conditionalFormatting sqref="AD17:AD219">
    <cfRule type="expression" dxfId="99" priority="17488">
      <formula>IF($AD17&lt;&gt;"",IF($AD17&lt;$P17,1,0),0)</formula>
    </cfRule>
    <cfRule type="containsBlanks" dxfId="98" priority="17500">
      <formula>LEN(TRIM(AD17))=0</formula>
    </cfRule>
  </conditionalFormatting>
  <conditionalFormatting sqref="B219:D219">
    <cfRule type="expression" dxfId="97" priority="17481">
      <formula>IF(B219&lt;&gt;"",1,0)</formula>
    </cfRule>
  </conditionalFormatting>
  <conditionalFormatting sqref="K17:K219">
    <cfRule type="expression" dxfId="96" priority="17479">
      <formula>IF(K17&lt;&gt;"",1,0)</formula>
    </cfRule>
    <cfRule type="expression" dxfId="95" priority="17480">
      <formula>IF(AND(B17&lt;&gt;"",K17=""),1,0)</formula>
    </cfRule>
  </conditionalFormatting>
  <conditionalFormatting sqref="L17:L219">
    <cfRule type="cellIs" dxfId="94" priority="17478" operator="between">
      <formula>$D$10</formula>
      <formula>$D$11</formula>
    </cfRule>
  </conditionalFormatting>
  <conditionalFormatting sqref="O17:O219">
    <cfRule type="expression" dxfId="93" priority="17474">
      <formula>IF(AND($N17&lt;&gt;"",$O17&gt;=$N17),1,0)</formula>
    </cfRule>
    <cfRule type="expression" dxfId="92" priority="17475">
      <formula>IF(AND($B17&lt;&gt;"",$O17=""),1,0)</formula>
    </cfRule>
    <cfRule type="cellIs" dxfId="91" priority="17476" operator="lessThan">
      <formula>$N17</formula>
    </cfRule>
  </conditionalFormatting>
  <conditionalFormatting sqref="P17:P219">
    <cfRule type="expression" dxfId="90" priority="17473">
      <formula>IF(AND($O17&lt;&gt;"",$P17=""),1,0)</formula>
    </cfRule>
  </conditionalFormatting>
  <conditionalFormatting sqref="Q17:Q219">
    <cfRule type="notContainsBlanks" dxfId="89" priority="17472">
      <formula>LEN(TRIM(Q17))&gt;0</formula>
    </cfRule>
    <cfRule type="expression" dxfId="88" priority="17482">
      <formula>IF(AND(O17&lt;&gt;"",Q17=""),1,0)</formula>
    </cfRule>
  </conditionalFormatting>
  <conditionalFormatting sqref="V17:V219">
    <cfRule type="notContainsBlanks" dxfId="87" priority="17470">
      <formula>LEN(TRIM(V17))&gt;0</formula>
    </cfRule>
    <cfRule type="expression" dxfId="86" priority="17471">
      <formula>IF(AND(B17&lt;&gt;"",V17=""),1,0)</formula>
    </cfRule>
  </conditionalFormatting>
  <conditionalFormatting sqref="AH17:AH219">
    <cfRule type="notContainsBlanks" dxfId="85" priority="17468">
      <formula>LEN(TRIM(AH17))&gt;0</formula>
    </cfRule>
  </conditionalFormatting>
  <conditionalFormatting sqref="AI17:AI219">
    <cfRule type="notContainsBlanks" dxfId="84" priority="17467">
      <formula>LEN(TRIM(AI17))&gt;0</formula>
    </cfRule>
  </conditionalFormatting>
  <conditionalFormatting sqref="AA17:AA219">
    <cfRule type="expression" dxfId="83" priority="17460">
      <formula>IF(AND($AA17="",$O17&lt;&gt;""),1,0)</formula>
    </cfRule>
    <cfRule type="expression" dxfId="82" priority="17462">
      <formula>IF(AND($B17&lt;&gt;"",OR($AA17&gt;29,$AA17&lt;&gt;"")),1,0)</formula>
    </cfRule>
  </conditionalFormatting>
  <conditionalFormatting sqref="AA17:AA219">
    <cfRule type="expression" dxfId="81" priority="17461">
      <formula>IF(AND($Z17="Sain",$AA17=""),1,0)</formula>
    </cfRule>
  </conditionalFormatting>
  <conditionalFormatting sqref="AD17:AD219">
    <cfRule type="expression" dxfId="80" priority="17499">
      <formula>IF($AD17&gt;$P17,1,0)</formula>
    </cfRule>
  </conditionalFormatting>
  <conditionalFormatting sqref="AE17:AE219">
    <cfRule type="expression" dxfId="79" priority="17469">
      <formula>IF($AE17&gt;$AD17,1,0)</formula>
    </cfRule>
    <cfRule type="expression" dxfId="78" priority="17486">
      <formula>IF(AND($AE$17&lt;&gt;"",$AE$17&lt;$AD$17),1,0)</formula>
    </cfRule>
  </conditionalFormatting>
  <conditionalFormatting sqref="C17:C219">
    <cfRule type="expression" dxfId="77" priority="17457">
      <formula>IF(AND($B17&lt;&gt;"",$C17=""),1,0)</formula>
    </cfRule>
  </conditionalFormatting>
  <conditionalFormatting sqref="AH17:AH219">
    <cfRule type="expression" dxfId="76" priority="17455">
      <formula>IF(AND(B17&lt;&gt;"",AH17=""),1,0)</formula>
    </cfRule>
  </conditionalFormatting>
  <conditionalFormatting sqref="AI17:AI219">
    <cfRule type="expression" dxfId="75" priority="17454">
      <formula>IF(AND(B17&lt;&gt;"",AI17=""),1,0)</formula>
    </cfRule>
  </conditionalFormatting>
  <conditionalFormatting sqref="AE17:AE219">
    <cfRule type="expression" dxfId="74" priority="17453">
      <formula>IF(AND($AE$17&lt;&gt;"",$AD$17=""),1,0)</formula>
    </cfRule>
  </conditionalFormatting>
  <conditionalFormatting sqref="N17:N219">
    <cfRule type="expression" dxfId="73" priority="17450">
      <formula>IF(AND($B17&lt;&gt;"",$O17=""),1,0)</formula>
    </cfRule>
    <cfRule type="expression" dxfId="72" priority="17451">
      <formula>IF(AND($O17&lt;&gt;"",$N17=""),1,0)</formula>
    </cfRule>
    <cfRule type="expression" dxfId="71" priority="17452">
      <formula>IF(AND($N17&lt;&gt;"",OR($N17&gt;$I$8,$N17&lt;$D$8)),1,0)</formula>
    </cfRule>
  </conditionalFormatting>
  <conditionalFormatting sqref="N17:N219">
    <cfRule type="cellIs" dxfId="70" priority="17449" operator="between">
      <formula>$D$8</formula>
      <formula>$I$8</formula>
    </cfRule>
  </conditionalFormatting>
  <conditionalFormatting sqref="AJ17:AJ219">
    <cfRule type="notContainsBlanks" dxfId="69" priority="17448">
      <formula>LEN(TRIM(AJ17))&gt;0</formula>
    </cfRule>
  </conditionalFormatting>
  <conditionalFormatting sqref="AJ17:AJ219">
    <cfRule type="expression" dxfId="68" priority="17447">
      <formula>IF($AJ17&gt;$AI17,1,0)</formula>
    </cfRule>
  </conditionalFormatting>
  <conditionalFormatting sqref="AF17:AF219">
    <cfRule type="containsBlanks" dxfId="67" priority="17446">
      <formula>LEN(TRIM(AF17))=0</formula>
    </cfRule>
  </conditionalFormatting>
  <conditionalFormatting sqref="AF17:AF219">
    <cfRule type="expression" dxfId="66" priority="17444">
      <formula>IF(AND($AF17&lt;&gt;"",$AF17&gt;$AE17),1,0)</formula>
    </cfRule>
    <cfRule type="expression" dxfId="65" priority="17445">
      <formula>IF(AND($AF17&lt;&gt;"",$AF17&lt;$AE17),1,0)</formula>
    </cfRule>
  </conditionalFormatting>
  <conditionalFormatting sqref="AF17:AF219">
    <cfRule type="expression" dxfId="64" priority="17443">
      <formula>IF(AND($AF17&lt;&gt;"",$AE17=""),1,0)</formula>
    </cfRule>
  </conditionalFormatting>
  <conditionalFormatting sqref="B17:B219">
    <cfRule type="expression" dxfId="63" priority="17442">
      <formula>IF(B17&lt;&gt;"",1,0)</formula>
    </cfRule>
  </conditionalFormatting>
  <conditionalFormatting sqref="D17:D219">
    <cfRule type="expression" dxfId="62" priority="17441">
      <formula>IF(D17&lt;&gt;"",1,0)</formula>
    </cfRule>
  </conditionalFormatting>
  <conditionalFormatting sqref="D17:D219">
    <cfRule type="expression" dxfId="61" priority="17440">
      <formula>IF(AND($B17&lt;&gt;"",$D17=""),1,0)</formula>
    </cfRule>
  </conditionalFormatting>
  <conditionalFormatting sqref="G17:G219">
    <cfRule type="expression" dxfId="60" priority="17438">
      <formula>IF(AND($B17&lt;&gt;"",$G17=""),1,0)</formula>
    </cfRule>
    <cfRule type="expression" dxfId="59" priority="17439">
      <formula>IF(G17&lt;&gt;"",1,0)</formula>
    </cfRule>
  </conditionalFormatting>
  <conditionalFormatting sqref="H17:H219">
    <cfRule type="expression" dxfId="58" priority="17437">
      <formula>IF(H17&lt;&gt;"",1,0)</formula>
    </cfRule>
  </conditionalFormatting>
  <conditionalFormatting sqref="M17:M219">
    <cfRule type="expression" dxfId="57" priority="17477">
      <formula>IF(AND(M17&lt;&gt;"",$M17&gt;=$L17),1,0)</formula>
    </cfRule>
    <cfRule type="expression" dxfId="56" priority="17483">
      <formula>IF(AND(B17&lt;&gt;"",M17=""),1,0)</formula>
    </cfRule>
    <cfRule type="cellIs" dxfId="55" priority="17491" operator="lessThan">
      <formula>$L17</formula>
    </cfRule>
  </conditionalFormatting>
  <conditionalFormatting sqref="R17:R219">
    <cfRule type="containsBlanks" priority="17433">
      <formula>LEN(TRIM(R17))=0</formula>
    </cfRule>
    <cfRule type="expression" dxfId="54" priority="17434">
      <formula>IF($Q17&lt;&gt;"",IF($R17&gt;=$I$6+0.0137,1,0),0)</formula>
    </cfRule>
    <cfRule type="expression" dxfId="53" priority="17435">
      <formula>IF(AND($R17&lt;&gt;"",$R17&lt;=$I$6,R17&gt;=$I$5),1,0)</formula>
    </cfRule>
    <cfRule type="cellIs" dxfId="52" priority="17436" operator="lessThan">
      <formula>0.9863</formula>
    </cfRule>
  </conditionalFormatting>
  <conditionalFormatting sqref="E17:E219">
    <cfRule type="expression" dxfId="51" priority="17432">
      <formula>IF(E17&lt;&gt;"",1,0)</formula>
    </cfRule>
  </conditionalFormatting>
  <conditionalFormatting sqref="E17:E219">
    <cfRule type="expression" dxfId="50" priority="17431">
      <formula>IF(E17&lt;&gt;"",1,0)</formula>
    </cfRule>
  </conditionalFormatting>
  <conditionalFormatting sqref="E17:E219">
    <cfRule type="expression" dxfId="49" priority="17430">
      <formula>IF(AND($B17&lt;&gt;"",$E17=""),1,0)</formula>
    </cfRule>
  </conditionalFormatting>
  <conditionalFormatting sqref="F17:F219">
    <cfRule type="expression" dxfId="48" priority="17429">
      <formula>IF(F17&lt;&gt;"",1,0)</formula>
    </cfRule>
  </conditionalFormatting>
  <conditionalFormatting sqref="F17:F219">
    <cfRule type="expression" dxfId="47" priority="17428">
      <formula>IF(F17&lt;&gt;"",1,0)</formula>
    </cfRule>
  </conditionalFormatting>
  <conditionalFormatting sqref="F17:F219">
    <cfRule type="expression" dxfId="46" priority="17427">
      <formula>IF(AND($B17&lt;&gt;"",$F17=""),1,0)</formula>
    </cfRule>
  </conditionalFormatting>
  <conditionalFormatting sqref="J17:J219">
    <cfRule type="expression" dxfId="45" priority="17426">
      <formula>IF(AND(B17&lt;&gt;"",J17=""),1,0)</formula>
    </cfRule>
  </conditionalFormatting>
  <conditionalFormatting sqref="J17:J219">
    <cfRule type="expression" dxfId="44" priority="17425">
      <formula>IF(J17&lt;&gt;"",1,0)</formula>
    </cfRule>
  </conditionalFormatting>
  <conditionalFormatting sqref="Z17:Z219">
    <cfRule type="expression" dxfId="43" priority="17424">
      <formula>IF(AND($AA17&gt;89,OR($Z17="Sain",$Z17="Sous surveillancet")),1,0)</formula>
    </cfRule>
  </conditionalFormatting>
  <conditionalFormatting sqref="Z17:Z219">
    <cfRule type="expression" dxfId="42" priority="17421">
      <formula>IF(AND($AA17&gt;29,OR($Z17="Doubtful",$Z17="Failing",$Z17="Sous surveillance")),1,0)</formula>
    </cfRule>
    <cfRule type="expression" dxfId="41" priority="17422">
      <formula>IF(AND($AA17=0,$Z17="Sain"),1,0)</formula>
    </cfRule>
    <cfRule type="expression" dxfId="40" priority="17423">
      <formula>IF(AND(O17&lt;&gt;"",Z17=""),1,0)</formula>
    </cfRule>
  </conditionalFormatting>
  <conditionalFormatting sqref="Z17:Z219">
    <cfRule type="expression" dxfId="39" priority="17420">
      <formula>IF(AND($Z17="Sain",$AA17&lt;&gt;0),1,0)</formula>
    </cfRule>
  </conditionalFormatting>
  <conditionalFormatting sqref="Y17:Y219">
    <cfRule type="expression" dxfId="38" priority="17418">
      <formula>IF($Y17=$W17*$I$7,1,0)</formula>
    </cfRule>
  </conditionalFormatting>
  <conditionalFormatting sqref="AB17:AB219">
    <cfRule type="expression" dxfId="37" priority="16743">
      <formula>IF(AND($AB17&gt;0,$AA17&lt;30),1,0)</formula>
    </cfRule>
    <cfRule type="expression" dxfId="36" priority="16744">
      <formula>IF(OR(AND($AB17&lt;&gt;"",$AA17&lt;30),AND($AB17&gt;0,$AA17&gt;29)),1,0)</formula>
    </cfRule>
  </conditionalFormatting>
  <conditionalFormatting sqref="AB17:AB219">
    <cfRule type="expression" dxfId="35" priority="16742">
      <formula>IF(AND(O17&lt;&gt;"",AB17=""),1,0)</formula>
    </cfRule>
  </conditionalFormatting>
  <conditionalFormatting sqref="Z17:Z219">
    <cfRule type="expression" dxfId="34" priority="16667">
      <formula>IF(AND($AA17&gt;89,OR($Z17="Sain",$Z17="Sous surveillancet")),1,0)</formula>
    </cfRule>
  </conditionalFormatting>
  <conditionalFormatting sqref="Z17:Z219">
    <cfRule type="expression" dxfId="33" priority="16664">
      <formula>IF(AND($AA17&gt;29,OR($Z17="Douteux",$Z17="Défaillant",$Z17="Sous surveillance")),1,0)</formula>
    </cfRule>
    <cfRule type="expression" dxfId="32" priority="16665">
      <formula>IF(AND($AA17=0,$Z17="Sain"),1,0)</formula>
    </cfRule>
    <cfRule type="expression" dxfId="31" priority="16666">
      <formula>IF(AND(O17&lt;&gt;"",Z17=""),1,0)</formula>
    </cfRule>
  </conditionalFormatting>
  <conditionalFormatting sqref="Z17:Z219">
    <cfRule type="expression" dxfId="30" priority="16663">
      <formula>IF(AND($Z17="Sain",$AA17&lt;&gt;0),1,0)</formula>
    </cfRule>
  </conditionalFormatting>
  <conditionalFormatting sqref="X17:X219">
    <cfRule type="expression" dxfId="29" priority="16606">
      <formula>IF(AND($O17&lt;&gt;"",$X17=""),1,0)</formula>
    </cfRule>
    <cfRule type="expression" dxfId="28" priority="16609">
      <formula>IF(AND($AF17="",$X17&gt;$W17),1,0)</formula>
    </cfRule>
  </conditionalFormatting>
  <conditionalFormatting sqref="X17:X219">
    <cfRule type="expression" dxfId="27" priority="16607">
      <formula>IF(AND($X17&lt;&gt;"",$X17&lt;=$W17),1,0)</formula>
    </cfRule>
  </conditionalFormatting>
  <conditionalFormatting sqref="X17:X219">
    <cfRule type="expression" dxfId="26" priority="16608">
      <formula>IF(AND($X17&lt;&gt;"",$AA17&lt;30,$X17&lt;&gt;0),1,0)</formula>
    </cfRule>
  </conditionalFormatting>
  <conditionalFormatting sqref="T17:T219">
    <cfRule type="cellIs" dxfId="25" priority="16601" operator="greaterThan">
      <formula>0.75</formula>
    </cfRule>
  </conditionalFormatting>
  <conditionalFormatting sqref="T17:T219">
    <cfRule type="expression" dxfId="24" priority="16600">
      <formula>IF(AND(B17&lt;&gt;"",T17=""),1,0)</formula>
    </cfRule>
  </conditionalFormatting>
  <conditionalFormatting sqref="T17:T219">
    <cfRule type="expression" dxfId="23" priority="16599">
      <formula>IF(AND($T17&lt;&gt;"",$T17&lt;0.76),1,0)</formula>
    </cfRule>
  </conditionalFormatting>
  <conditionalFormatting sqref="U17:U219">
    <cfRule type="expression" dxfId="22" priority="16594">
      <formula>IF(AND(B17&lt;&gt;"",U17=""),1,0)</formula>
    </cfRule>
  </conditionalFormatting>
  <conditionalFormatting sqref="U17:U219">
    <cfRule type="expression" dxfId="21" priority="16593">
      <formula>IF($U17&lt;&gt;"",1,0)</formula>
    </cfRule>
  </conditionalFormatting>
  <conditionalFormatting sqref="B17:D218">
    <cfRule type="expression" dxfId="0" priority="1">
      <formula>IF(B17&lt;&gt;"",1,0)</formula>
    </cfRule>
  </conditionalFormatting>
  <dataValidations count="21">
    <dataValidation type="date" operator="notEqual" allowBlank="1" showInputMessage="1" showErrorMessage="1" errorTitle="Date de signature" error="Saisir la date sous format (JJ/MM/AA)" sqref="D7:E8" xr:uid="{00000000-0002-0000-0000-000000000000}">
      <formula1>763</formula1>
    </dataValidation>
    <dataValidation type="decimal" operator="greaterThan" allowBlank="1" showInputMessage="1" showErrorMessage="1" errorTitle="Saisir un montant" error="Saisir le montant contractuel maximal des prêts à inclure dans le portefeuille garanti" sqref="D11:E11" xr:uid="{00000000-0002-0000-0000-000001000000}">
      <formula1>0</formula1>
    </dataValidation>
    <dataValidation type="decimal" operator="greaterThan" allowBlank="1" showInputMessage="1" showErrorMessage="1" errorTitle="Saisir un montant" error="Saisir le montant total de l'enveloppe garantie " sqref="D9:E9" xr:uid="{00000000-0002-0000-0000-000002000000}">
      <formula1>0</formula1>
    </dataValidation>
    <dataValidation type="decimal" operator="greaterThan" allowBlank="1" showInputMessage="1" showErrorMessage="1" errorTitle="Saisir un montant" error="Saisir le montant contractuel minimal des prêts à inclure dans le portefeuille garanti" sqref="D10:E10" xr:uid="{00000000-0002-0000-0000-000003000000}">
      <formula1>0</formula1>
    </dataValidation>
    <dataValidation type="date" operator="greaterThan" allowBlank="1" showInputMessage="1" showErrorMessage="1" errorTitle="Saisir une date" error="Saisir la date de notification du prêt défaillant à l'AFD" sqref="AE17:AE219" xr:uid="{00000000-0002-0000-0000-000004000000}">
      <formula1>743</formula1>
    </dataValidation>
    <dataValidation operator="greaterThan" allowBlank="1" showInputMessage="1" showErrorMessage="1" errorTitle="Ratio de fonds propres" error="Saisir le ratio de fonds propres du client bénéficiaire" sqref="H17:H219" xr:uid="{00000000-0002-0000-0000-000005000000}"/>
    <dataValidation type="decimal" operator="greaterThan" allowBlank="1" showInputMessage="1" showErrorMessage="1" errorTitle="Saisir le Chiffre d'Affaires" error="Saisir le Chiffre d'Affaires (N-1) à la date de la signature" sqref="G17:G219" xr:uid="{00000000-0002-0000-0000-000006000000}">
      <formula1>0</formula1>
    </dataValidation>
    <dataValidation type="date" operator="greaterThan" allowBlank="1" showInputMessage="1" showErrorMessage="1" errorTitle="Saisir une date" error="Saisir une date sous format JJ/MM/AA." sqref="AD17:AD219" xr:uid="{00000000-0002-0000-0000-000007000000}">
      <formula1>743</formula1>
    </dataValidation>
    <dataValidation type="decimal" operator="greaterThanOrEqual" allowBlank="1" showInputMessage="1" showErrorMessage="1" errorTitle="Saisir un nombre" error="Saisir un nombre" sqref="AH17:AJ219" xr:uid="{00000000-0002-0000-0000-000008000000}">
      <formula1>0</formula1>
    </dataValidation>
    <dataValidation type="date" operator="greaterThan" allowBlank="1" showInputMessage="1" showErrorMessage="1" errorTitle="Saisir une date" error="Saisir la date d'appel de garantie" sqref="AF17:AF219" xr:uid="{00000000-0002-0000-0000-000009000000}">
      <formula1>10</formula1>
    </dataValidation>
    <dataValidation type="decimal" operator="greaterThan" allowBlank="1" showInputMessage="1" showErrorMessage="1" errorTitle="Saisir un montant" error="Saisir le montant des intérêts échus et impayés." sqref="AB17:AB219" xr:uid="{00000000-0002-0000-0000-00000A000000}">
      <formula1>-99</formula1>
    </dataValidation>
    <dataValidation type="whole" operator="greaterThanOrEqual" allowBlank="1" showInputMessage="1" showErrorMessage="1" errorTitle="Saisir un nombre" error="Saisir le nombre de jours en impayés." sqref="AA17:AA219" xr:uid="{00000000-0002-0000-0000-00000B000000}">
      <formula1>0</formula1>
    </dataValidation>
    <dataValidation type="decimal" operator="greaterThanOrEqual" allowBlank="1" showInputMessage="1" showErrorMessage="1" errorTitle="Saisir un montant" error="Saisir le montant du capital échu et impayé." sqref="X17:X219" xr:uid="{00000000-0002-0000-0000-00000C000000}">
      <formula1>0</formula1>
    </dataValidation>
    <dataValidation type="decimal" operator="greaterThanOrEqual" allowBlank="1" showInputMessage="1" showErrorMessage="1" errorTitle="Capital restant dû" error="Saisir le montant du capital restant dû au titre du prêt sous-participé." sqref="W17:W219" xr:uid="{00000000-0002-0000-0000-00000D000000}">
      <formula1>0</formula1>
    </dataValidation>
    <dataValidation type="decimal" operator="greaterThan" allowBlank="1" showInputMessage="1" showErrorMessage="1" errorTitle="Saisir le taux d'intérêt" error="Saisir le문᛿_x0000__x0000_Ø_x0000__x0000__x0010__x0000__x0000_㿿_x0000__xffff__xffff__x0000__x0000_du prêt." sqref="V17:V219" xr:uid="{00000000-0002-0000-0000-00000E000000}">
      <formula1>-9</formula1>
    </dataValidation>
    <dataValidation type="decimal" operator="greaterThanOrEqual" allowBlank="1" showInputMessage="1" showErrorMessage="1" errorTitle="Saisir un montant" error="Saisir le montant des sûretés réelles au titre du prêt sous-participé à la date de signature du contrat de prêt." sqref="U17:U219" xr:uid="{00000000-0002-0000-0000-00000F000000}">
      <formula1>0</formula1>
    </dataValidation>
    <dataValidation type="decimal" operator="greaterThan" allowBlank="1" showInputMessage="1" showErrorMessage="1" errorTitle="Saisir un pourcentage" error="Saisir un pourcentage" sqref="T17:T219" xr:uid="{00000000-0002-0000-0000-000010000000}">
      <formula1>0</formula1>
    </dataValidation>
    <dataValidation type="date" operator="notEqual" allowBlank="1" showInputMessage="1" showErrorMessage="1" errorTitle="Saisir une date" error="Saisir la date sous format JJ/MM/AA" sqref="S17:S219" xr:uid="{00000000-0002-0000-0000-000011000000}">
      <formula1>792</formula1>
    </dataValidation>
    <dataValidation type="date" operator="notEqual" allowBlank="1" showInputMessage="1" showErrorMessage="1" errorTitle="Saisir une date" error="Saisir la date sous format JJ/MM/AA" sqref="Q17:Q219 O17:O219" xr:uid="{00000000-0002-0000-0000-000012000000}">
      <formula1>763</formula1>
    </dataValidation>
    <dataValidation type="date" operator="notEqual" allowBlank="1" showInputMessage="1" showErrorMessage="1" errorTitle="Saisir une date" error="Saisir la date sous format JJ/MM/AA" sqref="P17:P219 N17:N219 D17:D219" xr:uid="{00000000-0002-0000-0000-000013000000}">
      <formula1>398</formula1>
    </dataValidation>
    <dataValidation type="decimal" operator="equal" allowBlank="1" showInputMessage="1" showErrorMessage="1" errorTitle="Calcul automatique" error="Cette cellule est calculée automatiquement" sqref="Y17:Y219" xr:uid="{00000000-0002-0000-0000-000014000000}">
      <formula1>W17/2</formula1>
    </dataValidation>
  </dataValidations>
  <pageMargins left="0.70866141732283472" right="0.64166666666666672" top="0.74803149606299213" bottom="0.74803149606299213" header="0.31496062992125984" footer="0.31496062992125984"/>
  <pageSetup paperSize="9" scale="80" fitToWidth="4" fitToHeight="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15000000}">
          <x14:formula1>
            <xm:f>Feuil1!$I$1:$I$7</xm:f>
          </x14:formula1>
          <xm:sqref>E17:E219</xm:sqref>
        </x14:dataValidation>
        <x14:dataValidation type="list" allowBlank="1" showInputMessage="1" showErrorMessage="1" xr:uid="{00000000-0002-0000-0000-000016000000}">
          <x14:formula1>
            <xm:f>Feuil1!$A$1:$A$14</xm:f>
          </x14:formula1>
          <xm:sqref>F17:F219</xm:sqref>
        </x14:dataValidation>
        <x14:dataValidation type="list" allowBlank="1" showInputMessage="1" showErrorMessage="1" xr:uid="{00000000-0002-0000-0000-000017000000}">
          <x14:formula1>
            <xm:f>Feuil1!$K$1:$K$2</xm:f>
          </x14:formula1>
          <xm:sqref>J17:J219</xm:sqref>
        </x14:dataValidation>
        <x14:dataValidation type="list" allowBlank="1" showInputMessage="1" showErrorMessage="1" xr:uid="{00000000-0002-0000-0000-000018000000}">
          <x14:formula1>
            <xm:f>Feuil1!$G$1:$G$4</xm:f>
          </x14:formula1>
          <xm:sqref>Z17:Z219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"/>
  <sheetViews>
    <sheetView workbookViewId="0">
      <selection activeCell="E9" sqref="E9"/>
    </sheetView>
  </sheetViews>
  <sheetFormatPr baseColWidth="10" defaultRowHeight="14.5" x14ac:dyDescent="0.35"/>
  <cols>
    <col min="1" max="1" width="24.54296875" customWidth="1"/>
  </cols>
  <sheetData>
    <row r="1" spans="1:2" x14ac:dyDescent="0.35">
      <c r="A1" t="s">
        <v>198</v>
      </c>
      <c r="B1" t="s">
        <v>196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4"/>
  <sheetViews>
    <sheetView workbookViewId="0"/>
  </sheetViews>
  <sheetFormatPr baseColWidth="10" defaultColWidth="11.453125" defaultRowHeight="14.5" x14ac:dyDescent="0.35"/>
  <sheetData>
    <row r="1" spans="1:11" ht="93" x14ac:dyDescent="0.35">
      <c r="A1" s="30" t="s">
        <v>17</v>
      </c>
      <c r="D1" s="3" t="s">
        <v>1</v>
      </c>
      <c r="G1" s="3" t="s">
        <v>7</v>
      </c>
      <c r="I1" s="1" t="s">
        <v>8</v>
      </c>
      <c r="K1" s="2" t="s">
        <v>16</v>
      </c>
    </row>
    <row r="2" spans="1:11" ht="31" x14ac:dyDescent="0.35">
      <c r="A2" s="30" t="s">
        <v>18</v>
      </c>
      <c r="D2" s="3" t="s">
        <v>0</v>
      </c>
      <c r="G2" s="3" t="s">
        <v>4</v>
      </c>
      <c r="I2" s="1" t="s">
        <v>15</v>
      </c>
      <c r="K2" s="1" t="s">
        <v>12</v>
      </c>
    </row>
    <row r="3" spans="1:11" ht="39" x14ac:dyDescent="0.35">
      <c r="A3" s="30" t="s">
        <v>19</v>
      </c>
      <c r="D3" s="3" t="s">
        <v>2</v>
      </c>
      <c r="G3" s="3" t="s">
        <v>5</v>
      </c>
      <c r="I3" s="1" t="s">
        <v>10</v>
      </c>
    </row>
    <row r="4" spans="1:11" ht="104" x14ac:dyDescent="0.35">
      <c r="A4" s="30" t="s">
        <v>20</v>
      </c>
      <c r="D4" s="3" t="s">
        <v>3</v>
      </c>
      <c r="G4" s="3" t="s">
        <v>6</v>
      </c>
      <c r="I4" s="1" t="s">
        <v>9</v>
      </c>
    </row>
    <row r="5" spans="1:11" ht="15.5" x14ac:dyDescent="0.35">
      <c r="A5" s="30" t="s">
        <v>21</v>
      </c>
      <c r="I5" s="1" t="s">
        <v>11</v>
      </c>
    </row>
    <row r="6" spans="1:11" ht="31" x14ac:dyDescent="0.35">
      <c r="A6" s="30" t="s">
        <v>22</v>
      </c>
      <c r="I6" s="1" t="s">
        <v>14</v>
      </c>
    </row>
    <row r="7" spans="1:11" ht="15.5" x14ac:dyDescent="0.35">
      <c r="A7" s="30" t="s">
        <v>23</v>
      </c>
      <c r="I7" s="1" t="s">
        <v>12</v>
      </c>
    </row>
    <row r="8" spans="1:11" ht="52" x14ac:dyDescent="0.35">
      <c r="A8" s="30" t="s">
        <v>24</v>
      </c>
    </row>
    <row r="9" spans="1:11" ht="39" x14ac:dyDescent="0.35">
      <c r="A9" s="30" t="s">
        <v>25</v>
      </c>
    </row>
    <row r="10" spans="1:11" x14ac:dyDescent="0.35">
      <c r="A10" s="30" t="s">
        <v>26</v>
      </c>
    </row>
    <row r="11" spans="1:11" ht="26" x14ac:dyDescent="0.35">
      <c r="A11" s="30" t="s">
        <v>27</v>
      </c>
    </row>
    <row r="12" spans="1:11" x14ac:dyDescent="0.35">
      <c r="A12" s="30" t="s">
        <v>28</v>
      </c>
    </row>
    <row r="13" spans="1:11" x14ac:dyDescent="0.35">
      <c r="A13" s="30" t="s">
        <v>29</v>
      </c>
    </row>
    <row r="14" spans="1:11" ht="39" x14ac:dyDescent="0.35">
      <c r="A14" s="30" t="s">
        <v>30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K14"/>
  <sheetViews>
    <sheetView workbookViewId="0">
      <selection sqref="A1:XFD1048576"/>
    </sheetView>
  </sheetViews>
  <sheetFormatPr baseColWidth="10" defaultColWidth="11.453125" defaultRowHeight="14.5" x14ac:dyDescent="0.35"/>
  <cols>
    <col min="1" max="16384" width="11.453125" style="87"/>
  </cols>
  <sheetData>
    <row r="1" spans="1:11" ht="93" x14ac:dyDescent="0.35">
      <c r="A1" s="30" t="s">
        <v>17</v>
      </c>
      <c r="D1" s="3" t="s">
        <v>1</v>
      </c>
      <c r="G1" s="3" t="s">
        <v>7</v>
      </c>
      <c r="I1" s="88" t="s">
        <v>8</v>
      </c>
      <c r="K1" s="89" t="s">
        <v>16</v>
      </c>
    </row>
    <row r="2" spans="1:11" ht="31" x14ac:dyDescent="0.35">
      <c r="A2" s="30" t="s">
        <v>18</v>
      </c>
      <c r="D2" s="3" t="s">
        <v>0</v>
      </c>
      <c r="G2" s="3" t="s">
        <v>4</v>
      </c>
      <c r="I2" s="88" t="s">
        <v>15</v>
      </c>
      <c r="K2" s="88" t="s">
        <v>12</v>
      </c>
    </row>
    <row r="3" spans="1:11" ht="39" x14ac:dyDescent="0.35">
      <c r="A3" s="30" t="s">
        <v>19</v>
      </c>
      <c r="D3" s="3" t="s">
        <v>2</v>
      </c>
      <c r="G3" s="3" t="s">
        <v>5</v>
      </c>
      <c r="I3" s="88" t="s">
        <v>10</v>
      </c>
    </row>
    <row r="4" spans="1:11" ht="104" x14ac:dyDescent="0.35">
      <c r="A4" s="30" t="s">
        <v>20</v>
      </c>
      <c r="D4" s="3" t="s">
        <v>3</v>
      </c>
      <c r="G4" s="3" t="s">
        <v>6</v>
      </c>
      <c r="I4" s="88" t="s">
        <v>9</v>
      </c>
    </row>
    <row r="5" spans="1:11" ht="15.5" x14ac:dyDescent="0.35">
      <c r="A5" s="30" t="s">
        <v>21</v>
      </c>
      <c r="I5" s="88" t="s">
        <v>11</v>
      </c>
    </row>
    <row r="6" spans="1:11" ht="31" x14ac:dyDescent="0.35">
      <c r="A6" s="30" t="s">
        <v>22</v>
      </c>
      <c r="I6" s="88" t="s">
        <v>14</v>
      </c>
    </row>
    <row r="7" spans="1:11" ht="15.5" x14ac:dyDescent="0.35">
      <c r="A7" s="30" t="s">
        <v>23</v>
      </c>
      <c r="I7" s="88" t="s">
        <v>12</v>
      </c>
    </row>
    <row r="8" spans="1:11" ht="52" x14ac:dyDescent="0.35">
      <c r="A8" s="30" t="s">
        <v>24</v>
      </c>
    </row>
    <row r="9" spans="1:11" ht="39" x14ac:dyDescent="0.35">
      <c r="A9" s="30" t="s">
        <v>25</v>
      </c>
    </row>
    <row r="10" spans="1:11" x14ac:dyDescent="0.35">
      <c r="A10" s="30" t="s">
        <v>26</v>
      </c>
    </row>
    <row r="11" spans="1:11" ht="26" x14ac:dyDescent="0.35">
      <c r="A11" s="30" t="s">
        <v>27</v>
      </c>
    </row>
    <row r="12" spans="1:11" x14ac:dyDescent="0.35">
      <c r="A12" s="30" t="s">
        <v>28</v>
      </c>
    </row>
    <row r="13" spans="1:11" x14ac:dyDescent="0.35">
      <c r="A13" s="30" t="s">
        <v>29</v>
      </c>
    </row>
    <row r="14" spans="1:11" ht="39" x14ac:dyDescent="0.35">
      <c r="A14" s="30" t="s">
        <v>30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Reporting_ARIZ 1699-GP4</vt:lpstr>
      <vt:lpstr>Feuil2</vt:lpstr>
      <vt:lpstr>Feuil1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ZOUARI Leila</dc:creator>
  <cp:lastModifiedBy>TOUKAL MAH Abdou Salam          SGSN</cp:lastModifiedBy>
  <dcterms:created xsi:type="dcterms:W3CDTF">2006-09-12T15:06:44Z</dcterms:created>
  <dcterms:modified xsi:type="dcterms:W3CDTF">2024-01-31T14:37:11Z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ef4d663-56d6-41e4-848e-9ae4b16948c5_Enabled">
    <vt:lpwstr>true</vt:lpwstr>
  </property>
  <property fmtid="{D5CDD505-2E9C-101B-9397-08002B2CF9AE}" pid="3" name="MSIP_Label_3ef4d663-56d6-41e4-848e-9ae4b16948c5_SetDate">
    <vt:lpwstr>2024-01-10T15:56:13Z</vt:lpwstr>
  </property>
  <property fmtid="{D5CDD505-2E9C-101B-9397-08002B2CF9AE}" pid="4" name="MSIP_Label_3ef4d663-56d6-41e4-848e-9ae4b16948c5_Method">
    <vt:lpwstr>Privileged</vt:lpwstr>
  </property>
  <property fmtid="{D5CDD505-2E9C-101B-9397-08002B2CF9AE}" pid="5" name="MSIP_Label_3ef4d663-56d6-41e4-848e-9ae4b16948c5_Name">
    <vt:lpwstr>3ef4d663-56d6-41e4-848e-9ae4b16948c5</vt:lpwstr>
  </property>
  <property fmtid="{D5CDD505-2E9C-101B-9397-08002B2CF9AE}" pid="6" name="MSIP_Label_3ef4d663-56d6-41e4-848e-9ae4b16948c5_SiteId">
    <vt:lpwstr>a491f8c5-c721-4e53-b604-6f27e7e4565d</vt:lpwstr>
  </property>
  <property fmtid="{D5CDD505-2E9C-101B-9397-08002B2CF9AE}" pid="7" name="MSIP_Label_3ef4d663-56d6-41e4-848e-9ae4b16948c5_ActionId">
    <vt:lpwstr>3a635be1-5708-4699-ba51-48b93ceaded3</vt:lpwstr>
  </property>
  <property fmtid="{D5CDD505-2E9C-101B-9397-08002B2CF9AE}" pid="8" name="MSIP_Label_3ef4d663-56d6-41e4-848e-9ae4b16948c5_ContentBits">
    <vt:lpwstr>0</vt:lpwstr>
  </property>
</Properties>
</file>