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e75824c9e72bc85/SOCGEN/Garantie ARIZ/"/>
    </mc:Choice>
  </mc:AlternateContent>
  <xr:revisionPtr revIDLastSave="617" documentId="8_{72E77E4E-7E6E-4B8A-931A-8E34E19A5B7F}" xr6:coauthVersionLast="47" xr6:coauthVersionMax="47" xr10:uidLastSave="{0E79AC3A-E761-4117-94D0-6DEFC3B52E87}"/>
  <bookViews>
    <workbookView minimized="1" xWindow="3750" yWindow="2860" windowWidth="14450" windowHeight="7310" activeTab="2" xr2:uid="{00000000-000D-0000-FFFF-FFFF00000000}"/>
  </bookViews>
  <sheets>
    <sheet name="Feuil5" sheetId="6" r:id="rId1"/>
    <sheet name="Clt Embarques" sheetId="1" r:id="rId2"/>
    <sheet name="Clt Non Embarques" sheetId="5" r:id="rId3"/>
    <sheet name="RECAP" sheetId="7" r:id="rId4"/>
    <sheet name="Balance" sheetId="2" state="hidden" r:id="rId5"/>
    <sheet name="Feuil2" sheetId="3" state="hidden" r:id="rId6"/>
    <sheet name="Balance (2)" sheetId="4" state="hidden" r:id="rId7"/>
  </sheets>
  <functionGroups builtInGroupCount="19"/>
  <definedNames>
    <definedName name="_xlnm._FilterDatabase" localSheetId="4" hidden="1">Balance!$A$1:$Z$73</definedName>
    <definedName name="_xlnm._FilterDatabase" localSheetId="6" hidden="1">'Balance (2)'!$A$1:$AB$73</definedName>
    <definedName name="_xlnm._FilterDatabase" localSheetId="1" hidden="1">'Clt Embarques'!$A$1:$Z$260</definedName>
    <definedName name="_xlnm._FilterDatabase" localSheetId="2" hidden="1">'Clt Non Embarques'!$A$1:$Z$18</definedName>
    <definedName name="_xlnm._FilterDatabase" localSheetId="5" hidden="1">Feuil2!$A$1:$AB$260</definedName>
  </definedName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E11" i="7"/>
  <c r="F11" i="7"/>
  <c r="G11" i="7"/>
  <c r="C11" i="7"/>
  <c r="H23" i="7"/>
  <c r="D27" i="7"/>
  <c r="E27" i="7"/>
  <c r="F27" i="7"/>
  <c r="G27" i="7"/>
  <c r="H27" i="7"/>
  <c r="I27" i="7" s="1"/>
  <c r="C27" i="7"/>
  <c r="H16" i="7"/>
  <c r="I16" i="7" s="1"/>
  <c r="H17" i="7"/>
  <c r="I17" i="7" s="1"/>
  <c r="H18" i="7"/>
  <c r="I18" i="7" s="1"/>
  <c r="H19" i="7"/>
  <c r="I19" i="7" s="1"/>
  <c r="H20" i="7"/>
  <c r="I20" i="7" s="1"/>
  <c r="H21" i="7"/>
  <c r="I21" i="7" s="1"/>
  <c r="I23" i="7"/>
  <c r="H24" i="7"/>
  <c r="I24" i="7" s="1"/>
  <c r="H25" i="7"/>
  <c r="I25" i="7" s="1"/>
  <c r="H26" i="7"/>
  <c r="I26" i="7" s="1"/>
  <c r="H15" i="7"/>
  <c r="I15" i="7" s="1"/>
  <c r="H11" i="7"/>
  <c r="H2" i="7"/>
  <c r="I2" i="7" s="1"/>
  <c r="H3" i="7"/>
  <c r="I3" i="7" s="1"/>
  <c r="H4" i="7"/>
  <c r="I4" i="7" s="1"/>
  <c r="H5" i="7"/>
  <c r="I5" i="7" s="1"/>
  <c r="H7" i="7"/>
  <c r="I7" i="7" s="1"/>
  <c r="H8" i="7"/>
  <c r="I8" i="7" s="1"/>
  <c r="H9" i="7"/>
  <c r="I9" i="7" s="1"/>
  <c r="H10" i="7"/>
  <c r="I10" i="7" s="1"/>
  <c r="Z18" i="5"/>
  <c r="L18" i="5"/>
  <c r="Z17" i="5"/>
  <c r="L17" i="5"/>
  <c r="Z16" i="5"/>
  <c r="L16" i="5"/>
  <c r="Z15" i="5"/>
  <c r="L15" i="5"/>
  <c r="Z14" i="5"/>
  <c r="L14" i="5"/>
  <c r="Z13" i="5"/>
  <c r="L13" i="5"/>
  <c r="Z12" i="5"/>
  <c r="L12" i="5"/>
  <c r="Z11" i="5"/>
  <c r="L11" i="5"/>
  <c r="Z10" i="5"/>
  <c r="L10" i="5"/>
  <c r="Z9" i="5"/>
  <c r="L9" i="5"/>
  <c r="Z8" i="5"/>
  <c r="L8" i="5"/>
  <c r="Z7" i="5"/>
  <c r="L7" i="5"/>
  <c r="Z6" i="5"/>
  <c r="L6" i="5"/>
  <c r="Z5" i="5"/>
  <c r="L5" i="5"/>
  <c r="Z4" i="5"/>
  <c r="L4" i="5"/>
  <c r="Z3" i="5"/>
  <c r="L3" i="5"/>
  <c r="Z2" i="5"/>
  <c r="L2" i="5"/>
  <c r="AA73" i="4"/>
  <c r="AB73" i="4" s="1"/>
  <c r="Z73" i="4"/>
  <c r="L73" i="4"/>
  <c r="AA72" i="4"/>
  <c r="AB72" i="4" s="1"/>
  <c r="Z72" i="4"/>
  <c r="L72" i="4"/>
  <c r="AA71" i="4"/>
  <c r="AB71" i="4" s="1"/>
  <c r="Z71" i="4"/>
  <c r="L71" i="4"/>
  <c r="AA70" i="4"/>
  <c r="AB70" i="4" s="1"/>
  <c r="Z70" i="4"/>
  <c r="L70" i="4"/>
  <c r="AA69" i="4"/>
  <c r="AB69" i="4" s="1"/>
  <c r="Z69" i="4"/>
  <c r="L69" i="4"/>
  <c r="AA68" i="4"/>
  <c r="AB68" i="4" s="1"/>
  <c r="Z68" i="4"/>
  <c r="L68" i="4"/>
  <c r="AA67" i="4"/>
  <c r="AB67" i="4" s="1"/>
  <c r="Z67" i="4"/>
  <c r="L67" i="4"/>
  <c r="AA66" i="4"/>
  <c r="AB66" i="4" s="1"/>
  <c r="Z66" i="4"/>
  <c r="L66" i="4"/>
  <c r="AA65" i="4"/>
  <c r="AB65" i="4" s="1"/>
  <c r="Z65" i="4"/>
  <c r="L65" i="4"/>
  <c r="AA64" i="4"/>
  <c r="AB64" i="4" s="1"/>
  <c r="Z64" i="4"/>
  <c r="L64" i="4"/>
  <c r="AA63" i="4"/>
  <c r="AB63" i="4" s="1"/>
  <c r="Z63" i="4"/>
  <c r="L63" i="4"/>
  <c r="AA62" i="4"/>
  <c r="AB62" i="4" s="1"/>
  <c r="Z62" i="4"/>
  <c r="L62" i="4"/>
  <c r="AA61" i="4"/>
  <c r="AB61" i="4" s="1"/>
  <c r="Z61" i="4"/>
  <c r="L61" i="4"/>
  <c r="AA60" i="4"/>
  <c r="AB60" i="4" s="1"/>
  <c r="Z60" i="4"/>
  <c r="L60" i="4"/>
  <c r="AA59" i="4"/>
  <c r="AB59" i="4" s="1"/>
  <c r="Z59" i="4"/>
  <c r="L59" i="4"/>
  <c r="AA58" i="4"/>
  <c r="AB58" i="4" s="1"/>
  <c r="Z58" i="4"/>
  <c r="L58" i="4"/>
  <c r="AA57" i="4"/>
  <c r="AB57" i="4" s="1"/>
  <c r="Z57" i="4"/>
  <c r="L57" i="4"/>
  <c r="AA56" i="4"/>
  <c r="AB56" i="4" s="1"/>
  <c r="Z56" i="4"/>
  <c r="L56" i="4"/>
  <c r="AA55" i="4"/>
  <c r="AB55" i="4" s="1"/>
  <c r="Z55" i="4"/>
  <c r="L55" i="4"/>
  <c r="AA54" i="4"/>
  <c r="AB54" i="4" s="1"/>
  <c r="Z54" i="4"/>
  <c r="L54" i="4"/>
  <c r="AA53" i="4"/>
  <c r="AB53" i="4" s="1"/>
  <c r="Z53" i="4"/>
  <c r="L53" i="4"/>
  <c r="AA52" i="4"/>
  <c r="AB52" i="4" s="1"/>
  <c r="Z52" i="4"/>
  <c r="L52" i="4"/>
  <c r="AA51" i="4"/>
  <c r="AB51" i="4" s="1"/>
  <c r="Z51" i="4"/>
  <c r="L51" i="4"/>
  <c r="AA50" i="4"/>
  <c r="AB50" i="4" s="1"/>
  <c r="Z50" i="4"/>
  <c r="L50" i="4"/>
  <c r="AA49" i="4"/>
  <c r="AB49" i="4" s="1"/>
  <c r="Z49" i="4"/>
  <c r="L49" i="4"/>
  <c r="AA48" i="4"/>
  <c r="AB48" i="4" s="1"/>
  <c r="Z48" i="4"/>
  <c r="L48" i="4"/>
  <c r="AA47" i="4"/>
  <c r="AB47" i="4" s="1"/>
  <c r="Z47" i="4"/>
  <c r="L47" i="4"/>
  <c r="AA46" i="4"/>
  <c r="AB46" i="4" s="1"/>
  <c r="Z46" i="4"/>
  <c r="L46" i="4"/>
  <c r="AA45" i="4"/>
  <c r="AB45" i="4" s="1"/>
  <c r="Z45" i="4"/>
  <c r="L45" i="4"/>
  <c r="AA44" i="4"/>
  <c r="AB44" i="4" s="1"/>
  <c r="Z44" i="4"/>
  <c r="L44" i="4"/>
  <c r="AA43" i="4"/>
  <c r="AB43" i="4" s="1"/>
  <c r="Z43" i="4"/>
  <c r="L43" i="4"/>
  <c r="AA42" i="4"/>
  <c r="AB42" i="4" s="1"/>
  <c r="Z42" i="4"/>
  <c r="L42" i="4"/>
  <c r="AA41" i="4"/>
  <c r="AB41" i="4" s="1"/>
  <c r="Z41" i="4"/>
  <c r="L41" i="4"/>
  <c r="AA40" i="4"/>
  <c r="AB40" i="4" s="1"/>
  <c r="Z40" i="4"/>
  <c r="L40" i="4"/>
  <c r="AA39" i="4"/>
  <c r="AB39" i="4" s="1"/>
  <c r="Z39" i="4"/>
  <c r="L39" i="4"/>
  <c r="AA38" i="4"/>
  <c r="AB38" i="4" s="1"/>
  <c r="Z38" i="4"/>
  <c r="L38" i="4"/>
  <c r="AA37" i="4"/>
  <c r="AB37" i="4" s="1"/>
  <c r="Z37" i="4"/>
  <c r="L37" i="4"/>
  <c r="AA36" i="4"/>
  <c r="AB36" i="4" s="1"/>
  <c r="Z36" i="4"/>
  <c r="L36" i="4"/>
  <c r="AA35" i="4"/>
  <c r="AB35" i="4" s="1"/>
  <c r="Z35" i="4"/>
  <c r="L35" i="4"/>
  <c r="AA34" i="4"/>
  <c r="AB34" i="4" s="1"/>
  <c r="Z34" i="4"/>
  <c r="L34" i="4"/>
  <c r="AA33" i="4"/>
  <c r="AB33" i="4" s="1"/>
  <c r="Z33" i="4"/>
  <c r="L33" i="4"/>
  <c r="AA32" i="4"/>
  <c r="AB32" i="4" s="1"/>
  <c r="Z32" i="4"/>
  <c r="L32" i="4"/>
  <c r="AA31" i="4"/>
  <c r="AB31" i="4" s="1"/>
  <c r="Z31" i="4"/>
  <c r="L31" i="4"/>
  <c r="AA30" i="4"/>
  <c r="AB30" i="4" s="1"/>
  <c r="Z30" i="4"/>
  <c r="L30" i="4"/>
  <c r="AA29" i="4"/>
  <c r="AB29" i="4" s="1"/>
  <c r="Z29" i="4"/>
  <c r="L29" i="4"/>
  <c r="AA28" i="4"/>
  <c r="AB28" i="4" s="1"/>
  <c r="Z28" i="4"/>
  <c r="L28" i="4"/>
  <c r="AA27" i="4"/>
  <c r="AB27" i="4" s="1"/>
  <c r="Z27" i="4"/>
  <c r="L27" i="4"/>
  <c r="AA26" i="4"/>
  <c r="AB26" i="4" s="1"/>
  <c r="Z26" i="4"/>
  <c r="L26" i="4"/>
  <c r="AA25" i="4"/>
  <c r="AB25" i="4" s="1"/>
  <c r="Z25" i="4"/>
  <c r="L25" i="4"/>
  <c r="AA24" i="4"/>
  <c r="AB24" i="4" s="1"/>
  <c r="Z24" i="4"/>
  <c r="L24" i="4"/>
  <c r="AA23" i="4"/>
  <c r="AB23" i="4" s="1"/>
  <c r="Z23" i="4"/>
  <c r="L23" i="4"/>
  <c r="AA22" i="4"/>
  <c r="AB22" i="4" s="1"/>
  <c r="Z22" i="4"/>
  <c r="L22" i="4"/>
  <c r="AA21" i="4"/>
  <c r="AB21" i="4" s="1"/>
  <c r="Z21" i="4"/>
  <c r="L21" i="4"/>
  <c r="AA20" i="4"/>
  <c r="AB20" i="4" s="1"/>
  <c r="Z20" i="4"/>
  <c r="L20" i="4"/>
  <c r="AA19" i="4"/>
  <c r="AB19" i="4" s="1"/>
  <c r="Z19" i="4"/>
  <c r="L19" i="4"/>
  <c r="AA18" i="4"/>
  <c r="AB18" i="4" s="1"/>
  <c r="Z18" i="4"/>
  <c r="L18" i="4"/>
  <c r="AA17" i="4"/>
  <c r="AB17" i="4" s="1"/>
  <c r="Z17" i="4"/>
  <c r="L17" i="4"/>
  <c r="AA16" i="4"/>
  <c r="AB16" i="4" s="1"/>
  <c r="Z16" i="4"/>
  <c r="L16" i="4"/>
  <c r="AA15" i="4"/>
  <c r="AB15" i="4" s="1"/>
  <c r="Z15" i="4"/>
  <c r="L15" i="4"/>
  <c r="AA14" i="4"/>
  <c r="AB14" i="4" s="1"/>
  <c r="Z14" i="4"/>
  <c r="L14" i="4"/>
  <c r="AA13" i="4"/>
  <c r="AB13" i="4" s="1"/>
  <c r="Z13" i="4"/>
  <c r="L13" i="4"/>
  <c r="AA12" i="4"/>
  <c r="AB12" i="4" s="1"/>
  <c r="Z12" i="4"/>
  <c r="L12" i="4"/>
  <c r="AA11" i="4"/>
  <c r="AB11" i="4" s="1"/>
  <c r="Z11" i="4"/>
  <c r="L11" i="4"/>
  <c r="AA10" i="4"/>
  <c r="AB10" i="4" s="1"/>
  <c r="Z10" i="4"/>
  <c r="L10" i="4"/>
  <c r="AA9" i="4"/>
  <c r="AB9" i="4" s="1"/>
  <c r="Z9" i="4"/>
  <c r="L9" i="4"/>
  <c r="AA8" i="4"/>
  <c r="AB8" i="4" s="1"/>
  <c r="Z8" i="4"/>
  <c r="L8" i="4"/>
  <c r="AA7" i="4"/>
  <c r="AB7" i="4" s="1"/>
  <c r="Z7" i="4"/>
  <c r="L7" i="4"/>
  <c r="AA6" i="4"/>
  <c r="AB6" i="4" s="1"/>
  <c r="Z6" i="4"/>
  <c r="L6" i="4"/>
  <c r="AA5" i="4"/>
  <c r="AB5" i="4" s="1"/>
  <c r="Z5" i="4"/>
  <c r="L5" i="4"/>
  <c r="AA4" i="4"/>
  <c r="AB4" i="4" s="1"/>
  <c r="Z4" i="4"/>
  <c r="L4" i="4"/>
  <c r="AA3" i="4"/>
  <c r="AB3" i="4" s="1"/>
  <c r="Z3" i="4"/>
  <c r="L3" i="4"/>
  <c r="AA2" i="4"/>
  <c r="AB2" i="4" s="1"/>
  <c r="Z2" i="4"/>
  <c r="L2" i="4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2" i="2"/>
  <c r="AA3" i="3"/>
  <c r="AB3" i="3" s="1"/>
  <c r="AA4" i="3"/>
  <c r="AB4" i="3" s="1"/>
  <c r="AA5" i="3"/>
  <c r="AB5" i="3" s="1"/>
  <c r="AA6" i="3"/>
  <c r="AB6" i="3" s="1"/>
  <c r="AA7" i="3"/>
  <c r="AB7" i="3" s="1"/>
  <c r="AA8" i="3"/>
  <c r="AB8" i="3" s="1"/>
  <c r="AA9" i="3"/>
  <c r="AB9" i="3" s="1"/>
  <c r="AA10" i="3"/>
  <c r="AB10" i="3" s="1"/>
  <c r="AA11" i="3"/>
  <c r="AB11" i="3" s="1"/>
  <c r="AA12" i="3"/>
  <c r="AB12" i="3" s="1"/>
  <c r="AA13" i="3"/>
  <c r="AB13" i="3" s="1"/>
  <c r="AA14" i="3"/>
  <c r="AB14" i="3" s="1"/>
  <c r="AA15" i="3"/>
  <c r="AB15" i="3" s="1"/>
  <c r="AA16" i="3"/>
  <c r="AB16" i="3" s="1"/>
  <c r="AA17" i="3"/>
  <c r="AB17" i="3" s="1"/>
  <c r="AA18" i="3"/>
  <c r="AB18" i="3" s="1"/>
  <c r="AA19" i="3"/>
  <c r="AB19" i="3" s="1"/>
  <c r="AA20" i="3"/>
  <c r="AB20" i="3" s="1"/>
  <c r="AA21" i="3"/>
  <c r="AB21" i="3" s="1"/>
  <c r="AA22" i="3"/>
  <c r="AB22" i="3" s="1"/>
  <c r="AA23" i="3"/>
  <c r="AB23" i="3" s="1"/>
  <c r="AA24" i="3"/>
  <c r="AB24" i="3" s="1"/>
  <c r="AA25" i="3"/>
  <c r="AB25" i="3" s="1"/>
  <c r="AA26" i="3"/>
  <c r="AB26" i="3" s="1"/>
  <c r="AA27" i="3"/>
  <c r="AB27" i="3" s="1"/>
  <c r="AA28" i="3"/>
  <c r="AB28" i="3" s="1"/>
  <c r="AA29" i="3"/>
  <c r="AB29" i="3" s="1"/>
  <c r="AA30" i="3"/>
  <c r="AB30" i="3" s="1"/>
  <c r="AA31" i="3"/>
  <c r="AB31" i="3" s="1"/>
  <c r="AA32" i="3"/>
  <c r="AB32" i="3" s="1"/>
  <c r="AA33" i="3"/>
  <c r="AB33" i="3" s="1"/>
  <c r="AA34" i="3"/>
  <c r="AB34" i="3" s="1"/>
  <c r="AA35" i="3"/>
  <c r="AB35" i="3" s="1"/>
  <c r="AA36" i="3"/>
  <c r="AB36" i="3" s="1"/>
  <c r="AA37" i="3"/>
  <c r="AB37" i="3" s="1"/>
  <c r="AA38" i="3"/>
  <c r="AB38" i="3" s="1"/>
  <c r="AA39" i="3"/>
  <c r="AB39" i="3" s="1"/>
  <c r="AA40" i="3"/>
  <c r="AB40" i="3" s="1"/>
  <c r="AA41" i="3"/>
  <c r="AB41" i="3" s="1"/>
  <c r="AA42" i="3"/>
  <c r="AB42" i="3" s="1"/>
  <c r="AA43" i="3"/>
  <c r="AB43" i="3" s="1"/>
  <c r="AA44" i="3"/>
  <c r="AB44" i="3" s="1"/>
  <c r="AA45" i="3"/>
  <c r="AB45" i="3" s="1"/>
  <c r="AA46" i="3"/>
  <c r="AB46" i="3" s="1"/>
  <c r="AA47" i="3"/>
  <c r="AB47" i="3" s="1"/>
  <c r="AA48" i="3"/>
  <c r="AB48" i="3" s="1"/>
  <c r="AA49" i="3"/>
  <c r="AB49" i="3" s="1"/>
  <c r="AA50" i="3"/>
  <c r="AB50" i="3" s="1"/>
  <c r="AA51" i="3"/>
  <c r="AB51" i="3" s="1"/>
  <c r="AA52" i="3"/>
  <c r="AB52" i="3" s="1"/>
  <c r="AA53" i="3"/>
  <c r="AB53" i="3" s="1"/>
  <c r="AA54" i="3"/>
  <c r="AB54" i="3" s="1"/>
  <c r="AA55" i="3"/>
  <c r="AB55" i="3" s="1"/>
  <c r="AA56" i="3"/>
  <c r="AB56" i="3" s="1"/>
  <c r="AA57" i="3"/>
  <c r="AB57" i="3" s="1"/>
  <c r="AA58" i="3"/>
  <c r="AB58" i="3" s="1"/>
  <c r="AA59" i="3"/>
  <c r="AB59" i="3" s="1"/>
  <c r="AA60" i="3"/>
  <c r="AB60" i="3" s="1"/>
  <c r="AA61" i="3"/>
  <c r="AB61" i="3" s="1"/>
  <c r="AA62" i="3"/>
  <c r="AB62" i="3" s="1"/>
  <c r="AA63" i="3"/>
  <c r="AB63" i="3" s="1"/>
  <c r="AA64" i="3"/>
  <c r="AB64" i="3" s="1"/>
  <c r="AA65" i="3"/>
  <c r="AB65" i="3" s="1"/>
  <c r="AA66" i="3"/>
  <c r="AB66" i="3" s="1"/>
  <c r="AA67" i="3"/>
  <c r="AB67" i="3" s="1"/>
  <c r="AA68" i="3"/>
  <c r="AB68" i="3" s="1"/>
  <c r="AA69" i="3"/>
  <c r="AB69" i="3" s="1"/>
  <c r="AA70" i="3"/>
  <c r="AB70" i="3" s="1"/>
  <c r="AA71" i="3"/>
  <c r="AB71" i="3" s="1"/>
  <c r="AA72" i="3"/>
  <c r="AB72" i="3" s="1"/>
  <c r="AA73" i="3"/>
  <c r="AB73" i="3" s="1"/>
  <c r="AA74" i="3"/>
  <c r="AB74" i="3" s="1"/>
  <c r="AA75" i="3"/>
  <c r="AB75" i="3" s="1"/>
  <c r="AA76" i="3"/>
  <c r="AB76" i="3" s="1"/>
  <c r="AA77" i="3"/>
  <c r="AB77" i="3" s="1"/>
  <c r="AA78" i="3"/>
  <c r="AB78" i="3" s="1"/>
  <c r="AA79" i="3"/>
  <c r="AB79" i="3" s="1"/>
  <c r="AA80" i="3"/>
  <c r="AB80" i="3" s="1"/>
  <c r="AA81" i="3"/>
  <c r="AB81" i="3" s="1"/>
  <c r="AA82" i="3"/>
  <c r="AB82" i="3" s="1"/>
  <c r="AA83" i="3"/>
  <c r="AB83" i="3" s="1"/>
  <c r="AA84" i="3"/>
  <c r="AB84" i="3" s="1"/>
  <c r="AA85" i="3"/>
  <c r="AB85" i="3" s="1"/>
  <c r="AA86" i="3"/>
  <c r="AB86" i="3" s="1"/>
  <c r="AA87" i="3"/>
  <c r="AB87" i="3" s="1"/>
  <c r="AA88" i="3"/>
  <c r="AB88" i="3" s="1"/>
  <c r="AA89" i="3"/>
  <c r="AB89" i="3" s="1"/>
  <c r="AA90" i="3"/>
  <c r="AB90" i="3" s="1"/>
  <c r="AA91" i="3"/>
  <c r="AB91" i="3" s="1"/>
  <c r="AA92" i="3"/>
  <c r="AB92" i="3" s="1"/>
  <c r="AA93" i="3"/>
  <c r="AB93" i="3" s="1"/>
  <c r="AA94" i="3"/>
  <c r="AB94" i="3" s="1"/>
  <c r="AA95" i="3"/>
  <c r="AB95" i="3" s="1"/>
  <c r="AA96" i="3"/>
  <c r="AB96" i="3" s="1"/>
  <c r="AA97" i="3"/>
  <c r="AB97" i="3" s="1"/>
  <c r="AA98" i="3"/>
  <c r="AB98" i="3" s="1"/>
  <c r="AA99" i="3"/>
  <c r="AB99" i="3" s="1"/>
  <c r="AA100" i="3"/>
  <c r="AB100" i="3" s="1"/>
  <c r="AA101" i="3"/>
  <c r="AB101" i="3" s="1"/>
  <c r="AA102" i="3"/>
  <c r="AB102" i="3" s="1"/>
  <c r="AA103" i="3"/>
  <c r="AB103" i="3" s="1"/>
  <c r="AA104" i="3"/>
  <c r="AB104" i="3" s="1"/>
  <c r="AA105" i="3"/>
  <c r="AB105" i="3" s="1"/>
  <c r="AA106" i="3"/>
  <c r="AB106" i="3" s="1"/>
  <c r="AA107" i="3"/>
  <c r="AB107" i="3" s="1"/>
  <c r="AA108" i="3"/>
  <c r="AB108" i="3" s="1"/>
  <c r="AA109" i="3"/>
  <c r="AB109" i="3" s="1"/>
  <c r="AA110" i="3"/>
  <c r="AB110" i="3" s="1"/>
  <c r="AA111" i="3"/>
  <c r="AB111" i="3" s="1"/>
  <c r="AA112" i="3"/>
  <c r="AB112" i="3" s="1"/>
  <c r="AA113" i="3"/>
  <c r="AB113" i="3" s="1"/>
  <c r="AA114" i="3"/>
  <c r="AB114" i="3" s="1"/>
  <c r="AA115" i="3"/>
  <c r="AB115" i="3" s="1"/>
  <c r="AA116" i="3"/>
  <c r="AB116" i="3" s="1"/>
  <c r="AA117" i="3"/>
  <c r="AB117" i="3" s="1"/>
  <c r="AA118" i="3"/>
  <c r="AB118" i="3" s="1"/>
  <c r="AA119" i="3"/>
  <c r="AB119" i="3" s="1"/>
  <c r="AA120" i="3"/>
  <c r="AB120" i="3" s="1"/>
  <c r="AA121" i="3"/>
  <c r="AB121" i="3" s="1"/>
  <c r="AA122" i="3"/>
  <c r="AB122" i="3" s="1"/>
  <c r="AA123" i="3"/>
  <c r="AB123" i="3" s="1"/>
  <c r="AA124" i="3"/>
  <c r="AB124" i="3" s="1"/>
  <c r="AA125" i="3"/>
  <c r="AB125" i="3" s="1"/>
  <c r="AA126" i="3"/>
  <c r="AB126" i="3" s="1"/>
  <c r="AA127" i="3"/>
  <c r="AB127" i="3" s="1"/>
  <c r="AA128" i="3"/>
  <c r="AB128" i="3" s="1"/>
  <c r="AA129" i="3"/>
  <c r="AB129" i="3" s="1"/>
  <c r="AA130" i="3"/>
  <c r="AB130" i="3" s="1"/>
  <c r="AA131" i="3"/>
  <c r="AB131" i="3" s="1"/>
  <c r="AA132" i="3"/>
  <c r="AB132" i="3" s="1"/>
  <c r="AA133" i="3"/>
  <c r="AB133" i="3" s="1"/>
  <c r="AA134" i="3"/>
  <c r="AB134" i="3" s="1"/>
  <c r="AA135" i="3"/>
  <c r="AB135" i="3" s="1"/>
  <c r="AA136" i="3"/>
  <c r="AB136" i="3" s="1"/>
  <c r="AA137" i="3"/>
  <c r="AB137" i="3" s="1"/>
  <c r="AA138" i="3"/>
  <c r="AB138" i="3" s="1"/>
  <c r="AA139" i="3"/>
  <c r="AB139" i="3" s="1"/>
  <c r="AA140" i="3"/>
  <c r="AB140" i="3" s="1"/>
  <c r="AA141" i="3"/>
  <c r="AB141" i="3" s="1"/>
  <c r="AA142" i="3"/>
  <c r="AB142" i="3" s="1"/>
  <c r="AA143" i="3"/>
  <c r="AB143" i="3" s="1"/>
  <c r="AA144" i="3"/>
  <c r="AB144" i="3" s="1"/>
  <c r="AA145" i="3"/>
  <c r="AB145" i="3" s="1"/>
  <c r="AA146" i="3"/>
  <c r="AB146" i="3" s="1"/>
  <c r="AA147" i="3"/>
  <c r="AB147" i="3" s="1"/>
  <c r="AA148" i="3"/>
  <c r="AB148" i="3" s="1"/>
  <c r="AA149" i="3"/>
  <c r="AB149" i="3" s="1"/>
  <c r="AA150" i="3"/>
  <c r="AB150" i="3" s="1"/>
  <c r="AA151" i="3"/>
  <c r="AB151" i="3" s="1"/>
  <c r="AA152" i="3"/>
  <c r="AB152" i="3" s="1"/>
  <c r="AA153" i="3"/>
  <c r="AB153" i="3" s="1"/>
  <c r="AA154" i="3"/>
  <c r="AB154" i="3" s="1"/>
  <c r="AA155" i="3"/>
  <c r="AB155" i="3" s="1"/>
  <c r="AA156" i="3"/>
  <c r="AB156" i="3" s="1"/>
  <c r="AA157" i="3"/>
  <c r="AB157" i="3" s="1"/>
  <c r="AA158" i="3"/>
  <c r="AB158" i="3" s="1"/>
  <c r="AA159" i="3"/>
  <c r="AB159" i="3" s="1"/>
  <c r="AA160" i="3"/>
  <c r="AB160" i="3" s="1"/>
  <c r="AA161" i="3"/>
  <c r="AB161" i="3" s="1"/>
  <c r="AA162" i="3"/>
  <c r="AB162" i="3" s="1"/>
  <c r="AA163" i="3"/>
  <c r="AB163" i="3" s="1"/>
  <c r="AA164" i="3"/>
  <c r="AB164" i="3" s="1"/>
  <c r="AA165" i="3"/>
  <c r="AB165" i="3" s="1"/>
  <c r="AA166" i="3"/>
  <c r="AB166" i="3" s="1"/>
  <c r="AA167" i="3"/>
  <c r="AB167" i="3" s="1"/>
  <c r="AA168" i="3"/>
  <c r="AB168" i="3" s="1"/>
  <c r="AA169" i="3"/>
  <c r="AB169" i="3" s="1"/>
  <c r="AA170" i="3"/>
  <c r="AB170" i="3" s="1"/>
  <c r="AA171" i="3"/>
  <c r="AB171" i="3" s="1"/>
  <c r="AA172" i="3"/>
  <c r="AB172" i="3" s="1"/>
  <c r="AA173" i="3"/>
  <c r="AB173" i="3" s="1"/>
  <c r="AA174" i="3"/>
  <c r="AB174" i="3" s="1"/>
  <c r="AA175" i="3"/>
  <c r="AB175" i="3" s="1"/>
  <c r="AA176" i="3"/>
  <c r="AB176" i="3" s="1"/>
  <c r="AA177" i="3"/>
  <c r="AB177" i="3" s="1"/>
  <c r="AA178" i="3"/>
  <c r="AB178" i="3" s="1"/>
  <c r="AA179" i="3"/>
  <c r="AB179" i="3" s="1"/>
  <c r="AA180" i="3"/>
  <c r="AB180" i="3" s="1"/>
  <c r="AA181" i="3"/>
  <c r="AB181" i="3" s="1"/>
  <c r="AA182" i="3"/>
  <c r="AB182" i="3" s="1"/>
  <c r="AA183" i="3"/>
  <c r="AB183" i="3" s="1"/>
  <c r="AA184" i="3"/>
  <c r="AB184" i="3" s="1"/>
  <c r="AA185" i="3"/>
  <c r="AB185" i="3" s="1"/>
  <c r="AA186" i="3"/>
  <c r="AB186" i="3" s="1"/>
  <c r="AA187" i="3"/>
  <c r="AB187" i="3" s="1"/>
  <c r="AA188" i="3"/>
  <c r="AB188" i="3" s="1"/>
  <c r="AA189" i="3"/>
  <c r="AB189" i="3" s="1"/>
  <c r="AA190" i="3"/>
  <c r="AB190" i="3" s="1"/>
  <c r="AA191" i="3"/>
  <c r="AB191" i="3" s="1"/>
  <c r="AA192" i="3"/>
  <c r="AB192" i="3" s="1"/>
  <c r="AA193" i="3"/>
  <c r="AB193" i="3" s="1"/>
  <c r="AA194" i="3"/>
  <c r="AB194" i="3" s="1"/>
  <c r="AA195" i="3"/>
  <c r="AB195" i="3" s="1"/>
  <c r="AA196" i="3"/>
  <c r="AB196" i="3" s="1"/>
  <c r="AA197" i="3"/>
  <c r="AB197" i="3" s="1"/>
  <c r="AA198" i="3"/>
  <c r="AB198" i="3" s="1"/>
  <c r="AA199" i="3"/>
  <c r="AB199" i="3" s="1"/>
  <c r="AA200" i="3"/>
  <c r="AB200" i="3" s="1"/>
  <c r="AA201" i="3"/>
  <c r="AB201" i="3" s="1"/>
  <c r="AA202" i="3"/>
  <c r="AB202" i="3" s="1"/>
  <c r="AA203" i="3"/>
  <c r="AB203" i="3" s="1"/>
  <c r="AA204" i="3"/>
  <c r="AB204" i="3" s="1"/>
  <c r="AA205" i="3"/>
  <c r="AB205" i="3" s="1"/>
  <c r="AA206" i="3"/>
  <c r="AB206" i="3" s="1"/>
  <c r="AA207" i="3"/>
  <c r="AB207" i="3" s="1"/>
  <c r="AA208" i="3"/>
  <c r="AB208" i="3" s="1"/>
  <c r="AA209" i="3"/>
  <c r="AB209" i="3" s="1"/>
  <c r="AA210" i="3"/>
  <c r="AB210" i="3" s="1"/>
  <c r="AA211" i="3"/>
  <c r="AB211" i="3" s="1"/>
  <c r="AA212" i="3"/>
  <c r="AB212" i="3" s="1"/>
  <c r="AA213" i="3"/>
  <c r="AB213" i="3" s="1"/>
  <c r="AA214" i="3"/>
  <c r="AB214" i="3" s="1"/>
  <c r="AA215" i="3"/>
  <c r="AB215" i="3" s="1"/>
  <c r="AA216" i="3"/>
  <c r="AB216" i="3" s="1"/>
  <c r="AA217" i="3"/>
  <c r="AB217" i="3" s="1"/>
  <c r="AA218" i="3"/>
  <c r="AB218" i="3" s="1"/>
  <c r="AA219" i="3"/>
  <c r="AB219" i="3" s="1"/>
  <c r="AA220" i="3"/>
  <c r="AB220" i="3" s="1"/>
  <c r="AA221" i="3"/>
  <c r="AB221" i="3" s="1"/>
  <c r="AA222" i="3"/>
  <c r="AB222" i="3" s="1"/>
  <c r="AA223" i="3"/>
  <c r="AB223" i="3" s="1"/>
  <c r="AA224" i="3"/>
  <c r="AB224" i="3" s="1"/>
  <c r="AA225" i="3"/>
  <c r="AB225" i="3" s="1"/>
  <c r="AA226" i="3"/>
  <c r="AB226" i="3" s="1"/>
  <c r="AA227" i="3"/>
  <c r="AB227" i="3" s="1"/>
  <c r="AA228" i="3"/>
  <c r="AB228" i="3" s="1"/>
  <c r="AA229" i="3"/>
  <c r="AB229" i="3" s="1"/>
  <c r="AA230" i="3"/>
  <c r="AB230" i="3" s="1"/>
  <c r="AA231" i="3"/>
  <c r="AB231" i="3" s="1"/>
  <c r="AA232" i="3"/>
  <c r="AB232" i="3" s="1"/>
  <c r="AA233" i="3"/>
  <c r="AB233" i="3" s="1"/>
  <c r="AA234" i="3"/>
  <c r="AB234" i="3" s="1"/>
  <c r="AA235" i="3"/>
  <c r="AB235" i="3" s="1"/>
  <c r="AA236" i="3"/>
  <c r="AB236" i="3" s="1"/>
  <c r="AA237" i="3"/>
  <c r="AB237" i="3" s="1"/>
  <c r="AA238" i="3"/>
  <c r="AB238" i="3" s="1"/>
  <c r="AA239" i="3"/>
  <c r="AB239" i="3" s="1"/>
  <c r="AA240" i="3"/>
  <c r="AB240" i="3" s="1"/>
  <c r="AA241" i="3"/>
  <c r="AB241" i="3" s="1"/>
  <c r="AA242" i="3"/>
  <c r="AB242" i="3" s="1"/>
  <c r="AA243" i="3"/>
  <c r="AB243" i="3" s="1"/>
  <c r="AA244" i="3"/>
  <c r="AB244" i="3" s="1"/>
  <c r="AA245" i="3"/>
  <c r="AB245" i="3" s="1"/>
  <c r="AA246" i="3"/>
  <c r="AB246" i="3" s="1"/>
  <c r="AA247" i="3"/>
  <c r="AB247" i="3" s="1"/>
  <c r="AA248" i="3"/>
  <c r="AB248" i="3" s="1"/>
  <c r="AA249" i="3"/>
  <c r="AB249" i="3" s="1"/>
  <c r="AA250" i="3"/>
  <c r="AB250" i="3" s="1"/>
  <c r="AA251" i="3"/>
  <c r="AB251" i="3" s="1"/>
  <c r="AA252" i="3"/>
  <c r="AB252" i="3" s="1"/>
  <c r="AA253" i="3"/>
  <c r="AB253" i="3" s="1"/>
  <c r="AA254" i="3"/>
  <c r="AB254" i="3" s="1"/>
  <c r="AA255" i="3"/>
  <c r="AB255" i="3" s="1"/>
  <c r="AA256" i="3"/>
  <c r="AB256" i="3" s="1"/>
  <c r="AA257" i="3"/>
  <c r="AB257" i="3" s="1"/>
  <c r="AA258" i="3"/>
  <c r="AB258" i="3" s="1"/>
  <c r="AA259" i="3"/>
  <c r="AB259" i="3" s="1"/>
  <c r="AA260" i="3"/>
  <c r="AB260" i="3" s="1"/>
  <c r="AA2" i="3"/>
  <c r="AB2" i="3" s="1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2" i="2"/>
  <c r="Z180" i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2" i="2"/>
  <c r="Z3" i="1"/>
  <c r="Z4" i="1"/>
  <c r="Z6" i="1"/>
  <c r="Z181" i="1"/>
  <c r="Z5" i="1"/>
  <c r="Z8" i="1"/>
  <c r="Z7" i="1"/>
  <c r="Z15" i="1"/>
  <c r="Z9" i="1"/>
  <c r="Z11" i="1"/>
  <c r="Z12" i="1"/>
  <c r="Z13" i="1"/>
  <c r="Z14" i="1"/>
  <c r="Z16" i="1"/>
  <c r="Z23" i="1"/>
  <c r="Z29" i="1"/>
  <c r="Z2" i="1"/>
  <c r="Z17" i="1"/>
  <c r="Z19" i="1"/>
  <c r="Z21" i="1"/>
  <c r="Z20" i="1"/>
  <c r="Z22" i="1"/>
  <c r="Z24" i="1"/>
  <c r="Z25" i="1"/>
  <c r="Z26" i="1"/>
  <c r="Z28" i="1"/>
  <c r="Z18" i="1"/>
  <c r="Z27" i="1"/>
  <c r="Z30" i="1"/>
  <c r="Z31" i="1"/>
  <c r="Z34" i="1"/>
  <c r="Z33" i="1"/>
  <c r="Z35" i="1"/>
  <c r="Z36" i="1"/>
  <c r="Z32" i="1"/>
  <c r="Z37" i="1"/>
  <c r="Z38" i="1"/>
  <c r="Z41" i="1"/>
  <c r="Z39" i="1"/>
  <c r="Z42" i="1"/>
  <c r="Z43" i="1"/>
  <c r="Z40" i="1"/>
  <c r="Z45" i="1"/>
  <c r="Z44" i="1"/>
  <c r="Z47" i="1"/>
  <c r="Z46" i="1"/>
  <c r="Z49" i="1"/>
  <c r="Z48" i="1"/>
  <c r="Z50" i="1"/>
  <c r="Z71" i="1"/>
  <c r="Z52" i="1"/>
  <c r="Z54" i="1"/>
  <c r="Z51" i="1"/>
  <c r="Z55" i="1"/>
  <c r="Z56" i="1"/>
  <c r="Z76" i="1"/>
  <c r="Z57" i="1"/>
  <c r="Z59" i="1"/>
  <c r="Z62" i="1"/>
  <c r="Z63" i="1"/>
  <c r="Z61" i="1"/>
  <c r="Z60" i="1"/>
  <c r="Z68" i="1"/>
  <c r="Z66" i="1"/>
  <c r="Z53" i="1"/>
  <c r="Z65" i="1"/>
  <c r="Z64" i="1"/>
  <c r="Z70" i="1"/>
  <c r="Z67" i="1"/>
  <c r="Z69" i="1"/>
  <c r="Z72" i="1"/>
  <c r="Z58" i="1"/>
  <c r="Z73" i="1"/>
  <c r="Z74" i="1"/>
  <c r="Z75" i="1"/>
  <c r="Z77" i="1"/>
  <c r="Z78" i="1"/>
  <c r="Z81" i="1"/>
  <c r="Z79" i="1"/>
  <c r="Z83" i="1"/>
  <c r="Z80" i="1"/>
  <c r="Z84" i="1"/>
  <c r="Z86" i="1"/>
  <c r="Z88" i="1"/>
  <c r="Z89" i="1"/>
  <c r="Z90" i="1"/>
  <c r="Z87" i="1"/>
  <c r="Z82" i="1"/>
  <c r="Z92" i="1"/>
  <c r="Z109" i="1"/>
  <c r="Z93" i="1"/>
  <c r="Z95" i="1"/>
  <c r="Z94" i="1"/>
  <c r="Z97" i="1"/>
  <c r="Z85" i="1"/>
  <c r="Z98" i="1"/>
  <c r="Z100" i="1"/>
  <c r="Z96" i="1"/>
  <c r="Z102" i="1"/>
  <c r="Z104" i="1"/>
  <c r="Z101" i="1"/>
  <c r="Z103" i="1"/>
  <c r="Z99" i="1"/>
  <c r="Z107" i="1"/>
  <c r="Z108" i="1"/>
  <c r="Z110" i="1"/>
  <c r="Z105" i="1"/>
  <c r="Z91" i="1"/>
  <c r="Z106" i="1"/>
  <c r="Z111" i="1"/>
  <c r="Z112" i="1"/>
  <c r="Z113" i="1"/>
  <c r="Z114" i="1"/>
  <c r="Z115" i="1"/>
  <c r="Z117" i="1"/>
  <c r="Z116" i="1"/>
  <c r="Z119" i="1"/>
  <c r="Z121" i="1"/>
  <c r="Z123" i="1"/>
  <c r="Z124" i="1"/>
  <c r="Z125" i="1"/>
  <c r="Z126" i="1"/>
  <c r="Z127" i="1"/>
  <c r="Z128" i="1"/>
  <c r="Z129" i="1"/>
  <c r="Z120" i="1"/>
  <c r="Z133" i="1"/>
  <c r="Z134" i="1"/>
  <c r="Z132" i="1"/>
  <c r="Z136" i="1"/>
  <c r="Z118" i="1"/>
  <c r="Z135" i="1"/>
  <c r="Z130" i="1"/>
  <c r="Z122" i="1"/>
  <c r="Z137" i="1"/>
  <c r="Z140" i="1"/>
  <c r="Z138" i="1"/>
  <c r="Z144" i="1"/>
  <c r="Z141" i="1"/>
  <c r="Z145" i="1"/>
  <c r="Z139" i="1"/>
  <c r="Z148" i="1"/>
  <c r="Z142" i="1"/>
  <c r="Z149" i="1"/>
  <c r="Z143" i="1"/>
  <c r="Z146" i="1"/>
  <c r="Z150" i="1"/>
  <c r="Z151" i="1"/>
  <c r="Z147" i="1"/>
  <c r="Z154" i="1"/>
  <c r="Z153" i="1"/>
  <c r="Z155" i="1"/>
  <c r="Z156" i="1"/>
  <c r="Z157" i="1"/>
  <c r="Z152" i="1"/>
  <c r="Z159" i="1"/>
  <c r="Z160" i="1"/>
  <c r="Z161" i="1"/>
  <c r="Z131" i="1"/>
  <c r="Z162" i="1"/>
  <c r="Z158" i="1"/>
  <c r="Z164" i="1"/>
  <c r="Z165" i="1"/>
  <c r="Z163" i="1"/>
  <c r="Z167" i="1"/>
  <c r="Z169" i="1"/>
  <c r="Z170" i="1"/>
  <c r="Z168" i="1"/>
  <c r="Z174" i="1"/>
  <c r="Z173" i="1"/>
  <c r="Z182" i="1"/>
  <c r="Z183" i="1"/>
  <c r="Z184" i="1"/>
  <c r="Z166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0" i="1"/>
  <c r="Z199" i="1"/>
  <c r="Z171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172" i="1"/>
  <c r="Z217" i="1"/>
  <c r="Z218" i="1"/>
  <c r="Z178" i="1"/>
  <c r="Z219" i="1"/>
  <c r="Z220" i="1"/>
  <c r="Z221" i="1"/>
  <c r="Z222" i="1"/>
  <c r="Z223" i="1"/>
  <c r="Z224" i="1"/>
  <c r="Z176" i="1"/>
  <c r="Z225" i="1"/>
  <c r="Z226" i="1"/>
  <c r="Z227" i="1"/>
  <c r="Z228" i="1"/>
  <c r="Z229" i="1"/>
  <c r="Z230" i="1"/>
  <c r="Z231" i="1"/>
  <c r="Z232" i="1"/>
  <c r="Z233" i="1"/>
  <c r="Z234" i="1"/>
  <c r="Z177" i="1"/>
  <c r="Z179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175" i="1"/>
  <c r="Z253" i="1"/>
  <c r="Z254" i="1"/>
  <c r="Z255" i="1"/>
  <c r="Z256" i="1"/>
  <c r="Z257" i="1"/>
  <c r="Z258" i="1"/>
  <c r="Z259" i="1"/>
  <c r="Z260" i="1"/>
  <c r="V68" i="4" a="1"/>
  <c r="V60" i="4" a="1"/>
  <c r="V52" i="4" a="1"/>
  <c r="V44" i="4" a="1"/>
  <c r="V36" i="4" a="1"/>
  <c r="V28" i="4" a="1"/>
  <c r="V20" i="4" a="1"/>
  <c r="V12" i="4" a="1"/>
  <c r="V4" i="4" a="1"/>
  <c r="V73" i="4" a="1"/>
  <c r="V65" i="4" a="1"/>
  <c r="V57" i="4" a="1"/>
  <c r="V49" i="4" a="1"/>
  <c r="V41" i="4" a="1"/>
  <c r="V33" i="4" a="1"/>
  <c r="V25" i="4" a="1"/>
  <c r="V17" i="4" a="1"/>
  <c r="V9" i="4" a="1"/>
  <c r="V72" i="4" a="1"/>
  <c r="V64" i="4" a="1"/>
  <c r="V70" i="4" a="1"/>
  <c r="V62" i="4" a="1"/>
  <c r="V54" i="4" a="1"/>
  <c r="V46" i="4" a="1"/>
  <c r="V38" i="4" a="1"/>
  <c r="V30" i="4" a="1"/>
  <c r="V22" i="4" a="1"/>
  <c r="V14" i="4" a="1"/>
  <c r="V6" i="4" a="1"/>
  <c r="V48" i="4" a="1"/>
  <c r="V40" i="4" a="1"/>
  <c r="V67" i="4" a="1"/>
  <c r="V59" i="4" a="1"/>
  <c r="V51" i="4" a="1"/>
  <c r="V43" i="4" a="1"/>
  <c r="V35" i="4" a="1"/>
  <c r="V27" i="4" a="1"/>
  <c r="V19" i="4" a="1"/>
  <c r="V11" i="4" a="1"/>
  <c r="V3" i="4" a="1"/>
  <c r="V56" i="4" a="1"/>
  <c r="V32" i="4" a="1"/>
  <c r="V24" i="4" a="1"/>
  <c r="V16" i="4" a="1"/>
  <c r="V8" i="4" a="1"/>
  <c r="V66" i="4" a="1"/>
  <c r="V58" i="4" a="1"/>
  <c r="V50" i="4" a="1"/>
  <c r="V42" i="4" a="1"/>
  <c r="V34" i="4" a="1"/>
  <c r="V26" i="4" a="1"/>
  <c r="V18" i="4" a="1"/>
  <c r="V10" i="4" a="1"/>
  <c r="V2" i="4" a="1"/>
  <c r="V71" i="4" a="1"/>
  <c r="V63" i="4" a="1"/>
  <c r="V55" i="4" a="1"/>
  <c r="V47" i="4" a="1"/>
  <c r="V61" i="4" a="1"/>
  <c r="V53" i="4" a="1"/>
  <c r="V45" i="4" a="1"/>
  <c r="V37" i="4" a="1"/>
  <c r="V29" i="4" a="1"/>
  <c r="V21" i="4" a="1"/>
  <c r="V13" i="4" a="1"/>
  <c r="V5" i="4" a="1"/>
  <c r="V69" i="4" a="1"/>
  <c r="V39" i="4" a="1"/>
  <c r="V31" i="4" a="1"/>
  <c r="V23" i="4" a="1"/>
  <c r="V15" i="4" a="1"/>
  <c r="V7" i="4" a="1"/>
  <c r="V3" i="2" a="1"/>
  <c r="V7" i="2" a="1"/>
  <c r="V11" i="2" a="1"/>
  <c r="V15" i="2" a="1"/>
  <c r="V19" i="2" a="1"/>
  <c r="V23" i="2" a="1"/>
  <c r="V27" i="2" a="1"/>
  <c r="V31" i="2" a="1"/>
  <c r="V35" i="2" a="1"/>
  <c r="V39" i="2" a="1"/>
  <c r="V43" i="2" a="1"/>
  <c r="V47" i="2" a="1"/>
  <c r="V51" i="2" a="1"/>
  <c r="V55" i="2" a="1"/>
  <c r="V59" i="2" a="1"/>
  <c r="V63" i="2" a="1"/>
  <c r="V67" i="2" a="1"/>
  <c r="V71" i="2" a="1"/>
  <c r="V18" i="2" a="1"/>
  <c r="V22" i="2" a="1"/>
  <c r="V4" i="2" a="1"/>
  <c r="V8" i="2" a="1"/>
  <c r="V12" i="2" a="1"/>
  <c r="V16" i="2" a="1"/>
  <c r="V20" i="2" a="1"/>
  <c r="V24" i="2" a="1"/>
  <c r="V28" i="2" a="1"/>
  <c r="V32" i="2" a="1"/>
  <c r="V36" i="2" a="1"/>
  <c r="V40" i="2" a="1"/>
  <c r="V44" i="2" a="1"/>
  <c r="V48" i="2" a="1"/>
  <c r="V52" i="2" a="1"/>
  <c r="V56" i="2" a="1"/>
  <c r="V60" i="2" a="1"/>
  <c r="V64" i="2" a="1"/>
  <c r="V68" i="2" a="1"/>
  <c r="V72" i="2" a="1"/>
  <c r="V14" i="2" a="1"/>
  <c r="V50" i="2" a="1"/>
  <c r="V62" i="2" a="1"/>
  <c r="V10" i="2" a="1"/>
  <c r="V5" i="2" a="1"/>
  <c r="V9" i="2" a="1"/>
  <c r="V13" i="2" a="1"/>
  <c r="V17" i="2" a="1"/>
  <c r="V21" i="2" a="1"/>
  <c r="V25" i="2" a="1"/>
  <c r="V29" i="2" a="1"/>
  <c r="V33" i="2" a="1"/>
  <c r="V37" i="2" a="1"/>
  <c r="V41" i="2" a="1"/>
  <c r="V45" i="2" a="1"/>
  <c r="V49" i="2" a="1"/>
  <c r="V53" i="2" a="1"/>
  <c r="V57" i="2" a="1"/>
  <c r="V61" i="2" a="1"/>
  <c r="V65" i="2" a="1"/>
  <c r="V69" i="2" a="1"/>
  <c r="V73" i="2" a="1"/>
  <c r="V26" i="2" a="1"/>
  <c r="V70" i="2" a="1"/>
  <c r="V6" i="2" a="1"/>
  <c r="V30" i="2" a="1"/>
  <c r="V34" i="2" a="1"/>
  <c r="V38" i="2" a="1"/>
  <c r="V42" i="2" a="1"/>
  <c r="V46" i="2" a="1"/>
  <c r="V54" i="2" a="1"/>
  <c r="V58" i="2" a="1"/>
  <c r="V66" i="2" a="1"/>
  <c r="V2" i="2" a="1"/>
  <c r="V3" i="1" a="1"/>
  <c r="V35" i="1" a="1"/>
  <c r="V67" i="1" a="1"/>
  <c r="V99" i="1" a="1"/>
  <c r="V131" i="1" a="1"/>
  <c r="V163" i="1" a="1"/>
  <c r="V195" i="1" a="1"/>
  <c r="V227" i="1" a="1"/>
  <c r="V259" i="1" a="1"/>
  <c r="V106" i="1" a="1"/>
  <c r="V4" i="1" a="1"/>
  <c r="V36" i="1" a="1"/>
  <c r="V68" i="1" a="1"/>
  <c r="V100" i="1" a="1"/>
  <c r="V132" i="1" a="1"/>
  <c r="V164" i="1" a="1"/>
  <c r="V196" i="1" a="1"/>
  <c r="V228" i="1" a="1"/>
  <c r="V260" i="1" a="1"/>
  <c r="V178" i="1" a="1"/>
  <c r="V138" i="1" a="1"/>
  <c r="V13" i="1" a="1"/>
  <c r="V45" i="1" a="1"/>
  <c r="V77" i="1" a="1"/>
  <c r="V109" i="1" a="1"/>
  <c r="V141" i="1" a="1"/>
  <c r="V173" i="1" a="1"/>
  <c r="V205" i="1" a="1"/>
  <c r="V237" i="1" a="1"/>
  <c r="V42" i="1" a="1"/>
  <c r="V98" i="1" a="1"/>
  <c r="V254" i="1" a="1"/>
  <c r="V246" i="1" a="1"/>
  <c r="V4" i="5" a="1"/>
  <c r="V7" i="5" a="1"/>
  <c r="Y14" i="5" a="1"/>
  <c r="Y6" i="5" a="1"/>
  <c r="X13" i="5" a="1"/>
  <c r="W16" i="5" a="1"/>
  <c r="W8" i="5" a="1"/>
  <c r="X12" i="5" a="1"/>
  <c r="X61" i="4" a="1"/>
  <c r="X45" i="4" a="1"/>
  <c r="X29" i="4" a="1"/>
  <c r="X13" i="4" a="1"/>
  <c r="X60" i="4" a="1"/>
  <c r="W72" i="4" a="1"/>
  <c r="W56" i="4" a="1"/>
  <c r="W40" i="4" a="1"/>
  <c r="W24" i="4" a="1"/>
  <c r="W8" i="4" a="1"/>
  <c r="W10" i="4" a="1"/>
  <c r="X63" i="4" a="1"/>
  <c r="X47" i="4" a="1"/>
  <c r="X31" i="4" a="1"/>
  <c r="X15" i="4" a="1"/>
  <c r="Y62" i="4" a="1"/>
  <c r="W68" i="4" a="1"/>
  <c r="W52" i="4" a="1"/>
  <c r="W36" i="4" a="1"/>
  <c r="W20" i="4" a="1"/>
  <c r="W4" i="4" a="1"/>
  <c r="Y61" i="4" a="1"/>
  <c r="Y45" i="4" a="1"/>
  <c r="Y27" i="4" a="1"/>
  <c r="X35" i="4" a="1"/>
  <c r="X25" i="4" a="1"/>
  <c r="W7" i="4" a="1"/>
  <c r="Y7" i="2" a="1"/>
  <c r="X29" i="2" a="1"/>
  <c r="W51" i="2" a="1"/>
  <c r="Y71" i="2" a="1"/>
  <c r="X12" i="2" a="1"/>
  <c r="W34" i="2" a="1"/>
  <c r="Y54" i="2" a="1"/>
  <c r="Y68" i="2" a="1"/>
  <c r="Y21" i="2" a="1"/>
  <c r="X43" i="2" a="1"/>
  <c r="W65" i="2" a="1"/>
  <c r="Y44" i="2" a="1"/>
  <c r="W24" i="2" a="1"/>
  <c r="W5" i="2" a="1"/>
  <c r="Y25" i="2" a="1"/>
  <c r="X47" i="2" a="1"/>
  <c r="W69" i="2" a="1"/>
  <c r="Y16" i="2" a="1"/>
  <c r="X38" i="2" a="1"/>
  <c r="W60" i="2" a="1"/>
  <c r="W23" i="2" a="1"/>
  <c r="Y67" i="2" a="1"/>
  <c r="X24" i="2" a="1"/>
  <c r="Y26" i="2" a="1"/>
  <c r="W22" i="2" a="1"/>
  <c r="Y66" i="2" a="1"/>
  <c r="W180" i="1" a="1"/>
  <c r="W4" i="1" a="1"/>
  <c r="Y3" i="2" a="1"/>
  <c r="V251" i="1" a="1"/>
  <c r="V62" i="1" a="1"/>
  <c r="V28" i="1" a="1"/>
  <c r="V156" i="1" a="1"/>
  <c r="V134" i="1" a="1"/>
  <c r="V133" i="1" a="1"/>
  <c r="V206" i="1" a="1"/>
  <c r="Y18" i="5" a="1"/>
  <c r="W18" i="4" a="1"/>
  <c r="W9" i="4" a="1"/>
  <c r="X28" i="2" a="1"/>
  <c r="Y36" i="2" a="1"/>
  <c r="Y32" i="2" a="1"/>
  <c r="W54" i="2" a="1"/>
  <c r="V7" i="1" a="1"/>
  <c r="V39" i="1" a="1"/>
  <c r="V71" i="1" a="1"/>
  <c r="V103" i="1" a="1"/>
  <c r="V135" i="1" a="1"/>
  <c r="V167" i="1" a="1"/>
  <c r="V199" i="1" a="1"/>
  <c r="V231" i="1" a="1"/>
  <c r="V26" i="1" a="1"/>
  <c r="V146" i="1" a="1"/>
  <c r="V8" i="1" a="1"/>
  <c r="V40" i="1" a="1"/>
  <c r="V72" i="1" a="1"/>
  <c r="V104" i="1" a="1"/>
  <c r="V136" i="1" a="1"/>
  <c r="V168" i="1" a="1"/>
  <c r="V200" i="1" a="1"/>
  <c r="V232" i="1" a="1"/>
  <c r="V14" i="1" a="1"/>
  <c r="V198" i="1" a="1"/>
  <c r="V154" i="1" a="1"/>
  <c r="V17" i="1" a="1"/>
  <c r="V49" i="1" a="1"/>
  <c r="V81" i="1" a="1"/>
  <c r="V113" i="1" a="1"/>
  <c r="V145" i="1" a="1"/>
  <c r="V177" i="1" a="1"/>
  <c r="V209" i="1" a="1"/>
  <c r="V241" i="1" a="1"/>
  <c r="V50" i="1" a="1"/>
  <c r="V118" i="1" a="1"/>
  <c r="V6" i="1" a="1"/>
  <c r="V258" i="1" a="1"/>
  <c r="V13" i="5" a="1"/>
  <c r="V10" i="5" a="1"/>
  <c r="Y13" i="5" a="1"/>
  <c r="W5" i="5" a="1"/>
  <c r="X10" i="5" a="1"/>
  <c r="W15" i="5" a="1"/>
  <c r="Y7" i="5" a="1"/>
  <c r="X11" i="5" a="1"/>
  <c r="Y66" i="4" a="1"/>
  <c r="Y50" i="4" a="1"/>
  <c r="Y34" i="4" a="1"/>
  <c r="Y18" i="4" a="1"/>
  <c r="Y2" i="4" a="1"/>
  <c r="W59" i="4" a="1"/>
  <c r="W43" i="4" a="1"/>
  <c r="W27" i="4" a="1"/>
  <c r="W11" i="4" a="1"/>
  <c r="W58" i="4" a="1"/>
  <c r="X36" i="4" a="1"/>
  <c r="Y67" i="4" a="1"/>
  <c r="W61" i="4" a="1"/>
  <c r="W45" i="4" a="1"/>
  <c r="W29" i="4" a="1"/>
  <c r="W13" i="4" a="1"/>
  <c r="Y6" i="4" a="1"/>
  <c r="X59" i="4" a="1"/>
  <c r="Y37" i="4" a="1"/>
  <c r="Y59" i="4" a="1"/>
  <c r="Y19" i="4" a="1"/>
  <c r="X27" i="4" a="1"/>
  <c r="X17" i="4" a="1"/>
  <c r="W11" i="2" a="1"/>
  <c r="Y31" i="2" a="1"/>
  <c r="X53" i="2" a="1"/>
  <c r="X10" i="2" a="1"/>
  <c r="Y14" i="2" a="1"/>
  <c r="X36" i="2" a="1"/>
  <c r="W58" i="2" a="1"/>
  <c r="X3" i="2" a="1"/>
  <c r="W25" i="2" a="1"/>
  <c r="Y45" i="2" a="1"/>
  <c r="X67" i="2" a="1"/>
  <c r="W56" i="2" a="1"/>
  <c r="Y28" i="2" a="1"/>
  <c r="X7" i="2" a="1"/>
  <c r="W29" i="2" a="1"/>
  <c r="Y49" i="2" a="1"/>
  <c r="X71" i="2" a="1"/>
  <c r="W20" i="2" a="1"/>
  <c r="Y40" i="2" a="1"/>
  <c r="X62" i="2" a="1"/>
  <c r="X32" i="2" a="1"/>
  <c r="X70" i="2" a="1"/>
  <c r="W31" i="2" a="1"/>
  <c r="W30" i="2" a="1"/>
  <c r="W71" i="2" a="1"/>
  <c r="X25" i="2" a="1"/>
  <c r="W70" i="2" a="1"/>
  <c r="V2" i="1" a="1"/>
  <c r="W28" i="2" a="1"/>
  <c r="V187" i="1" a="1"/>
  <c r="V188" i="1" a="1"/>
  <c r="V37" i="1" a="1"/>
  <c r="V197" i="1" a="1"/>
  <c r="V15" i="5" a="1"/>
  <c r="X18" i="5" a="1"/>
  <c r="X72" i="4" a="1"/>
  <c r="Y44" i="4" a="1"/>
  <c r="Y56" i="4" a="1"/>
  <c r="W65" i="4" a="1"/>
  <c r="W33" i="4" a="1"/>
  <c r="W23" i="4" a="1"/>
  <c r="W67" i="2" a="1"/>
  <c r="Y41" i="2" a="1"/>
  <c r="W63" i="2" a="1"/>
  <c r="V11" i="1" a="1"/>
  <c r="V43" i="1" a="1"/>
  <c r="V75" i="1" a="1"/>
  <c r="V107" i="1" a="1"/>
  <c r="V139" i="1" a="1"/>
  <c r="V171" i="1" a="1"/>
  <c r="V203" i="1" a="1"/>
  <c r="V235" i="1" a="1"/>
  <c r="V30" i="1" a="1"/>
  <c r="V166" i="1" a="1"/>
  <c r="V12" i="1" a="1"/>
  <c r="V44" i="1" a="1"/>
  <c r="V76" i="1" a="1"/>
  <c r="V108" i="1" a="1"/>
  <c r="V140" i="1" a="1"/>
  <c r="V172" i="1" a="1"/>
  <c r="V204" i="1" a="1"/>
  <c r="V236" i="1" a="1"/>
  <c r="V70" i="1" a="1"/>
  <c r="V218" i="1" a="1"/>
  <c r="V174" i="1" a="1"/>
  <c r="V21" i="1" a="1"/>
  <c r="V53" i="1" a="1"/>
  <c r="V85" i="1" a="1"/>
  <c r="V117" i="1" a="1"/>
  <c r="V149" i="1" a="1"/>
  <c r="V181" i="1" a="1"/>
  <c r="V213" i="1" a="1"/>
  <c r="V245" i="1" a="1"/>
  <c r="V58" i="1" a="1"/>
  <c r="V130" i="1" a="1"/>
  <c r="V114" i="1" a="1"/>
  <c r="V3" i="5" a="1"/>
  <c r="V16" i="5" a="1"/>
  <c r="V2" i="5" a="1"/>
  <c r="W12" i="5" a="1"/>
  <c r="Y4" i="5" a="1"/>
  <c r="X8" i="5" a="1"/>
  <c r="W14" i="5" a="1"/>
  <c r="W6" i="5" a="1"/>
  <c r="X9" i="5" a="1"/>
  <c r="X64" i="4" a="1"/>
  <c r="X48" i="4" a="1"/>
  <c r="X32" i="4" a="1"/>
  <c r="X16" i="4" a="1"/>
  <c r="X44" i="4" a="1"/>
  <c r="Y68" i="4" a="1"/>
  <c r="Y52" i="4" a="1"/>
  <c r="Y36" i="4" a="1"/>
  <c r="Y20" i="4" a="1"/>
  <c r="Y4" i="4" a="1"/>
  <c r="W34" i="4" a="1"/>
  <c r="X65" i="4" a="1"/>
  <c r="X52" i="4" a="1"/>
  <c r="X4" i="4" a="1"/>
  <c r="Y64" i="4" a="1"/>
  <c r="Y48" i="4" a="1"/>
  <c r="Y32" i="4" a="1"/>
  <c r="Y16" i="4" a="1"/>
  <c r="W73" i="4" a="1"/>
  <c r="W57" i="4" a="1"/>
  <c r="Y29" i="4" a="1"/>
  <c r="X57" i="4" a="1"/>
  <c r="Y11" i="4" a="1"/>
  <c r="X19" i="4" a="1"/>
  <c r="X9" i="4" a="1"/>
  <c r="X13" i="2" a="1"/>
  <c r="W35" i="2" a="1"/>
  <c r="Y55" i="2" a="1"/>
  <c r="Y52" i="2" a="1"/>
  <c r="W18" i="2" a="1"/>
  <c r="Y38" i="2" a="1"/>
  <c r="X60" i="2" a="1"/>
  <c r="Y5" i="2" a="1"/>
  <c r="X27" i="2" a="1"/>
  <c r="W49" i="2" a="1"/>
  <c r="Y69" i="2" a="1"/>
  <c r="X58" i="2" a="1"/>
  <c r="W32" i="2" a="1"/>
  <c r="Y9" i="2" a="1"/>
  <c r="X31" i="2" a="1"/>
  <c r="W53" i="2" a="1"/>
  <c r="Y73" i="2" a="1"/>
  <c r="X22" i="2" a="1"/>
  <c r="W44" i="2" a="1"/>
  <c r="Y64" i="2" a="1"/>
  <c r="Y35" i="2" a="1"/>
  <c r="Y72" i="2" a="1"/>
  <c r="X40" i="2" a="1"/>
  <c r="X33" i="2" a="1"/>
  <c r="X73" i="2" a="1"/>
  <c r="Y34" i="2" a="1"/>
  <c r="X72" i="2" a="1"/>
  <c r="W3" i="1" a="1"/>
  <c r="W39" i="2" a="1"/>
  <c r="Y42" i="2" a="1"/>
  <c r="Y2" i="2" a="1"/>
  <c r="X6" i="2" a="1"/>
  <c r="W46" i="2" a="1"/>
  <c r="V91" i="1" a="1"/>
  <c r="V124" i="1" a="1"/>
  <c r="V5" i="1" a="1"/>
  <c r="V229" i="1" a="1"/>
  <c r="V17" i="5" a="1"/>
  <c r="Y24" i="4" a="1"/>
  <c r="W50" i="2" a="1"/>
  <c r="W21" i="2" a="1"/>
  <c r="X16" i="2" a="1"/>
  <c r="W2" i="2" a="1"/>
  <c r="V15" i="1" a="1"/>
  <c r="V47" i="1" a="1"/>
  <c r="V79" i="1" a="1"/>
  <c r="V111" i="1" a="1"/>
  <c r="V143" i="1" a="1"/>
  <c r="V175" i="1" a="1"/>
  <c r="V207" i="1" a="1"/>
  <c r="V239" i="1" a="1"/>
  <c r="V38" i="1" a="1"/>
  <c r="V182" i="1" a="1"/>
  <c r="V16" i="1" a="1"/>
  <c r="V48" i="1" a="1"/>
  <c r="V80" i="1" a="1"/>
  <c r="V112" i="1" a="1"/>
  <c r="V144" i="1" a="1"/>
  <c r="V176" i="1" a="1"/>
  <c r="V208" i="1" a="1"/>
  <c r="V240" i="1" a="1"/>
  <c r="V90" i="1" a="1"/>
  <c r="V234" i="1" a="1"/>
  <c r="V194" i="1" a="1"/>
  <c r="V25" i="1" a="1"/>
  <c r="V57" i="1" a="1"/>
  <c r="V89" i="1" a="1"/>
  <c r="V121" i="1" a="1"/>
  <c r="V153" i="1" a="1"/>
  <c r="V185" i="1" a="1"/>
  <c r="V217" i="1" a="1"/>
  <c r="V249" i="1" a="1"/>
  <c r="V66" i="1" a="1"/>
  <c r="V150" i="1" a="1"/>
  <c r="V142" i="1" a="1"/>
  <c r="V8" i="5" a="1"/>
  <c r="V5" i="5" a="1"/>
  <c r="W2" i="5" a="1"/>
  <c r="W11" i="5" a="1"/>
  <c r="W3" i="5" a="1"/>
  <c r="X6" i="5" a="1"/>
  <c r="W13" i="5" a="1"/>
  <c r="Y5" i="5" a="1"/>
  <c r="X7" i="5" a="1"/>
  <c r="W62" i="4" a="1"/>
  <c r="W46" i="4" a="1"/>
  <c r="W30" i="4" a="1"/>
  <c r="W14" i="4" a="1"/>
  <c r="Y71" i="4" a="1"/>
  <c r="Y55" i="4" a="1"/>
  <c r="Y39" i="4" a="1"/>
  <c r="Y23" i="4" a="1"/>
  <c r="Y7" i="4" a="1"/>
  <c r="W42" i="4" a="1"/>
  <c r="X66" i="4" a="1"/>
  <c r="X50" i="4" a="1"/>
  <c r="X34" i="4" a="1"/>
  <c r="X18" i="4" a="1"/>
  <c r="X2" i="4" a="1"/>
  <c r="Y30" i="4" a="1"/>
  <c r="Y73" i="4" a="1"/>
  <c r="Y57" i="4" a="1"/>
  <c r="Y41" i="4" a="1"/>
  <c r="Y25" i="4" a="1"/>
  <c r="Y9" i="4" a="1"/>
  <c r="W50" i="4" a="1"/>
  <c r="W2" i="4" a="1"/>
  <c r="X62" i="4" a="1"/>
  <c r="X46" i="4" a="1"/>
  <c r="X30" i="4" a="1"/>
  <c r="X14" i="4" a="1"/>
  <c r="Y21" i="4" a="1"/>
  <c r="W55" i="4" a="1"/>
  <c r="Y3" i="4" a="1"/>
  <c r="X11" i="4" a="1"/>
  <c r="Y15" i="2" a="1"/>
  <c r="X37" i="2" a="1"/>
  <c r="W59" i="2" a="1"/>
  <c r="Y60" i="2" a="1"/>
  <c r="X20" i="2" a="1"/>
  <c r="W42" i="2" a="1"/>
  <c r="Y62" i="2" a="1"/>
  <c r="W9" i="2" a="1"/>
  <c r="Y29" i="2" a="1"/>
  <c r="X51" i="2" a="1"/>
  <c r="W73" i="2" a="1"/>
  <c r="Y4" i="2" a="1"/>
  <c r="X34" i="2" a="1"/>
  <c r="W13" i="2" a="1"/>
  <c r="Y33" i="2" a="1"/>
  <c r="X55" i="2" a="1"/>
  <c r="W4" i="2" a="1"/>
  <c r="Y24" i="2" a="1"/>
  <c r="X46" i="2" a="1"/>
  <c r="W68" i="2" a="1"/>
  <c r="Y11" i="2" a="1"/>
  <c r="Y43" i="2" a="1"/>
  <c r="X8" i="2" a="1"/>
  <c r="X48" i="2" a="1"/>
  <c r="Y180" i="1" a="1"/>
  <c r="V219" i="1" a="1"/>
  <c r="V165" i="1" a="1"/>
  <c r="X15" i="5" a="1"/>
  <c r="X24" i="4" a="1"/>
  <c r="W49" i="4" a="1"/>
  <c r="W3" i="2" a="1"/>
  <c r="W14" i="2" a="1"/>
  <c r="V19" i="1" a="1"/>
  <c r="V51" i="1" a="1"/>
  <c r="V83" i="1" a="1"/>
  <c r="V115" i="1" a="1"/>
  <c r="V147" i="1" a="1"/>
  <c r="V179" i="1" a="1"/>
  <c r="V211" i="1" a="1"/>
  <c r="V243" i="1" a="1"/>
  <c r="V46" i="1" a="1"/>
  <c r="V202" i="1" a="1"/>
  <c r="V20" i="1" a="1"/>
  <c r="V52" i="1" a="1"/>
  <c r="V84" i="1" a="1"/>
  <c r="V116" i="1" a="1"/>
  <c r="V148" i="1" a="1"/>
  <c r="V180" i="1" a="1"/>
  <c r="V212" i="1" a="1"/>
  <c r="V244" i="1" a="1"/>
  <c r="V102" i="1" a="1"/>
  <c r="V18" i="1" a="1"/>
  <c r="V214" i="1" a="1"/>
  <c r="V29" i="1" a="1"/>
  <c r="V61" i="1" a="1"/>
  <c r="V93" i="1" a="1"/>
  <c r="V125" i="1" a="1"/>
  <c r="V157" i="1" a="1"/>
  <c r="V189" i="1" a="1"/>
  <c r="V221" i="1" a="1"/>
  <c r="V253" i="1" a="1"/>
  <c r="V74" i="1" a="1"/>
  <c r="V162" i="1" a="1"/>
  <c r="V170" i="1" a="1"/>
  <c r="V12" i="5" a="1"/>
  <c r="V9" i="5" a="1"/>
  <c r="W18" i="5" a="1"/>
  <c r="Y10" i="5" a="1"/>
  <c r="Y2" i="5" a="1"/>
  <c r="X4" i="5" a="1"/>
  <c r="Y12" i="5" a="1"/>
  <c r="W4" i="5" a="1"/>
  <c r="X5" i="5" a="1"/>
  <c r="X69" i="4" a="1"/>
  <c r="X53" i="4" a="1"/>
  <c r="X37" i="4" a="1"/>
  <c r="X21" i="4" a="1"/>
  <c r="X5" i="4" a="1"/>
  <c r="Y38" i="4" a="1"/>
  <c r="W64" i="4" a="1"/>
  <c r="W48" i="4" a="1"/>
  <c r="W32" i="4" a="1"/>
  <c r="W16" i="4" a="1"/>
  <c r="Y70" i="4" a="1"/>
  <c r="Y22" i="4" a="1"/>
  <c r="X71" i="4" a="1"/>
  <c r="X55" i="4" a="1"/>
  <c r="X39" i="4" a="1"/>
  <c r="X23" i="4" a="1"/>
  <c r="X7" i="4" a="1"/>
  <c r="Y46" i="4" a="1"/>
  <c r="X73" i="4" a="1"/>
  <c r="W60" i="4" a="1"/>
  <c r="W44" i="4" a="1"/>
  <c r="W28" i="4" a="1"/>
  <c r="W12" i="4" a="1"/>
  <c r="Y69" i="4" a="1"/>
  <c r="Y53" i="4" a="1"/>
  <c r="Y13" i="4" a="1"/>
  <c r="W25" i="4" a="1"/>
  <c r="X3" i="4" a="1"/>
  <c r="W39" i="4" a="1"/>
  <c r="W19" i="2" a="1"/>
  <c r="Y39" i="2" a="1"/>
  <c r="X61" i="2" a="1"/>
  <c r="X66" i="2" a="1"/>
  <c r="Y22" i="2" a="1"/>
  <c r="X44" i="2" a="1"/>
  <c r="W66" i="2" a="1"/>
  <c r="X11" i="2" a="1"/>
  <c r="W33" i="2" a="1"/>
  <c r="Y53" i="2" a="1"/>
  <c r="W8" i="2" a="1"/>
  <c r="Y12" i="2" a="1"/>
  <c r="W40" i="2" a="1"/>
  <c r="X15" i="2" a="1"/>
  <c r="W37" i="2" a="1"/>
  <c r="Y57" i="2" a="1"/>
  <c r="Y27" i="2" a="1"/>
  <c r="Y59" i="2" a="1"/>
  <c r="V155" i="1" a="1"/>
  <c r="V60" i="1" a="1"/>
  <c r="V252" i="1" a="1"/>
  <c r="V101" i="1" a="1"/>
  <c r="V86" i="1" a="1"/>
  <c r="Y8" i="5" a="1"/>
  <c r="Y12" i="4" a="1"/>
  <c r="X41" i="4" a="1"/>
  <c r="Y6" i="2" a="1"/>
  <c r="Y37" i="2" a="1"/>
  <c r="W64" i="2" a="1"/>
  <c r="X54" i="2" a="1"/>
  <c r="X9" i="2" a="1"/>
  <c r="V23" i="1" a="1"/>
  <c r="V55" i="1" a="1"/>
  <c r="V87" i="1" a="1"/>
  <c r="V119" i="1" a="1"/>
  <c r="V151" i="1" a="1"/>
  <c r="V183" i="1" a="1"/>
  <c r="V215" i="1" a="1"/>
  <c r="V247" i="1" a="1"/>
  <c r="V54" i="1" a="1"/>
  <c r="V222" i="1" a="1"/>
  <c r="V24" i="1" a="1"/>
  <c r="V56" i="1" a="1"/>
  <c r="V88" i="1" a="1"/>
  <c r="V120" i="1" a="1"/>
  <c r="V152" i="1" a="1"/>
  <c r="V184" i="1" a="1"/>
  <c r="V216" i="1" a="1"/>
  <c r="V248" i="1" a="1"/>
  <c r="V122" i="1" a="1"/>
  <c r="V82" i="1" a="1"/>
  <c r="V238" i="1" a="1"/>
  <c r="V33" i="1" a="1"/>
  <c r="V65" i="1" a="1"/>
  <c r="V97" i="1" a="1"/>
  <c r="V129" i="1" a="1"/>
  <c r="V161" i="1" a="1"/>
  <c r="V193" i="1" a="1"/>
  <c r="V225" i="1" a="1"/>
  <c r="V257" i="1" a="1"/>
  <c r="V78" i="1" a="1"/>
  <c r="V186" i="1" a="1"/>
  <c r="V190" i="1" a="1"/>
  <c r="V14" i="5" a="1"/>
  <c r="V11" i="5" a="1"/>
  <c r="W17" i="5" a="1"/>
  <c r="W9" i="5" a="1"/>
  <c r="X16" i="5" a="1"/>
  <c r="X2" i="5" a="1"/>
  <c r="Y11" i="5" a="1"/>
  <c r="Y3" i="5" a="1"/>
  <c r="X3" i="5" a="1"/>
  <c r="Y58" i="4" a="1"/>
  <c r="Y42" i="4" a="1"/>
  <c r="Y26" i="4" a="1"/>
  <c r="Y10" i="4" a="1"/>
  <c r="W67" i="4" a="1"/>
  <c r="W51" i="4" a="1"/>
  <c r="W35" i="4" a="1"/>
  <c r="W19" i="4" a="1"/>
  <c r="W3" i="4" a="1"/>
  <c r="X28" i="4" a="1"/>
  <c r="X68" i="4" a="1"/>
  <c r="X20" i="4" a="1"/>
  <c r="W69" i="4" a="1"/>
  <c r="W53" i="4" a="1"/>
  <c r="W37" i="4" a="1"/>
  <c r="W21" i="4" a="1"/>
  <c r="W5" i="4" a="1"/>
  <c r="W71" i="4" a="1"/>
  <c r="X67" i="4" a="1"/>
  <c r="X51" i="4" a="1"/>
  <c r="Y5" i="4" a="1"/>
  <c r="Y51" i="4" a="1"/>
  <c r="W17" i="4" a="1"/>
  <c r="W41" i="4" a="1"/>
  <c r="W31" i="4" a="1"/>
  <c r="X21" i="2" a="1"/>
  <c r="W43" i="2" a="1"/>
  <c r="Y63" i="2" a="1"/>
  <c r="X4" i="2" a="1"/>
  <c r="W26" i="2" a="1"/>
  <c r="Y46" i="2" a="1"/>
  <c r="X68" i="2" a="1"/>
  <c r="Y13" i="2" a="1"/>
  <c r="X35" i="2" a="1"/>
  <c r="W57" i="2" a="1"/>
  <c r="X26" i="2" a="1"/>
  <c r="W16" i="2" a="1"/>
  <c r="X50" i="2" a="1"/>
  <c r="Y17" i="2" a="1"/>
  <c r="X39" i="2" a="1"/>
  <c r="W61" i="2" a="1"/>
  <c r="Y8" i="2" a="1"/>
  <c r="X30" i="2" a="1"/>
  <c r="W52" i="2" a="1"/>
  <c r="W7" i="2" a="1"/>
  <c r="Y51" i="2" a="1"/>
  <c r="X56" i="2" a="1"/>
  <c r="Y10" i="2" a="1"/>
  <c r="X49" i="2" a="1"/>
  <c r="W6" i="2" a="1"/>
  <c r="Y50" i="2" a="1"/>
  <c r="X2" i="2" a="1"/>
  <c r="V59" i="1" a="1"/>
  <c r="V242" i="1" a="1"/>
  <c r="V92" i="1" a="1"/>
  <c r="V220" i="1" a="1"/>
  <c r="V69" i="1" a="1"/>
  <c r="V210" i="1" a="1"/>
  <c r="W10" i="5" a="1"/>
  <c r="X40" i="4" a="1"/>
  <c r="W26" i="4" a="1"/>
  <c r="Y54" i="4" a="1"/>
  <c r="Y40" i="4" a="1"/>
  <c r="X49" i="4" a="1"/>
  <c r="X45" i="2" a="1"/>
  <c r="W12" i="2" a="1"/>
  <c r="Y58" i="2" a="1"/>
  <c r="V27" i="1" a="1"/>
  <c r="V31" i="1" a="1"/>
  <c r="V63" i="1" a="1"/>
  <c r="V95" i="1" a="1"/>
  <c r="V127" i="1" a="1"/>
  <c r="V159" i="1" a="1"/>
  <c r="V191" i="1" a="1"/>
  <c r="V223" i="1" a="1"/>
  <c r="V255" i="1" a="1"/>
  <c r="V22" i="1" a="1"/>
  <c r="V250" i="1" a="1"/>
  <c r="V32" i="1" a="1"/>
  <c r="V64" i="1" a="1"/>
  <c r="V96" i="1" a="1"/>
  <c r="V128" i="1" a="1"/>
  <c r="V160" i="1" a="1"/>
  <c r="V192" i="1" a="1"/>
  <c r="V224" i="1" a="1"/>
  <c r="V256" i="1" a="1"/>
  <c r="V158" i="1" a="1"/>
  <c r="V126" i="1" a="1"/>
  <c r="V9" i="1" a="1"/>
  <c r="V41" i="1" a="1"/>
  <c r="V73" i="1" a="1"/>
  <c r="V105" i="1" a="1"/>
  <c r="V137" i="1" a="1"/>
  <c r="V169" i="1" a="1"/>
  <c r="V201" i="1" a="1"/>
  <c r="V233" i="1" a="1"/>
  <c r="V34" i="1" a="1"/>
  <c r="V94" i="1" a="1"/>
  <c r="V230" i="1" a="1"/>
  <c r="V226" i="1" a="1"/>
  <c r="V18" i="5" a="1"/>
  <c r="V6" i="5" a="1"/>
  <c r="Y15" i="5" a="1"/>
  <c r="W7" i="5" a="1"/>
  <c r="X14" i="5" a="1"/>
  <c r="Y17" i="5" a="1"/>
  <c r="Y9" i="5" a="1"/>
  <c r="X17" i="5" a="1"/>
  <c r="W70" i="4" a="1"/>
  <c r="W54" i="4" a="1"/>
  <c r="W38" i="4" a="1"/>
  <c r="W22" i="4" a="1"/>
  <c r="W6" i="4" a="1"/>
  <c r="Y63" i="4" a="1"/>
  <c r="Y47" i="4" a="1"/>
  <c r="Y31" i="4" a="1"/>
  <c r="Y15" i="4" a="1"/>
  <c r="X12" i="4" a="1"/>
  <c r="X58" i="4" a="1"/>
  <c r="X42" i="4" a="1"/>
  <c r="X26" i="4" a="1"/>
  <c r="X10" i="4" a="1"/>
  <c r="Y14" i="4" a="1"/>
  <c r="Y65" i="4" a="1"/>
  <c r="Y49" i="4" a="1"/>
  <c r="Y33" i="4" a="1"/>
  <c r="Y17" i="4" a="1"/>
  <c r="W66" i="4" a="1"/>
  <c r="X70" i="4" a="1"/>
  <c r="X54" i="4" a="1"/>
  <c r="X38" i="4" a="1"/>
  <c r="X22" i="4" a="1"/>
  <c r="X6" i="4" a="1"/>
  <c r="W63" i="4" a="1"/>
  <c r="W47" i="4" a="1"/>
  <c r="Y35" i="4" a="1"/>
  <c r="X43" i="4" a="1"/>
  <c r="X33" i="4" a="1"/>
  <c r="W15" i="4" a="1"/>
  <c r="X5" i="2" a="1"/>
  <c r="W27" i="2" a="1"/>
  <c r="Y47" i="2" a="1"/>
  <c r="X69" i="2" a="1"/>
  <c r="W10" i="2" a="1"/>
  <c r="Y30" i="2" a="1"/>
  <c r="X52" i="2" a="1"/>
  <c r="W48" i="2" a="1"/>
  <c r="X19" i="2" a="1"/>
  <c r="W41" i="2" a="1"/>
  <c r="Y61" i="2" a="1"/>
  <c r="X42" i="2" a="1"/>
  <c r="Y20" i="2" a="1"/>
  <c r="W72" i="2" a="1"/>
  <c r="X23" i="2" a="1"/>
  <c r="W45" i="2" a="1"/>
  <c r="Y65" i="2" a="1"/>
  <c r="X14" i="2" a="1"/>
  <c r="W36" i="2" a="1"/>
  <c r="Y56" i="2" a="1"/>
  <c r="Y19" i="2" a="1"/>
  <c r="X64" i="2" a="1"/>
  <c r="W15" i="2" a="1"/>
  <c r="X17" i="2" a="1"/>
  <c r="W62" i="2" a="1"/>
  <c r="Y18" i="2" a="1"/>
  <c r="X57" i="2" a="1"/>
  <c r="X180" i="1" a="1"/>
  <c r="X65" i="2" a="1"/>
  <c r="W38" i="2" a="1"/>
  <c r="Y48" i="2" a="1"/>
  <c r="W47" i="2" a="1"/>
  <c r="X41" i="2" a="1"/>
  <c r="V123" i="1" a="1"/>
  <c r="V110" i="1" a="1"/>
  <c r="V10" i="1" a="1"/>
  <c r="Y16" i="5" a="1"/>
  <c r="X56" i="4" a="1"/>
  <c r="X8" i="4" a="1"/>
  <c r="Y60" i="4" a="1"/>
  <c r="Y28" i="4" a="1"/>
  <c r="Y72" i="4" a="1"/>
  <c r="Y8" i="4" a="1"/>
  <c r="Y43" i="4" a="1"/>
  <c r="Y23" i="2" a="1"/>
  <c r="Y70" i="2" a="1"/>
  <c r="W17" i="2" a="1"/>
  <c r="X59" i="2" a="1"/>
  <c r="X18" i="2" a="1"/>
  <c r="X63" i="2" a="1"/>
  <c r="W55" i="2" a="1"/>
  <c r="I11" i="7" l="1"/>
  <c r="V258" i="1"/>
  <c r="V246" i="1"/>
  <c r="V226" i="1"/>
  <c r="V206" i="1"/>
  <c r="V190" i="1"/>
  <c r="V170" i="1"/>
  <c r="V142" i="1"/>
  <c r="V114" i="1"/>
  <c r="V6" i="1"/>
  <c r="V254" i="1"/>
  <c r="V230" i="1"/>
  <c r="V210" i="1"/>
  <c r="V186" i="1"/>
  <c r="V162" i="1"/>
  <c r="V150" i="1"/>
  <c r="V130" i="1"/>
  <c r="V118" i="1"/>
  <c r="V98" i="1"/>
  <c r="V94" i="1"/>
  <c r="V86" i="1"/>
  <c r="V78" i="1"/>
  <c r="V74" i="1"/>
  <c r="V66" i="1"/>
  <c r="V58" i="1"/>
  <c r="V50" i="1"/>
  <c r="V42" i="1"/>
  <c r="V34" i="1"/>
  <c r="V10" i="1"/>
  <c r="V257" i="1"/>
  <c r="V253" i="1"/>
  <c r="V249" i="1"/>
  <c r="V245" i="1"/>
  <c r="V241" i="1"/>
  <c r="V237" i="1"/>
  <c r="V233" i="1"/>
  <c r="V229" i="1"/>
  <c r="V225" i="1"/>
  <c r="V221" i="1"/>
  <c r="V217" i="1"/>
  <c r="V213" i="1"/>
  <c r="V209" i="1"/>
  <c r="V205" i="1"/>
  <c r="V201" i="1"/>
  <c r="V197" i="1"/>
  <c r="V193" i="1"/>
  <c r="V189" i="1"/>
  <c r="V185" i="1"/>
  <c r="V181" i="1"/>
  <c r="V177" i="1"/>
  <c r="V173" i="1"/>
  <c r="V169" i="1"/>
  <c r="V165" i="1"/>
  <c r="V161" i="1"/>
  <c r="V157" i="1"/>
  <c r="V153" i="1"/>
  <c r="V149" i="1"/>
  <c r="V145" i="1"/>
  <c r="V141" i="1"/>
  <c r="V137" i="1"/>
  <c r="V133" i="1"/>
  <c r="V129" i="1"/>
  <c r="V125" i="1"/>
  <c r="V121" i="1"/>
  <c r="V117" i="1"/>
  <c r="V113" i="1"/>
  <c r="V109" i="1"/>
  <c r="V105" i="1"/>
  <c r="V101" i="1"/>
  <c r="V97" i="1"/>
  <c r="V93" i="1"/>
  <c r="V89" i="1"/>
  <c r="V85" i="1"/>
  <c r="V81" i="1"/>
  <c r="V77" i="1"/>
  <c r="V73" i="1"/>
  <c r="V69" i="1"/>
  <c r="V65" i="1"/>
  <c r="V61" i="1"/>
  <c r="V57" i="1"/>
  <c r="V53" i="1"/>
  <c r="V49" i="1"/>
  <c r="V45" i="1"/>
  <c r="V41" i="1"/>
  <c r="V37" i="1"/>
  <c r="V33" i="1"/>
  <c r="V29" i="1"/>
  <c r="V25" i="1"/>
  <c r="V21" i="1"/>
  <c r="V17" i="1"/>
  <c r="V13" i="1"/>
  <c r="V9" i="1"/>
  <c r="V5" i="1"/>
  <c r="V238" i="1"/>
  <c r="V214" i="1"/>
  <c r="V194" i="1"/>
  <c r="V174" i="1"/>
  <c r="V154" i="1"/>
  <c r="V138" i="1"/>
  <c r="V126" i="1"/>
  <c r="V110" i="1"/>
  <c r="V82" i="1"/>
  <c r="V18" i="1"/>
  <c r="V234" i="1"/>
  <c r="V218" i="1"/>
  <c r="V198" i="1"/>
  <c r="V178" i="1"/>
  <c r="V158" i="1"/>
  <c r="V134" i="1"/>
  <c r="V122" i="1"/>
  <c r="V102" i="1"/>
  <c r="V90" i="1"/>
  <c r="V70" i="1"/>
  <c r="V14" i="1"/>
  <c r="V260" i="1"/>
  <c r="V256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120" i="1"/>
  <c r="V116" i="1"/>
  <c r="V112" i="1"/>
  <c r="V108" i="1"/>
  <c r="V104" i="1"/>
  <c r="V100" i="1"/>
  <c r="V96" i="1"/>
  <c r="V92" i="1"/>
  <c r="V88" i="1"/>
  <c r="V84" i="1"/>
  <c r="V80" i="1"/>
  <c r="V76" i="1"/>
  <c r="V72" i="1"/>
  <c r="V68" i="1"/>
  <c r="V64" i="1"/>
  <c r="V60" i="1"/>
  <c r="V56" i="1"/>
  <c r="V52" i="1"/>
  <c r="V48" i="1"/>
  <c r="V44" i="1"/>
  <c r="V40" i="1"/>
  <c r="V36" i="1"/>
  <c r="V32" i="1"/>
  <c r="V28" i="1"/>
  <c r="V24" i="1"/>
  <c r="V20" i="1"/>
  <c r="V16" i="1"/>
  <c r="V12" i="1"/>
  <c r="V8" i="1"/>
  <c r="V4" i="1"/>
  <c r="V250" i="1"/>
  <c r="V242" i="1"/>
  <c r="V222" i="1"/>
  <c r="V202" i="1"/>
  <c r="V182" i="1"/>
  <c r="V166" i="1"/>
  <c r="V146" i="1"/>
  <c r="V106" i="1"/>
  <c r="V22" i="1"/>
  <c r="V62" i="1"/>
  <c r="V54" i="1"/>
  <c r="V46" i="1"/>
  <c r="V38" i="1"/>
  <c r="V30" i="1"/>
  <c r="V26" i="1"/>
  <c r="V259" i="1"/>
  <c r="V255" i="1"/>
  <c r="V251" i="1"/>
  <c r="V247" i="1"/>
  <c r="V243" i="1"/>
  <c r="V239" i="1"/>
  <c r="V235" i="1"/>
  <c r="V231" i="1"/>
  <c r="V227" i="1"/>
  <c r="V223" i="1"/>
  <c r="V219" i="1"/>
  <c r="V215" i="1"/>
  <c r="V211" i="1"/>
  <c r="V207" i="1"/>
  <c r="V203" i="1"/>
  <c r="V199" i="1"/>
  <c r="V195" i="1"/>
  <c r="V191" i="1"/>
  <c r="V187" i="1"/>
  <c r="V183" i="1"/>
  <c r="V179" i="1"/>
  <c r="V175" i="1"/>
  <c r="V171" i="1"/>
  <c r="V167" i="1"/>
  <c r="V163" i="1"/>
  <c r="V159" i="1"/>
  <c r="V155" i="1"/>
  <c r="V151" i="1"/>
  <c r="V147" i="1"/>
  <c r="V143" i="1"/>
  <c r="V139" i="1"/>
  <c r="V135" i="1"/>
  <c r="V131" i="1"/>
  <c r="V127" i="1"/>
  <c r="V123" i="1"/>
  <c r="V119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3" i="1"/>
  <c r="V10" i="5"/>
  <c r="V7" i="5"/>
  <c r="V6" i="5"/>
  <c r="V17" i="5"/>
  <c r="V11" i="5"/>
  <c r="V9" i="5"/>
  <c r="V5" i="5"/>
  <c r="V16" i="5"/>
  <c r="V13" i="5"/>
  <c r="V4" i="5"/>
  <c r="V18" i="5"/>
  <c r="V15" i="5"/>
  <c r="V14" i="5"/>
  <c r="V12" i="5"/>
  <c r="V8" i="5"/>
  <c r="V3" i="5"/>
  <c r="V2" i="5"/>
  <c r="W2" i="5"/>
  <c r="X3" i="5"/>
  <c r="X5" i="5"/>
  <c r="X7" i="5"/>
  <c r="X9" i="5"/>
  <c r="X11" i="5"/>
  <c r="X12" i="5"/>
  <c r="X17" i="5"/>
  <c r="X18" i="5"/>
  <c r="Y3" i="5"/>
  <c r="W4" i="5"/>
  <c r="Y5" i="5"/>
  <c r="W6" i="5"/>
  <c r="Y7" i="5"/>
  <c r="W8" i="5"/>
  <c r="Y9" i="5"/>
  <c r="W10" i="5"/>
  <c r="Y11" i="5"/>
  <c r="Y12" i="5"/>
  <c r="W13" i="5"/>
  <c r="W14" i="5"/>
  <c r="W15" i="5"/>
  <c r="W16" i="5"/>
  <c r="Y17" i="5"/>
  <c r="Y18" i="5"/>
  <c r="X2" i="5"/>
  <c r="X4" i="5"/>
  <c r="X6" i="5"/>
  <c r="X8" i="5"/>
  <c r="X10" i="5"/>
  <c r="X13" i="5"/>
  <c r="X14" i="5"/>
  <c r="X15" i="5"/>
  <c r="X16" i="5"/>
  <c r="Y2" i="5"/>
  <c r="W3" i="5"/>
  <c r="Y4" i="5"/>
  <c r="W5" i="5"/>
  <c r="Y6" i="5"/>
  <c r="W7" i="5"/>
  <c r="Y8" i="5"/>
  <c r="W9" i="5"/>
  <c r="Y10" i="5"/>
  <c r="W11" i="5"/>
  <c r="W12" i="5"/>
  <c r="Y13" i="5"/>
  <c r="Y14" i="5"/>
  <c r="Y15" i="5"/>
  <c r="Y16" i="5"/>
  <c r="W17" i="5"/>
  <c r="W18" i="5"/>
  <c r="V7" i="4"/>
  <c r="V15" i="4"/>
  <c r="V23" i="4"/>
  <c r="V31" i="4"/>
  <c r="V39" i="4"/>
  <c r="W7" i="4"/>
  <c r="W15" i="4"/>
  <c r="W23" i="4"/>
  <c r="W31" i="4"/>
  <c r="W39" i="4"/>
  <c r="V69" i="4"/>
  <c r="X9" i="4"/>
  <c r="X17" i="4"/>
  <c r="X25" i="4"/>
  <c r="X33" i="4"/>
  <c r="X41" i="4"/>
  <c r="W41" i="4"/>
  <c r="X3" i="4"/>
  <c r="X11" i="4"/>
  <c r="X19" i="4"/>
  <c r="X27" i="4"/>
  <c r="X35" i="4"/>
  <c r="X43" i="4"/>
  <c r="W9" i="4"/>
  <c r="W17" i="4"/>
  <c r="W25" i="4"/>
  <c r="Y3" i="4"/>
  <c r="Y11" i="4"/>
  <c r="Y19" i="4"/>
  <c r="Y27" i="4"/>
  <c r="Y35" i="4"/>
  <c r="Y43" i="4"/>
  <c r="V5" i="4"/>
  <c r="V13" i="4"/>
  <c r="V21" i="4"/>
  <c r="V29" i="4"/>
  <c r="V37" i="4"/>
  <c r="V45" i="4"/>
  <c r="W47" i="4"/>
  <c r="X49" i="4"/>
  <c r="Y51" i="4"/>
  <c r="V53" i="4"/>
  <c r="W55" i="4"/>
  <c r="X57" i="4"/>
  <c r="Y59" i="4"/>
  <c r="V61" i="4"/>
  <c r="W63" i="4"/>
  <c r="W33" i="4"/>
  <c r="Y5" i="4"/>
  <c r="Y13" i="4"/>
  <c r="Y21" i="4"/>
  <c r="Y29" i="4"/>
  <c r="Y37" i="4"/>
  <c r="Y45" i="4"/>
  <c r="V47" i="4"/>
  <c r="W49" i="4"/>
  <c r="X51" i="4"/>
  <c r="Y53" i="4"/>
  <c r="V55" i="4"/>
  <c r="W57" i="4"/>
  <c r="X59" i="4"/>
  <c r="Y61" i="4"/>
  <c r="V63" i="4"/>
  <c r="W65" i="4"/>
  <c r="X67" i="4"/>
  <c r="Y69" i="4"/>
  <c r="V71" i="4"/>
  <c r="W73" i="4"/>
  <c r="V2" i="4"/>
  <c r="W4" i="4"/>
  <c r="X6" i="4"/>
  <c r="Y8" i="4"/>
  <c r="V10" i="4"/>
  <c r="W12" i="4"/>
  <c r="X14" i="4"/>
  <c r="Y16" i="4"/>
  <c r="V18" i="4"/>
  <c r="W20" i="4"/>
  <c r="X22" i="4"/>
  <c r="Y24" i="4"/>
  <c r="V26" i="4"/>
  <c r="W28" i="4"/>
  <c r="X30" i="4"/>
  <c r="Y32" i="4"/>
  <c r="V34" i="4"/>
  <c r="W36" i="4"/>
  <c r="X38" i="4"/>
  <c r="Y40" i="4"/>
  <c r="V42" i="4"/>
  <c r="W44" i="4"/>
  <c r="X46" i="4"/>
  <c r="Y48" i="4"/>
  <c r="V50" i="4"/>
  <c r="W52" i="4"/>
  <c r="X54" i="4"/>
  <c r="Y56" i="4"/>
  <c r="V58" i="4"/>
  <c r="W60" i="4"/>
  <c r="X62" i="4"/>
  <c r="Y64" i="4"/>
  <c r="V66" i="4"/>
  <c r="W68" i="4"/>
  <c r="X70" i="4"/>
  <c r="Y72" i="4"/>
  <c r="W71" i="4"/>
  <c r="X73" i="4"/>
  <c r="W2" i="4"/>
  <c r="X4" i="4"/>
  <c r="Y6" i="4"/>
  <c r="V8" i="4"/>
  <c r="V16" i="4"/>
  <c r="V24" i="4"/>
  <c r="V32" i="4"/>
  <c r="Y46" i="4"/>
  <c r="W50" i="4"/>
  <c r="X52" i="4"/>
  <c r="V56" i="4"/>
  <c r="Y62" i="4"/>
  <c r="W66" i="4"/>
  <c r="V3" i="4"/>
  <c r="W5" i="4"/>
  <c r="X7" i="4"/>
  <c r="Y9" i="4"/>
  <c r="V11" i="4"/>
  <c r="W13" i="4"/>
  <c r="X15" i="4"/>
  <c r="Y17" i="4"/>
  <c r="V19" i="4"/>
  <c r="W21" i="4"/>
  <c r="X23" i="4"/>
  <c r="Y25" i="4"/>
  <c r="V27" i="4"/>
  <c r="W29" i="4"/>
  <c r="X31" i="4"/>
  <c r="Y33" i="4"/>
  <c r="V35" i="4"/>
  <c r="W37" i="4"/>
  <c r="X39" i="4"/>
  <c r="Y41" i="4"/>
  <c r="V43" i="4"/>
  <c r="W45" i="4"/>
  <c r="X47" i="4"/>
  <c r="Y49" i="4"/>
  <c r="V51" i="4"/>
  <c r="W53" i="4"/>
  <c r="X55" i="4"/>
  <c r="Y57" i="4"/>
  <c r="V59" i="4"/>
  <c r="W61" i="4"/>
  <c r="X63" i="4"/>
  <c r="Y65" i="4"/>
  <c r="V67" i="4"/>
  <c r="W69" i="4"/>
  <c r="X71" i="4"/>
  <c r="Y73" i="4"/>
  <c r="X65" i="4"/>
  <c r="Y67" i="4"/>
  <c r="W10" i="4"/>
  <c r="Y14" i="4"/>
  <c r="W18" i="4"/>
  <c r="X20" i="4"/>
  <c r="Y22" i="4"/>
  <c r="Y30" i="4"/>
  <c r="W34" i="4"/>
  <c r="X36" i="4"/>
  <c r="V40" i="4"/>
  <c r="V48" i="4"/>
  <c r="Y54" i="4"/>
  <c r="X68" i="4"/>
  <c r="Y70" i="4"/>
  <c r="X2" i="4"/>
  <c r="Y4" i="4"/>
  <c r="V6" i="4"/>
  <c r="W8" i="4"/>
  <c r="X10" i="4"/>
  <c r="Y12" i="4"/>
  <c r="V14" i="4"/>
  <c r="W16" i="4"/>
  <c r="X18" i="4"/>
  <c r="Y20" i="4"/>
  <c r="V22" i="4"/>
  <c r="W24" i="4"/>
  <c r="X26" i="4"/>
  <c r="Y28" i="4"/>
  <c r="V30" i="4"/>
  <c r="W32" i="4"/>
  <c r="X34" i="4"/>
  <c r="Y36" i="4"/>
  <c r="V38" i="4"/>
  <c r="W40" i="4"/>
  <c r="X42" i="4"/>
  <c r="Y44" i="4"/>
  <c r="V46" i="4"/>
  <c r="W48" i="4"/>
  <c r="X50" i="4"/>
  <c r="Y52" i="4"/>
  <c r="V54" i="4"/>
  <c r="W56" i="4"/>
  <c r="X58" i="4"/>
  <c r="Y60" i="4"/>
  <c r="V62" i="4"/>
  <c r="W64" i="4"/>
  <c r="X66" i="4"/>
  <c r="Y68" i="4"/>
  <c r="V70" i="4"/>
  <c r="W72" i="4"/>
  <c r="X12" i="4"/>
  <c r="W26" i="4"/>
  <c r="X28" i="4"/>
  <c r="Y38" i="4"/>
  <c r="W42" i="4"/>
  <c r="X44" i="4"/>
  <c r="W58" i="4"/>
  <c r="X60" i="4"/>
  <c r="V64" i="4"/>
  <c r="V72" i="4"/>
  <c r="W3" i="4"/>
  <c r="X5" i="4"/>
  <c r="Y7" i="4"/>
  <c r="V9" i="4"/>
  <c r="W11" i="4"/>
  <c r="X13" i="4"/>
  <c r="Y15" i="4"/>
  <c r="V17" i="4"/>
  <c r="W19" i="4"/>
  <c r="X21" i="4"/>
  <c r="Y23" i="4"/>
  <c r="V25" i="4"/>
  <c r="W27" i="4"/>
  <c r="X29" i="4"/>
  <c r="Y31" i="4"/>
  <c r="V33" i="4"/>
  <c r="W35" i="4"/>
  <c r="X37" i="4"/>
  <c r="Y39" i="4"/>
  <c r="V41" i="4"/>
  <c r="W43" i="4"/>
  <c r="X45" i="4"/>
  <c r="Y47" i="4"/>
  <c r="V49" i="4"/>
  <c r="W51" i="4"/>
  <c r="X53" i="4"/>
  <c r="Y55" i="4"/>
  <c r="V57" i="4"/>
  <c r="W59" i="4"/>
  <c r="X61" i="4"/>
  <c r="Y63" i="4"/>
  <c r="V65" i="4"/>
  <c r="W67" i="4"/>
  <c r="X69" i="4"/>
  <c r="Y71" i="4"/>
  <c r="V73" i="4"/>
  <c r="Y2" i="4"/>
  <c r="V4" i="4"/>
  <c r="W6" i="4"/>
  <c r="X8" i="4"/>
  <c r="Y10" i="4"/>
  <c r="V12" i="4"/>
  <c r="W14" i="4"/>
  <c r="X16" i="4"/>
  <c r="Y18" i="4"/>
  <c r="V20" i="4"/>
  <c r="W22" i="4"/>
  <c r="X24" i="4"/>
  <c r="Y26" i="4"/>
  <c r="V28" i="4"/>
  <c r="W30" i="4"/>
  <c r="X32" i="4"/>
  <c r="Y34" i="4"/>
  <c r="V36" i="4"/>
  <c r="W38" i="4"/>
  <c r="X40" i="4"/>
  <c r="Y42" i="4"/>
  <c r="V44" i="4"/>
  <c r="W46" i="4"/>
  <c r="X48" i="4"/>
  <c r="Y50" i="4"/>
  <c r="V52" i="4"/>
  <c r="W54" i="4"/>
  <c r="X56" i="4"/>
  <c r="Y58" i="4"/>
  <c r="V60" i="4"/>
  <c r="W62" i="4"/>
  <c r="X64" i="4"/>
  <c r="Y66" i="4"/>
  <c r="V68" i="4"/>
  <c r="W70" i="4"/>
  <c r="X72" i="4"/>
  <c r="X72" i="2"/>
  <c r="W70" i="2"/>
  <c r="Y66" i="2"/>
  <c r="X57" i="2"/>
  <c r="W54" i="2"/>
  <c r="Y50" i="2"/>
  <c r="X41" i="2"/>
  <c r="W38" i="2"/>
  <c r="Y34" i="2"/>
  <c r="X25" i="2"/>
  <c r="W22" i="2"/>
  <c r="Y18" i="2"/>
  <c r="X9" i="2"/>
  <c r="W6" i="2"/>
  <c r="Y59" i="2"/>
  <c r="X8" i="2"/>
  <c r="X73" i="2"/>
  <c r="W71" i="2"/>
  <c r="X65" i="2"/>
  <c r="W62" i="2"/>
  <c r="Y58" i="2"/>
  <c r="X49" i="2"/>
  <c r="W46" i="2"/>
  <c r="Y42" i="2"/>
  <c r="X33" i="2"/>
  <c r="W30" i="2"/>
  <c r="Y26" i="2"/>
  <c r="X17" i="2"/>
  <c r="W14" i="2"/>
  <c r="Y10" i="2"/>
  <c r="W47" i="2"/>
  <c r="Y43" i="2"/>
  <c r="X40" i="2"/>
  <c r="W31" i="2"/>
  <c r="X24" i="2"/>
  <c r="W15" i="2"/>
  <c r="W63" i="2"/>
  <c r="X56" i="2"/>
  <c r="Y27" i="2"/>
  <c r="Y11" i="2"/>
  <c r="Y72" i="2"/>
  <c r="X70" i="2"/>
  <c r="Y67" i="2"/>
  <c r="X64" i="2"/>
  <c r="W55" i="2"/>
  <c r="Y51" i="2"/>
  <c r="X48" i="2"/>
  <c r="W39" i="2"/>
  <c r="Y35" i="2"/>
  <c r="X32" i="2"/>
  <c r="W23" i="2"/>
  <c r="Y19" i="2"/>
  <c r="X16" i="2"/>
  <c r="W7" i="2"/>
  <c r="Y3" i="2"/>
  <c r="W68" i="2"/>
  <c r="Y64" i="2"/>
  <c r="X62" i="2"/>
  <c r="W60" i="2"/>
  <c r="Y56" i="2"/>
  <c r="X54" i="2"/>
  <c r="W52" i="2"/>
  <c r="Y48" i="2"/>
  <c r="X46" i="2"/>
  <c r="W44" i="2"/>
  <c r="Y40" i="2"/>
  <c r="X38" i="2"/>
  <c r="W36" i="2"/>
  <c r="Y32" i="2"/>
  <c r="X30" i="2"/>
  <c r="W28" i="2"/>
  <c r="Y24" i="2"/>
  <c r="X22" i="2"/>
  <c r="W20" i="2"/>
  <c r="Y16" i="2"/>
  <c r="X14" i="2"/>
  <c r="W12" i="2"/>
  <c r="Y8" i="2"/>
  <c r="X6" i="2"/>
  <c r="W4" i="2"/>
  <c r="Y73" i="2"/>
  <c r="X71" i="2"/>
  <c r="W69" i="2"/>
  <c r="Y65" i="2"/>
  <c r="X63" i="2"/>
  <c r="W61" i="2"/>
  <c r="Y57" i="2"/>
  <c r="X55" i="2"/>
  <c r="W53" i="2"/>
  <c r="Y49" i="2"/>
  <c r="X47" i="2"/>
  <c r="W45" i="2"/>
  <c r="Y41" i="2"/>
  <c r="X39" i="2"/>
  <c r="W37" i="2"/>
  <c r="Y33" i="2"/>
  <c r="X31" i="2"/>
  <c r="W29" i="2"/>
  <c r="Y25" i="2"/>
  <c r="X23" i="2"/>
  <c r="W21" i="2"/>
  <c r="Y17" i="2"/>
  <c r="X15" i="2"/>
  <c r="W13" i="2"/>
  <c r="Y9" i="2"/>
  <c r="X7" i="2"/>
  <c r="W5" i="2"/>
  <c r="W72" i="2"/>
  <c r="W64" i="2"/>
  <c r="X50" i="2"/>
  <c r="W40" i="2"/>
  <c r="X34" i="2"/>
  <c r="W32" i="2"/>
  <c r="Y28" i="2"/>
  <c r="W24" i="2"/>
  <c r="Y20" i="2"/>
  <c r="X18" i="2"/>
  <c r="W16" i="2"/>
  <c r="Y12" i="2"/>
  <c r="Y4" i="2"/>
  <c r="X58" i="2"/>
  <c r="W56" i="2"/>
  <c r="Y44" i="2"/>
  <c r="X42" i="2"/>
  <c r="Y36" i="2"/>
  <c r="X26" i="2"/>
  <c r="W8" i="2"/>
  <c r="W73" i="2"/>
  <c r="Y69" i="2"/>
  <c r="X67" i="2"/>
  <c r="W65" i="2"/>
  <c r="Y61" i="2"/>
  <c r="X59" i="2"/>
  <c r="W57" i="2"/>
  <c r="Y53" i="2"/>
  <c r="X51" i="2"/>
  <c r="W49" i="2"/>
  <c r="Y45" i="2"/>
  <c r="X43" i="2"/>
  <c r="W41" i="2"/>
  <c r="Y37" i="2"/>
  <c r="X35" i="2"/>
  <c r="W33" i="2"/>
  <c r="Y29" i="2"/>
  <c r="X27" i="2"/>
  <c r="W25" i="2"/>
  <c r="Y21" i="2"/>
  <c r="X19" i="2"/>
  <c r="W17" i="2"/>
  <c r="Y13" i="2"/>
  <c r="X11" i="2"/>
  <c r="W9" i="2"/>
  <c r="Y5" i="2"/>
  <c r="X3" i="2"/>
  <c r="Y68" i="2"/>
  <c r="W48" i="2"/>
  <c r="Y70" i="2"/>
  <c r="X68" i="2"/>
  <c r="W66" i="2"/>
  <c r="Y62" i="2"/>
  <c r="X60" i="2"/>
  <c r="W58" i="2"/>
  <c r="Y54" i="2"/>
  <c r="X52" i="2"/>
  <c r="W50" i="2"/>
  <c r="Y46" i="2"/>
  <c r="X44" i="2"/>
  <c r="W42" i="2"/>
  <c r="Y38" i="2"/>
  <c r="X36" i="2"/>
  <c r="W34" i="2"/>
  <c r="Y30" i="2"/>
  <c r="X28" i="2"/>
  <c r="W26" i="2"/>
  <c r="Y22" i="2"/>
  <c r="X20" i="2"/>
  <c r="W18" i="2"/>
  <c r="Y14" i="2"/>
  <c r="X12" i="2"/>
  <c r="W10" i="2"/>
  <c r="Y6" i="2"/>
  <c r="X4" i="2"/>
  <c r="X66" i="2"/>
  <c r="Y60" i="2"/>
  <c r="Y52" i="2"/>
  <c r="X10" i="2"/>
  <c r="Y71" i="2"/>
  <c r="X69" i="2"/>
  <c r="W67" i="2"/>
  <c r="Y63" i="2"/>
  <c r="X61" i="2"/>
  <c r="W59" i="2"/>
  <c r="Y55" i="2"/>
  <c r="X53" i="2"/>
  <c r="W51" i="2"/>
  <c r="Y47" i="2"/>
  <c r="X45" i="2"/>
  <c r="W43" i="2"/>
  <c r="Y39" i="2"/>
  <c r="X37" i="2"/>
  <c r="W35" i="2"/>
  <c r="Y31" i="2"/>
  <c r="X29" i="2"/>
  <c r="W27" i="2"/>
  <c r="Y23" i="2"/>
  <c r="X21" i="2"/>
  <c r="W19" i="2"/>
  <c r="Y15" i="2"/>
  <c r="X13" i="2"/>
  <c r="W11" i="2"/>
  <c r="Y7" i="2"/>
  <c r="X5" i="2"/>
  <c r="W3" i="2"/>
  <c r="Y2" i="2"/>
  <c r="Y180" i="1"/>
  <c r="X2" i="2"/>
  <c r="W2" i="2"/>
  <c r="X180" i="1"/>
  <c r="W180" i="1"/>
  <c r="V66" i="2"/>
  <c r="V58" i="2"/>
  <c r="V54" i="2"/>
  <c r="V46" i="2"/>
  <c r="V42" i="2"/>
  <c r="V38" i="2"/>
  <c r="V34" i="2"/>
  <c r="V30" i="2"/>
  <c r="V6" i="2"/>
  <c r="V70" i="2"/>
  <c r="V26" i="2"/>
  <c r="V73" i="2"/>
  <c r="V69" i="2"/>
  <c r="V65" i="2"/>
  <c r="V61" i="2"/>
  <c r="V57" i="2"/>
  <c r="V53" i="2"/>
  <c r="V49" i="2"/>
  <c r="V45" i="2"/>
  <c r="V41" i="2"/>
  <c r="V37" i="2"/>
  <c r="V33" i="2"/>
  <c r="V29" i="2"/>
  <c r="V25" i="2"/>
  <c r="V21" i="2"/>
  <c r="V17" i="2"/>
  <c r="V13" i="2"/>
  <c r="V9" i="2"/>
  <c r="V5" i="2"/>
  <c r="V10" i="2"/>
  <c r="V62" i="2"/>
  <c r="V50" i="2"/>
  <c r="V14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V22" i="2"/>
  <c r="V18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V2" i="2"/>
  <c r="V2" i="1"/>
  <c r="W3" i="1"/>
  <c r="W4" i="1"/>
  <c r="W6" i="1" a="1"/>
  <c r="W6" i="1" l="1"/>
  <c r="X4" i="1" a="1"/>
  <c r="X11" i="1" a="1"/>
  <c r="X17" i="1" a="1"/>
  <c r="X28" i="1" a="1"/>
  <c r="X36" i="1" a="1"/>
  <c r="X40" i="1" a="1"/>
  <c r="X71" i="1" a="1"/>
  <c r="Y8" i="1" a="1"/>
  <c r="Y16" i="1" a="1"/>
  <c r="Y22" i="1" a="1"/>
  <c r="Y31" i="1" a="1"/>
  <c r="Y41" i="1" a="1"/>
  <c r="Y46" i="1" a="1"/>
  <c r="Y55" i="1" a="1"/>
  <c r="Y69" i="1" a="1"/>
  <c r="X90" i="1" a="1"/>
  <c r="X97" i="1" a="1"/>
  <c r="X103" i="1" a="1"/>
  <c r="X111" i="1" a="1"/>
  <c r="X121" i="1" a="1"/>
  <c r="X120" i="1" a="1"/>
  <c r="X76" i="1" a="1"/>
  <c r="Y66" i="1" a="1"/>
  <c r="Y83" i="1" a="1"/>
  <c r="Y68" i="1" a="1"/>
  <c r="Y79" i="1" a="1"/>
  <c r="Y119" i="1" a="1"/>
  <c r="X157" i="1" a="1"/>
  <c r="X173" i="1" a="1"/>
  <c r="Y113" i="1" a="1"/>
  <c r="X147" i="1" a="1"/>
  <c r="X167" i="1" a="1"/>
  <c r="W181" i="1" a="1"/>
  <c r="W15" i="1" a="1"/>
  <c r="W13" i="1" a="1"/>
  <c r="W29" i="1" a="1"/>
  <c r="W21" i="1" a="1"/>
  <c r="W25" i="1" a="1"/>
  <c r="W27" i="1" a="1"/>
  <c r="W33" i="1" a="1"/>
  <c r="W37" i="1" a="1"/>
  <c r="W42" i="1" a="1"/>
  <c r="W44" i="1" a="1"/>
  <c r="W48" i="1" a="1"/>
  <c r="W54" i="1" a="1"/>
  <c r="W76" i="1" a="1"/>
  <c r="W63" i="1" a="1"/>
  <c r="W66" i="1" a="1"/>
  <c r="W70" i="1" a="1"/>
  <c r="W58" i="1" a="1"/>
  <c r="W77" i="1" a="1"/>
  <c r="W83" i="1" a="1"/>
  <c r="W88" i="1" a="1"/>
  <c r="W82" i="1" a="1"/>
  <c r="W95" i="1" a="1"/>
  <c r="W98" i="1" a="1"/>
  <c r="W104" i="1" a="1"/>
  <c r="W107" i="1" a="1"/>
  <c r="W91" i="1" a="1"/>
  <c r="W113" i="1" a="1"/>
  <c r="W116" i="1" a="1"/>
  <c r="W124" i="1" a="1"/>
  <c r="W128" i="1" a="1"/>
  <c r="W134" i="1" a="1"/>
  <c r="W135" i="1" a="1"/>
  <c r="W140" i="1" a="1"/>
  <c r="W145" i="1" a="1"/>
  <c r="W149" i="1" a="1"/>
  <c r="W151" i="1" a="1"/>
  <c r="W155" i="1" a="1"/>
  <c r="W159" i="1" a="1"/>
  <c r="W162" i="1" a="1"/>
  <c r="W163" i="1" a="1"/>
  <c r="W168" i="1" a="1"/>
  <c r="W183" i="1" a="1"/>
  <c r="W186" i="1" a="1"/>
  <c r="W190" i="1" a="1"/>
  <c r="W194" i="1" a="1"/>
  <c r="W198" i="1" a="1"/>
  <c r="W200" i="1" a="1"/>
  <c r="W204" i="1" a="1"/>
  <c r="W208" i="1" a="1"/>
  <c r="W212" i="1" a="1"/>
  <c r="W216" i="1" a="1"/>
  <c r="W178" i="1" a="1"/>
  <c r="W222" i="1" a="1"/>
  <c r="W225" i="1" a="1"/>
  <c r="X181" i="1" a="1"/>
  <c r="X13" i="1" a="1"/>
  <c r="X21" i="1" a="1"/>
  <c r="X27" i="1" a="1"/>
  <c r="X37" i="1" a="1"/>
  <c r="X44" i="1" a="1"/>
  <c r="X54" i="1" a="1"/>
  <c r="Y15" i="1" a="1"/>
  <c r="Y29" i="1" a="1"/>
  <c r="Y25" i="1" a="1"/>
  <c r="Y33" i="1" a="1"/>
  <c r="Y42" i="1" a="1"/>
  <c r="Y48" i="1" a="1"/>
  <c r="Y59" i="1" a="1"/>
  <c r="Y74" i="1" a="1"/>
  <c r="X82" i="1" a="1"/>
  <c r="X98" i="1" a="1"/>
  <c r="X107" i="1" a="1"/>
  <c r="X113" i="1" a="1"/>
  <c r="X124" i="1" a="1"/>
  <c r="X134" i="1" a="1"/>
  <c r="X63" i="1" a="1"/>
  <c r="Y70" i="1" a="1"/>
  <c r="Y88" i="1" a="1"/>
  <c r="Y64" i="1" a="1"/>
  <c r="Y86" i="1" a="1"/>
  <c r="X130" i="1" a="1"/>
  <c r="X161" i="1" a="1"/>
  <c r="X166" i="1" a="1"/>
  <c r="Y134" i="1" a="1"/>
  <c r="X156" i="1" a="1"/>
  <c r="X8" i="1" a="1"/>
  <c r="X16" i="1" a="1"/>
  <c r="X22" i="1" a="1"/>
  <c r="X31" i="1" a="1"/>
  <c r="X41" i="1" a="1"/>
  <c r="X46" i="1" a="1"/>
  <c r="Y4" i="1" a="1"/>
  <c r="Y11" i="1" a="1"/>
  <c r="Y17" i="1" a="1"/>
  <c r="Y28" i="1" a="1"/>
  <c r="Y36" i="1" a="1"/>
  <c r="Y40" i="1" a="1"/>
  <c r="Y71" i="1" a="1"/>
  <c r="Y60" i="1" a="1"/>
  <c r="Y81" i="1" a="1"/>
  <c r="X109" i="1" a="1"/>
  <c r="X96" i="1" a="1"/>
  <c r="X110" i="1" a="1"/>
  <c r="X115" i="1" a="1"/>
  <c r="X126" i="1" a="1"/>
  <c r="X136" i="1" a="1"/>
  <c r="Y76" i="1" a="1"/>
  <c r="Y58" i="1" a="1"/>
  <c r="Y56" i="1" a="1"/>
  <c r="Y72" i="1" a="1"/>
  <c r="Y89" i="1" a="1"/>
  <c r="X143" i="1" a="1"/>
  <c r="X164" i="1" a="1"/>
  <c r="X70" i="1" a="1"/>
  <c r="X141" i="1" a="1"/>
  <c r="X160" i="1" a="1"/>
  <c r="W8" i="1" a="1"/>
  <c r="W11" i="1" a="1"/>
  <c r="W16" i="1" a="1"/>
  <c r="W17" i="1" a="1"/>
  <c r="W22" i="1" a="1"/>
  <c r="W28" i="1" a="1"/>
  <c r="W31" i="1" a="1"/>
  <c r="W36" i="1" a="1"/>
  <c r="W41" i="1" a="1"/>
  <c r="W40" i="1" a="1"/>
  <c r="W46" i="1" a="1"/>
  <c r="W71" i="1" a="1"/>
  <c r="W55" i="1" a="1"/>
  <c r="W59" i="1" a="1"/>
  <c r="W60" i="1" a="1"/>
  <c r="W65" i="1" a="1"/>
  <c r="W69" i="1" a="1"/>
  <c r="W74" i="1" a="1"/>
  <c r="W81" i="1" a="1"/>
  <c r="W84" i="1" a="1"/>
  <c r="W90" i="1" a="1"/>
  <c r="W109" i="1" a="1"/>
  <c r="W97" i="1" a="1"/>
  <c r="W96" i="1" a="1"/>
  <c r="W103" i="1" a="1"/>
  <c r="W110" i="1" a="1"/>
  <c r="W111" i="1" a="1"/>
  <c r="W115" i="1" a="1"/>
  <c r="W121" i="1" a="1"/>
  <c r="W126" i="1" a="1"/>
  <c r="W120" i="1" a="1"/>
  <c r="W136" i="1" a="1"/>
  <c r="W122" i="1" a="1"/>
  <c r="W144" i="1" a="1"/>
  <c r="W148" i="1" a="1"/>
  <c r="W146" i="1" a="1"/>
  <c r="W154" i="1" a="1"/>
  <c r="W157" i="1" a="1"/>
  <c r="W161" i="1" a="1"/>
  <c r="W164" i="1" a="1"/>
  <c r="W169" i="1" a="1"/>
  <c r="W173" i="1" a="1"/>
  <c r="W166" i="1" a="1"/>
  <c r="W188" i="1" a="1"/>
  <c r="W192" i="1" a="1"/>
  <c r="W196" i="1" a="1"/>
  <c r="W199" i="1" a="1"/>
  <c r="W202" i="1" a="1"/>
  <c r="W206" i="1" a="1"/>
  <c r="W210" i="1" a="1"/>
  <c r="W214" i="1" a="1"/>
  <c r="W217" i="1" a="1"/>
  <c r="W220" i="1" a="1"/>
  <c r="W224" i="1" a="1"/>
  <c r="W227" i="1" a="1"/>
  <c r="W231" i="1" a="1"/>
  <c r="W177" i="1" a="1"/>
  <c r="W237" i="1" a="1"/>
  <c r="W241" i="1" a="1"/>
  <c r="W245" i="1" a="1"/>
  <c r="W249" i="1" a="1"/>
  <c r="W175" i="1" a="1"/>
  <c r="W256" i="1" a="1"/>
  <c r="W260" i="1" a="1"/>
  <c r="X7" i="1" a="1"/>
  <c r="X23" i="1" a="1"/>
  <c r="X24" i="1" a="1"/>
  <c r="X34" i="1" a="1"/>
  <c r="X39" i="1" a="1"/>
  <c r="X49" i="1" a="1"/>
  <c r="Y6" i="1" a="1"/>
  <c r="Y12" i="1" a="1"/>
  <c r="Y19" i="1" a="1"/>
  <c r="Y18" i="1" a="1"/>
  <c r="Y32" i="1" a="1"/>
  <c r="Y45" i="1" a="1"/>
  <c r="Y52" i="1" a="1"/>
  <c r="X53" i="1" a="1"/>
  <c r="X80" i="1" a="1"/>
  <c r="X93" i="1" a="1"/>
  <c r="X102" i="1" a="1"/>
  <c r="X105" i="1" a="1"/>
  <c r="X117" i="1" a="1"/>
  <c r="X127" i="1" a="1"/>
  <c r="X118" i="1" a="1"/>
  <c r="X62" i="1" a="1"/>
  <c r="X75" i="1" a="1"/>
  <c r="X59" i="1" a="1"/>
  <c r="X74" i="1" a="1"/>
  <c r="W26" i="1" a="1"/>
  <c r="W32" i="1" a="1"/>
  <c r="W57" i="1" a="1"/>
  <c r="W64" i="1" a="1"/>
  <c r="W92" i="1" a="1"/>
  <c r="W102" i="1" a="1"/>
  <c r="W125" i="1" a="1"/>
  <c r="W118" i="1" a="1"/>
  <c r="W156" i="1" a="1"/>
  <c r="W165" i="1" a="1"/>
  <c r="W195" i="1" a="1"/>
  <c r="W203" i="1" a="1"/>
  <c r="W223" i="1" a="1"/>
  <c r="X29" i="1" a="1"/>
  <c r="X33" i="1" a="1"/>
  <c r="X48" i="1" a="1"/>
  <c r="Y13" i="1" a="1"/>
  <c r="Y27" i="1" a="1"/>
  <c r="Y44" i="1" a="1"/>
  <c r="Y65" i="1" a="1"/>
  <c r="X95" i="1" a="1"/>
  <c r="X91" i="1" a="1"/>
  <c r="X128" i="1" a="1"/>
  <c r="Y63" i="1" a="1"/>
  <c r="Y62" i="1" a="1"/>
  <c r="Y94" i="1" a="1"/>
  <c r="X159" i="1" a="1"/>
  <c r="Y98" i="1" a="1"/>
  <c r="X152" i="1" a="1"/>
  <c r="X185" i="1" a="1"/>
  <c r="Y118" i="1" a="1"/>
  <c r="Y210" i="1" a="1"/>
  <c r="Y222" i="1" a="1"/>
  <c r="Y235" i="1" a="1"/>
  <c r="Y97" i="1" a="1"/>
  <c r="Y149" i="1" a="1"/>
  <c r="Y155" i="1" a="1"/>
  <c r="Y162" i="1" a="1"/>
  <c r="Y168" i="1" a="1"/>
  <c r="Y186" i="1" a="1"/>
  <c r="Y194" i="1" a="1"/>
  <c r="Y201" i="1" a="1"/>
  <c r="Y216" i="1" a="1"/>
  <c r="Y230" i="1" a="1"/>
  <c r="Y67" i="1" a="1"/>
  <c r="Y137" i="1" a="1"/>
  <c r="Y128" i="1" a="1"/>
  <c r="Y248" i="1" a="1"/>
  <c r="Y175" i="1" a="1"/>
  <c r="Y249" i="1" a="1"/>
  <c r="X191" i="1" a="1"/>
  <c r="X205" i="1" a="1"/>
  <c r="X219" i="1" a="1"/>
  <c r="X234" i="1" a="1"/>
  <c r="X254" i="1" a="1"/>
  <c r="X259" i="1" a="1"/>
  <c r="Y80" i="1" a="1"/>
  <c r="X192" i="1" a="1"/>
  <c r="X206" i="1" a="1"/>
  <c r="X220" i="1" a="1"/>
  <c r="X177" i="1" a="1"/>
  <c r="Y253" i="1" a="1"/>
  <c r="Y202" i="1" a="1"/>
  <c r="Y142" i="1" a="1"/>
  <c r="X175" i="1" a="1"/>
  <c r="Y260" i="1" a="1"/>
  <c r="X193" i="1" a="1"/>
  <c r="X221" i="1" a="1"/>
  <c r="X179" i="1" a="1"/>
  <c r="X253" i="1" a="1"/>
  <c r="Y115" i="1" a="1"/>
  <c r="X208" i="1" a="1"/>
  <c r="X222" i="1" a="1"/>
  <c r="X258" i="1" a="1"/>
  <c r="W94" i="1" a="1"/>
  <c r="W207" i="1" a="1"/>
  <c r="W234" i="1" a="1"/>
  <c r="W248" i="1" a="1"/>
  <c r="X20" i="1" a="1"/>
  <c r="Y3" i="1" a="1"/>
  <c r="Y35" i="1" a="1"/>
  <c r="X100" i="1" a="1"/>
  <c r="X72" i="1" a="1"/>
  <c r="Y129" i="1" a="1"/>
  <c r="X165" i="1" a="1"/>
  <c r="X142" i="1" a="1"/>
  <c r="Y240" i="1" a="1"/>
  <c r="Y152" i="1" a="1"/>
  <c r="Y182" i="1" a="1"/>
  <c r="Y205" i="1" a="1"/>
  <c r="Y179" i="1" a="1"/>
  <c r="X138" i="1" a="1"/>
  <c r="Y258" i="1" a="1"/>
  <c r="X211" i="1" a="1"/>
  <c r="X238" i="1" a="1"/>
  <c r="Y85" i="1" a="1"/>
  <c r="X212" i="1" a="1"/>
  <c r="X140" i="1" a="1"/>
  <c r="Y171" i="1" a="1"/>
  <c r="Y123" i="1" a="1"/>
  <c r="Y148" i="1" a="1"/>
  <c r="X172" i="1" a="1"/>
  <c r="X252" i="1" a="1"/>
  <c r="X202" i="1" a="1"/>
  <c r="W47" i="1" a="1"/>
  <c r="W184" i="1" a="1"/>
  <c r="W244" i="1" a="1"/>
  <c r="X47" i="1" a="1"/>
  <c r="X61" i="1" a="1"/>
  <c r="W5" i="1" a="1"/>
  <c r="W23" i="1" a="1"/>
  <c r="W38" i="1" a="1"/>
  <c r="W49" i="1" a="1"/>
  <c r="W67" i="1" a="1"/>
  <c r="W79" i="1" a="1"/>
  <c r="W101" i="1" a="1"/>
  <c r="W112" i="1" a="1"/>
  <c r="W130" i="1" a="1"/>
  <c r="W142" i="1" a="1"/>
  <c r="W167" i="1" a="1"/>
  <c r="W185" i="1" a="1"/>
  <c r="W205" i="1" a="1"/>
  <c r="W215" i="1" a="1"/>
  <c r="W232" i="1" a="1"/>
  <c r="W238" i="1" a="1"/>
  <c r="W246" i="1" a="1"/>
  <c r="W253" i="1" a="1"/>
  <c r="X3" i="1" a="1"/>
  <c r="X2" i="1" a="1"/>
  <c r="X35" i="1" a="1"/>
  <c r="X50" i="1" a="1"/>
  <c r="Y14" i="1" a="1"/>
  <c r="Y30" i="1" a="1"/>
  <c r="Y47" i="1" a="1"/>
  <c r="X67" i="1" a="1"/>
  <c r="X94" i="1" a="1"/>
  <c r="X106" i="1" a="1"/>
  <c r="X129" i="1" a="1"/>
  <c r="X68" i="1" a="1"/>
  <c r="X60" i="1" a="1"/>
  <c r="Y101" i="1" a="1"/>
  <c r="X162" i="1" a="1"/>
  <c r="Y107" i="1" a="1"/>
  <c r="X131" i="1" a="1"/>
  <c r="X187" i="1" a="1"/>
  <c r="Y130" i="1" a="1"/>
  <c r="Y212" i="1" a="1"/>
  <c r="Y224" i="1" a="1"/>
  <c r="Y236" i="1" a="1"/>
  <c r="Y103" i="1" a="1"/>
  <c r="Y143" i="1" a="1"/>
  <c r="Y156" i="1" a="1"/>
  <c r="Y158" i="1" a="1"/>
  <c r="Y174" i="1" a="1"/>
  <c r="Y187" i="1" a="1"/>
  <c r="Y195" i="1" a="1"/>
  <c r="Y217" i="1" a="1"/>
  <c r="Y232" i="1" a="1"/>
  <c r="X83" i="1" a="1"/>
  <c r="Y135" i="1" a="1"/>
  <c r="Y256" i="1" a="1"/>
  <c r="X207" i="1" a="1"/>
  <c r="Y257" i="1" a="1"/>
  <c r="X194" i="1" a="1"/>
  <c r="X235" i="1" a="1"/>
  <c r="W255" i="1" a="1"/>
  <c r="Y50" i="1" a="1"/>
  <c r="X132" i="1" a="1"/>
  <c r="X169" i="1" a="1"/>
  <c r="Y215" i="1" a="1"/>
  <c r="Y150" i="1" a="1"/>
  <c r="Y189" i="1" a="1"/>
  <c r="Y100" i="1" a="1"/>
  <c r="Y243" i="1" a="1"/>
  <c r="Y126" i="1" a="1"/>
  <c r="X225" i="1" a="1"/>
  <c r="Y241" i="1" a="1"/>
  <c r="Y138" i="1" a="1"/>
  <c r="X230" i="1" a="1"/>
  <c r="X188" i="1" a="1"/>
  <c r="Y246" i="1" a="1"/>
  <c r="W14" i="1" a="1"/>
  <c r="W153" i="1" a="1"/>
  <c r="W213" i="1" a="1"/>
  <c r="W252" i="1" a="1"/>
  <c r="X30" i="1" a="1"/>
  <c r="Y43" i="1" a="1"/>
  <c r="X125" i="1" a="1"/>
  <c r="W2" i="1" a="1"/>
  <c r="W18" i="1" a="1"/>
  <c r="W50" i="1" a="1"/>
  <c r="W62" i="1" a="1"/>
  <c r="W80" i="1" a="1"/>
  <c r="W93" i="1" a="1"/>
  <c r="W114" i="1" a="1"/>
  <c r="W127" i="1" a="1"/>
  <c r="W143" i="1" a="1"/>
  <c r="W152" i="1" a="1"/>
  <c r="W187" i="1" a="1"/>
  <c r="W197" i="1" a="1"/>
  <c r="W172" i="1" a="1"/>
  <c r="W176" i="1" a="1"/>
  <c r="W233" i="1" a="1"/>
  <c r="W239" i="1" a="1"/>
  <c r="W247" i="1" a="1"/>
  <c r="W254" i="1" a="1"/>
  <c r="X6" i="1" a="1"/>
  <c r="X19" i="1" a="1"/>
  <c r="X32" i="1" a="1"/>
  <c r="X52" i="1" a="1"/>
  <c r="Y23" i="1" a="1"/>
  <c r="Y34" i="1" a="1"/>
  <c r="Y49" i="1" a="1"/>
  <c r="X73" i="1" a="1"/>
  <c r="X85" i="1" a="1"/>
  <c r="X112" i="1" a="1"/>
  <c r="X133" i="1" a="1"/>
  <c r="X64" i="1" a="1"/>
  <c r="X65" i="1" a="1"/>
  <c r="Y106" i="1" a="1"/>
  <c r="X163" i="1" a="1"/>
  <c r="Y124" i="1" a="1"/>
  <c r="X158" i="1" a="1"/>
  <c r="X58" i="1" a="1"/>
  <c r="X137" i="1" a="1"/>
  <c r="Y214" i="1" a="1"/>
  <c r="Y225" i="1" a="1"/>
  <c r="Y238" i="1" a="1"/>
  <c r="Y111" i="1" a="1"/>
  <c r="Y146" i="1" a="1"/>
  <c r="Y157" i="1" a="1"/>
  <c r="Y164" i="1" a="1"/>
  <c r="Y173" i="1" a="1"/>
  <c r="Y188" i="1" a="1"/>
  <c r="Y196" i="1" a="1"/>
  <c r="Y203" i="1" a="1"/>
  <c r="Y178" i="1" a="1"/>
  <c r="Y234" i="1" a="1"/>
  <c r="Y92" i="1" a="1"/>
  <c r="Y73" i="1" a="1"/>
  <c r="X122" i="1" a="1"/>
  <c r="Y255" i="1" a="1"/>
  <c r="X246" i="1" a="1"/>
  <c r="X248" i="1" a="1"/>
  <c r="X195" i="1" a="1"/>
  <c r="X209" i="1" a="1"/>
  <c r="X223" i="1" a="1"/>
  <c r="X236" i="1" a="1"/>
  <c r="Y109" i="1" a="1"/>
  <c r="Y99" i="1" a="1"/>
  <c r="Y122" i="1" a="1"/>
  <c r="X196" i="1" a="1"/>
  <c r="X210" i="1" a="1"/>
  <c r="X224" i="1" a="1"/>
  <c r="X237" i="1" a="1"/>
  <c r="Y110" i="1" a="1"/>
  <c r="W7" i="1" a="1"/>
  <c r="W30" i="1" a="1"/>
  <c r="W39" i="1" a="1"/>
  <c r="W61" i="1" a="1"/>
  <c r="W72" i="1" a="1"/>
  <c r="W99" i="1" a="1"/>
  <c r="W129" i="1" a="1"/>
  <c r="W137" i="1" a="1"/>
  <c r="W160" i="1" a="1"/>
  <c r="W170" i="1" a="1"/>
  <c r="W10" i="1" a="1"/>
  <c r="W226" i="1" a="1"/>
  <c r="W240" i="1" a="1"/>
  <c r="X5" i="1" a="1"/>
  <c r="X38" i="1" a="1"/>
  <c r="Y2" i="1" a="1"/>
  <c r="X78" i="1" a="1"/>
  <c r="X114" i="1" a="1"/>
  <c r="X69" i="1" a="1"/>
  <c r="Y140" i="1" a="1"/>
  <c r="Y93" i="1" a="1"/>
  <c r="Y227" i="1" a="1"/>
  <c r="Y121" i="1" a="1"/>
  <c r="Y165" i="1" a="1"/>
  <c r="Y197" i="1" a="1"/>
  <c r="Y220" i="1" a="1"/>
  <c r="X88" i="1" a="1"/>
  <c r="X260" i="1" a="1"/>
  <c r="X197" i="1" a="1"/>
  <c r="X176" i="1" a="1"/>
  <c r="Y244" i="1" a="1"/>
  <c r="X198" i="1" a="1"/>
  <c r="X239" i="1" a="1"/>
  <c r="W9" i="1" a="1"/>
  <c r="W19" i="1" a="1"/>
  <c r="W43" i="1" a="1"/>
  <c r="W52" i="1" a="1"/>
  <c r="W73" i="1" a="1"/>
  <c r="W86" i="1" a="1"/>
  <c r="W108" i="1" a="1"/>
  <c r="W117" i="1" a="1"/>
  <c r="W138" i="1" a="1"/>
  <c r="W150" i="1" a="1"/>
  <c r="W174" i="1" a="1"/>
  <c r="W189" i="1" a="1"/>
  <c r="W209" i="1" a="1"/>
  <c r="W218" i="1" a="1"/>
  <c r="X15" i="1" a="1"/>
  <c r="X25" i="1" a="1"/>
  <c r="X42" i="1" a="1"/>
  <c r="Y181" i="1" a="1"/>
  <c r="Y21" i="1" a="1"/>
  <c r="Y37" i="1" a="1"/>
  <c r="Y54" i="1" a="1"/>
  <c r="Y84" i="1" a="1"/>
  <c r="X104" i="1" a="1"/>
  <c r="X116" i="1" a="1"/>
  <c r="X135" i="1" a="1"/>
  <c r="Y77" i="1" a="1"/>
  <c r="Y75" i="1" a="1"/>
  <c r="Y145" i="1" a="1"/>
  <c r="X168" i="1" a="1"/>
  <c r="X149" i="1" a="1"/>
  <c r="X170" i="1" a="1"/>
  <c r="Y102" i="1" a="1"/>
  <c r="Y198" i="1" a="1"/>
  <c r="Y172" i="1" a="1"/>
  <c r="Y229" i="1" a="1"/>
  <c r="Y242" i="1" a="1"/>
  <c r="Y120" i="1" a="1"/>
  <c r="Y151" i="1" a="1"/>
  <c r="Y159" i="1" a="1"/>
  <c r="Y163" i="1" a="1"/>
  <c r="Y183" i="1" a="1"/>
  <c r="Y190" i="1" a="1"/>
  <c r="Y10" i="1" a="1"/>
  <c r="Y207" i="1" a="1"/>
  <c r="Y223" i="1" a="1"/>
  <c r="Y237" i="1" a="1"/>
  <c r="Y108" i="1" a="1"/>
  <c r="Y95" i="1" a="1"/>
  <c r="Y144" i="1" a="1"/>
  <c r="Y136" i="1" a="1"/>
  <c r="X255" i="1" a="1"/>
  <c r="Y78" i="1" a="1"/>
  <c r="X10" i="1" a="1"/>
  <c r="X213" i="1" a="1"/>
  <c r="X226" i="1" a="1"/>
  <c r="X240" i="1" a="1"/>
  <c r="X244" i="1" a="1"/>
  <c r="X249" i="1" a="1"/>
  <c r="Y133" i="1" a="1"/>
  <c r="X199" i="1" a="1"/>
  <c r="X214" i="1" a="1"/>
  <c r="X227" i="1" a="1"/>
  <c r="X241" i="1" a="1"/>
  <c r="X139" i="1" a="1"/>
  <c r="W75" i="1" a="1"/>
  <c r="W105" i="1" a="1"/>
  <c r="W141" i="1" a="1"/>
  <c r="W182" i="1" a="1"/>
  <c r="W201" i="1" a="1"/>
  <c r="W235" i="1" a="1"/>
  <c r="W251" i="1" a="1"/>
  <c r="X12" i="1" a="1"/>
  <c r="X45" i="1" a="1"/>
  <c r="Y7" i="1" a="1"/>
  <c r="Y39" i="1" a="1"/>
  <c r="X87" i="1" a="1"/>
  <c r="X123" i="1" a="1"/>
  <c r="X86" i="1" a="1"/>
  <c r="X154" i="1" a="1"/>
  <c r="X150" i="1" a="1"/>
  <c r="Y117" i="1" a="1"/>
  <c r="Y219" i="1" a="1"/>
  <c r="X77" i="1" a="1"/>
  <c r="Y154" i="1" a="1"/>
  <c r="Y169" i="1" a="1"/>
  <c r="Y211" i="1" a="1"/>
  <c r="Y125" i="1" a="1"/>
  <c r="Y245" i="1" a="1"/>
  <c r="X247" i="1" a="1"/>
  <c r="X217" i="1" a="1"/>
  <c r="W56" i="1" a="1"/>
  <c r="W87" i="1" a="1"/>
  <c r="W123" i="1" a="1"/>
  <c r="W193" i="1" a="1"/>
  <c r="W230" i="1" a="1"/>
  <c r="W259" i="1" a="1"/>
  <c r="Y9" i="1" a="1"/>
  <c r="X92" i="1" a="1"/>
  <c r="W20" i="1" a="1"/>
  <c r="W34" i="1" a="1"/>
  <c r="W51" i="1" a="1"/>
  <c r="W68" i="1" a="1"/>
  <c r="W89" i="1" a="1"/>
  <c r="W85" i="1" a="1"/>
  <c r="W119" i="1" a="1"/>
  <c r="W133" i="1" a="1"/>
  <c r="W147" i="1" a="1"/>
  <c r="W131" i="1" a="1"/>
  <c r="W191" i="1" a="1"/>
  <c r="W171" i="1" a="1"/>
  <c r="W219" i="1" a="1"/>
  <c r="W228" i="1" a="1"/>
  <c r="W179" i="1" a="1"/>
  <c r="W242" i="1" a="1"/>
  <c r="W250" i="1" a="1"/>
  <c r="W257" i="1" a="1"/>
  <c r="X9" i="1" a="1"/>
  <c r="X26" i="1" a="1"/>
  <c r="X43" i="1" a="1"/>
  <c r="Y5" i="1" a="1"/>
  <c r="Y20" i="1" a="1"/>
  <c r="Y38" i="1" a="1"/>
  <c r="Y51" i="1" a="1"/>
  <c r="X89" i="1" a="1"/>
  <c r="X101" i="1" a="1"/>
  <c r="X119" i="1" a="1"/>
  <c r="X51" i="1" a="1"/>
  <c r="X79" i="1" a="1"/>
  <c r="X81" i="1" a="1"/>
  <c r="X151" i="1" a="1"/>
  <c r="X183" i="1" a="1"/>
  <c r="X146" i="1" a="1"/>
  <c r="X174" i="1" a="1"/>
  <c r="Y105" i="1" a="1"/>
  <c r="Y204" i="1" a="1"/>
  <c r="Y218" i="1" a="1"/>
  <c r="Y231" i="1" a="1"/>
  <c r="Y53" i="1" a="1"/>
  <c r="X144" i="1" a="1"/>
  <c r="Y147" i="1" a="1"/>
  <c r="Y160" i="1" a="1"/>
  <c r="Y167" i="1" a="1"/>
  <c r="Y184" i="1" a="1"/>
  <c r="Y191" i="1" a="1"/>
  <c r="Y199" i="1" a="1"/>
  <c r="Y209" i="1" a="1"/>
  <c r="Y176" i="1" a="1"/>
  <c r="Y239" i="1" a="1"/>
  <c r="Y114" i="1" a="1"/>
  <c r="Y104" i="1" a="1"/>
  <c r="Y87" i="1" a="1"/>
  <c r="Y139" i="1" a="1"/>
  <c r="Y96" i="1" a="1"/>
  <c r="Y112" i="1" a="1"/>
  <c r="X171" i="1" a="1"/>
  <c r="X215" i="1" a="1"/>
  <c r="X228" i="1" a="1"/>
  <c r="X242" i="1" a="1"/>
  <c r="Y247" i="1" a="1"/>
  <c r="Y252" i="1" a="1"/>
  <c r="X145" i="1" a="1"/>
  <c r="X200" i="1" a="1"/>
  <c r="X216" i="1" a="1"/>
  <c r="X229" i="1" a="1"/>
  <c r="X243" i="1" a="1"/>
  <c r="Y251" i="1" a="1"/>
  <c r="W12" i="1" a="1"/>
  <c r="W35" i="1" a="1"/>
  <c r="W45" i="1" a="1"/>
  <c r="W53" i="1" a="1"/>
  <c r="W100" i="1" a="1"/>
  <c r="W132" i="1" a="1"/>
  <c r="W158" i="1" a="1"/>
  <c r="W211" i="1" a="1"/>
  <c r="W229" i="1" a="1"/>
  <c r="W243" i="1" a="1"/>
  <c r="W258" i="1" a="1"/>
  <c r="X18" i="1" a="1"/>
  <c r="Y24" i="1" a="1"/>
  <c r="X57" i="1" a="1"/>
  <c r="X99" i="1" a="1"/>
  <c r="Y57" i="1" a="1"/>
  <c r="X84" i="1" a="1"/>
  <c r="X186" i="1" a="1"/>
  <c r="X182" i="1" a="1"/>
  <c r="Y206" i="1" a="1"/>
  <c r="Y233" i="1" a="1"/>
  <c r="Y141" i="1" a="1"/>
  <c r="Y161" i="1" a="1"/>
  <c r="Y166" i="1" a="1"/>
  <c r="Y226" i="1" a="1"/>
  <c r="Y91" i="1" a="1"/>
  <c r="X201" i="1" a="1"/>
  <c r="X256" i="1" a="1"/>
  <c r="X231" i="1" a="1"/>
  <c r="W24" i="1" a="1"/>
  <c r="W78" i="1" a="1"/>
  <c r="W106" i="1" a="1"/>
  <c r="W139" i="1" a="1"/>
  <c r="W221" i="1" a="1"/>
  <c r="W236" i="1" a="1"/>
  <c r="X14" i="1" a="1"/>
  <c r="Y26" i="1" a="1"/>
  <c r="X184" i="1" a="1"/>
  <c r="Y131" i="1" a="1"/>
  <c r="Y61" i="1" a="1"/>
  <c r="X218" i="1" a="1"/>
  <c r="X233" i="1" a="1"/>
  <c r="X232" i="1" a="1"/>
  <c r="X56" i="1" a="1"/>
  <c r="Y185" i="1" a="1"/>
  <c r="Y250" i="1" a="1"/>
  <c r="Y221" i="1" a="1"/>
  <c r="Y254" i="1" a="1"/>
  <c r="X190" i="1" a="1"/>
  <c r="Y213" i="1" a="1"/>
  <c r="X153" i="1" a="1"/>
  <c r="X203" i="1" a="1"/>
  <c r="X108" i="1" a="1"/>
  <c r="Y127" i="1" a="1"/>
  <c r="Y170" i="1" a="1"/>
  <c r="Y132" i="1" a="1"/>
  <c r="X251" i="1" a="1"/>
  <c r="Y208" i="1" a="1"/>
  <c r="Y116" i="1" a="1"/>
  <c r="X55" i="1" a="1"/>
  <c r="X245" i="1" a="1"/>
  <c r="Y82" i="1" a="1"/>
  <c r="X189" i="1" a="1"/>
  <c r="Y153" i="1" a="1"/>
  <c r="X178" i="1" a="1"/>
  <c r="Y192" i="1" a="1"/>
  <c r="X66" i="1" a="1"/>
  <c r="Y177" i="1" a="1"/>
  <c r="Y193" i="1" a="1"/>
  <c r="X250" i="1" a="1"/>
  <c r="Y259" i="1" a="1"/>
  <c r="X155" i="1" a="1"/>
  <c r="Y90" i="1" a="1"/>
  <c r="Y200" i="1" a="1"/>
  <c r="X257" i="1" a="1"/>
  <c r="X148" i="1" a="1"/>
  <c r="X204" i="1" a="1"/>
  <c r="Y228" i="1" a="1"/>
  <c r="W236" i="1" l="1"/>
  <c r="W221" i="1"/>
  <c r="W139" i="1"/>
  <c r="W106" i="1"/>
  <c r="W78" i="1"/>
  <c r="W24" i="1"/>
  <c r="W258" i="1"/>
  <c r="W243" i="1"/>
  <c r="W229" i="1"/>
  <c r="W211" i="1"/>
  <c r="W158" i="1"/>
  <c r="W132" i="1"/>
  <c r="W100" i="1"/>
  <c r="W53" i="1"/>
  <c r="W45" i="1"/>
  <c r="W35" i="1"/>
  <c r="W12" i="1"/>
  <c r="W257" i="1"/>
  <c r="W250" i="1"/>
  <c r="W242" i="1"/>
  <c r="W179" i="1"/>
  <c r="W228" i="1"/>
  <c r="W219" i="1"/>
  <c r="W171" i="1"/>
  <c r="W191" i="1"/>
  <c r="W131" i="1"/>
  <c r="W147" i="1"/>
  <c r="W133" i="1"/>
  <c r="W119" i="1"/>
  <c r="W85" i="1"/>
  <c r="W89" i="1"/>
  <c r="W68" i="1"/>
  <c r="W51" i="1"/>
  <c r="W34" i="1"/>
  <c r="W20" i="1"/>
  <c r="W259" i="1"/>
  <c r="W230" i="1"/>
  <c r="W193" i="1"/>
  <c r="W123" i="1"/>
  <c r="W87" i="1"/>
  <c r="W56" i="1"/>
  <c r="W251" i="1"/>
  <c r="W235" i="1"/>
  <c r="W201" i="1"/>
  <c r="W182" i="1"/>
  <c r="W141" i="1"/>
  <c r="W105" i="1"/>
  <c r="W75" i="1"/>
  <c r="W218" i="1"/>
  <c r="W209" i="1"/>
  <c r="W189" i="1"/>
  <c r="W174" i="1"/>
  <c r="W150" i="1"/>
  <c r="W138" i="1"/>
  <c r="W117" i="1"/>
  <c r="W108" i="1"/>
  <c r="W86" i="1"/>
  <c r="W73" i="1"/>
  <c r="W52" i="1"/>
  <c r="W43" i="1"/>
  <c r="W19" i="1"/>
  <c r="W9" i="1"/>
  <c r="W240" i="1"/>
  <c r="W226" i="1"/>
  <c r="W10" i="1"/>
  <c r="W170" i="1"/>
  <c r="W160" i="1"/>
  <c r="W137" i="1"/>
  <c r="W129" i="1"/>
  <c r="W99" i="1"/>
  <c r="W72" i="1"/>
  <c r="W61" i="1"/>
  <c r="W39" i="1"/>
  <c r="W30" i="1"/>
  <c r="W7" i="1"/>
  <c r="W254" i="1"/>
  <c r="W247" i="1"/>
  <c r="W239" i="1"/>
  <c r="W233" i="1"/>
  <c r="W176" i="1"/>
  <c r="W172" i="1"/>
  <c r="W197" i="1"/>
  <c r="W187" i="1"/>
  <c r="W152" i="1"/>
  <c r="W143" i="1"/>
  <c r="W127" i="1"/>
  <c r="W114" i="1"/>
  <c r="W93" i="1"/>
  <c r="W80" i="1"/>
  <c r="W62" i="1"/>
  <c r="W50" i="1"/>
  <c r="W18" i="1"/>
  <c r="W2" i="1"/>
  <c r="W252" i="1"/>
  <c r="W213" i="1"/>
  <c r="W153" i="1"/>
  <c r="W14" i="1"/>
  <c r="W255" i="1"/>
  <c r="W253" i="1"/>
  <c r="W246" i="1"/>
  <c r="W238" i="1"/>
  <c r="W232" i="1"/>
  <c r="W215" i="1"/>
  <c r="W205" i="1"/>
  <c r="W185" i="1"/>
  <c r="W167" i="1"/>
  <c r="W142" i="1"/>
  <c r="W130" i="1"/>
  <c r="W112" i="1"/>
  <c r="W101" i="1"/>
  <c r="W79" i="1"/>
  <c r="W67" i="1"/>
  <c r="W49" i="1"/>
  <c r="W38" i="1"/>
  <c r="W23" i="1"/>
  <c r="W5" i="1"/>
  <c r="W244" i="1"/>
  <c r="W184" i="1"/>
  <c r="W47" i="1"/>
  <c r="W248" i="1"/>
  <c r="W234" i="1"/>
  <c r="W207" i="1"/>
  <c r="W94" i="1"/>
  <c r="W223" i="1"/>
  <c r="W203" i="1"/>
  <c r="W195" i="1"/>
  <c r="W165" i="1"/>
  <c r="W156" i="1"/>
  <c r="W118" i="1"/>
  <c r="W125" i="1"/>
  <c r="W102" i="1"/>
  <c r="W92" i="1"/>
  <c r="W64" i="1"/>
  <c r="W57" i="1"/>
  <c r="W32" i="1"/>
  <c r="W26" i="1"/>
  <c r="W260" i="1"/>
  <c r="W256" i="1"/>
  <c r="W175" i="1"/>
  <c r="W249" i="1"/>
  <c r="W245" i="1"/>
  <c r="W241" i="1"/>
  <c r="W237" i="1"/>
  <c r="W177" i="1"/>
  <c r="W231" i="1"/>
  <c r="W227" i="1"/>
  <c r="W224" i="1"/>
  <c r="W220" i="1"/>
  <c r="W217" i="1"/>
  <c r="W214" i="1"/>
  <c r="W210" i="1"/>
  <c r="W206" i="1"/>
  <c r="W202" i="1"/>
  <c r="W199" i="1"/>
  <c r="W196" i="1"/>
  <c r="W192" i="1"/>
  <c r="W188" i="1"/>
  <c r="W166" i="1"/>
  <c r="W173" i="1"/>
  <c r="W169" i="1"/>
  <c r="W164" i="1"/>
  <c r="W161" i="1"/>
  <c r="W157" i="1"/>
  <c r="W154" i="1"/>
  <c r="W146" i="1"/>
  <c r="W148" i="1"/>
  <c r="W144" i="1"/>
  <c r="W122" i="1"/>
  <c r="W136" i="1"/>
  <c r="W120" i="1"/>
  <c r="W126" i="1"/>
  <c r="W121" i="1"/>
  <c r="W115" i="1"/>
  <c r="W111" i="1"/>
  <c r="W110" i="1"/>
  <c r="W103" i="1"/>
  <c r="W96" i="1"/>
  <c r="W97" i="1"/>
  <c r="W109" i="1"/>
  <c r="W90" i="1"/>
  <c r="W84" i="1"/>
  <c r="W81" i="1"/>
  <c r="W74" i="1"/>
  <c r="W69" i="1"/>
  <c r="W65" i="1"/>
  <c r="W60" i="1"/>
  <c r="W59" i="1"/>
  <c r="W55" i="1"/>
  <c r="W71" i="1"/>
  <c r="W46" i="1"/>
  <c r="W40" i="1"/>
  <c r="W41" i="1"/>
  <c r="W36" i="1"/>
  <c r="W31" i="1"/>
  <c r="W28" i="1"/>
  <c r="W22" i="1"/>
  <c r="W17" i="1"/>
  <c r="W16" i="1"/>
  <c r="W11" i="1"/>
  <c r="W8" i="1"/>
  <c r="W225" i="1"/>
  <c r="W222" i="1"/>
  <c r="W178" i="1"/>
  <c r="W216" i="1"/>
  <c r="W212" i="1"/>
  <c r="W208" i="1"/>
  <c r="W204" i="1"/>
  <c r="W200" i="1"/>
  <c r="W198" i="1"/>
  <c r="W194" i="1"/>
  <c r="W190" i="1"/>
  <c r="W186" i="1"/>
  <c r="W183" i="1"/>
  <c r="W168" i="1"/>
  <c r="W163" i="1"/>
  <c r="W162" i="1"/>
  <c r="W159" i="1"/>
  <c r="W155" i="1"/>
  <c r="W151" i="1"/>
  <c r="W149" i="1"/>
  <c r="W145" i="1"/>
  <c r="W140" i="1"/>
  <c r="W135" i="1"/>
  <c r="W134" i="1"/>
  <c r="W128" i="1"/>
  <c r="W124" i="1"/>
  <c r="W116" i="1"/>
  <c r="W113" i="1"/>
  <c r="W91" i="1"/>
  <c r="W107" i="1"/>
  <c r="W104" i="1"/>
  <c r="W98" i="1"/>
  <c r="W95" i="1"/>
  <c r="W82" i="1"/>
  <c r="W88" i="1"/>
  <c r="W83" i="1"/>
  <c r="W77" i="1"/>
  <c r="W58" i="1"/>
  <c r="W70" i="1"/>
  <c r="W66" i="1"/>
  <c r="W63" i="1"/>
  <c r="W76" i="1"/>
  <c r="W54" i="1"/>
  <c r="W48" i="1"/>
  <c r="W44" i="1"/>
  <c r="W42" i="1"/>
  <c r="W37" i="1"/>
  <c r="W33" i="1"/>
  <c r="W27" i="1"/>
  <c r="W25" i="1"/>
  <c r="W21" i="1"/>
  <c r="W29" i="1"/>
  <c r="W13" i="1"/>
  <c r="W15" i="1"/>
  <c r="W181" i="1"/>
  <c r="Y251" i="1"/>
  <c r="X139" i="1"/>
  <c r="X140" i="1"/>
  <c r="Y110" i="1"/>
  <c r="X258" i="1"/>
  <c r="Y253" i="1"/>
  <c r="X251" i="1"/>
  <c r="Y246" i="1"/>
  <c r="X243" i="1"/>
  <c r="X241" i="1"/>
  <c r="X239" i="1"/>
  <c r="X237" i="1"/>
  <c r="X235" i="1"/>
  <c r="X177" i="1"/>
  <c r="X233" i="1"/>
  <c r="X231" i="1"/>
  <c r="X229" i="1"/>
  <c r="X227" i="1"/>
  <c r="X225" i="1"/>
  <c r="X224" i="1"/>
  <c r="X222" i="1"/>
  <c r="X220" i="1"/>
  <c r="X178" i="1"/>
  <c r="X217" i="1"/>
  <c r="X216" i="1"/>
  <c r="X214" i="1"/>
  <c r="X212" i="1"/>
  <c r="X210" i="1"/>
  <c r="X208" i="1"/>
  <c r="X206" i="1"/>
  <c r="X204" i="1"/>
  <c r="X202" i="1"/>
  <c r="X200" i="1"/>
  <c r="X199" i="1"/>
  <c r="X198" i="1"/>
  <c r="X196" i="1"/>
  <c r="X194" i="1"/>
  <c r="X192" i="1"/>
  <c r="X190" i="1"/>
  <c r="X188" i="1"/>
  <c r="X145" i="1"/>
  <c r="Y133" i="1"/>
  <c r="Y85" i="1"/>
  <c r="Y122" i="1"/>
  <c r="Y115" i="1"/>
  <c r="Y80" i="1"/>
  <c r="Y259" i="1"/>
  <c r="X256" i="1"/>
  <c r="Y252" i="1"/>
  <c r="X249" i="1"/>
  <c r="Y244" i="1"/>
  <c r="Y99" i="1"/>
  <c r="X253" i="1"/>
  <c r="X259" i="1"/>
  <c r="Y254" i="1"/>
  <c r="X252" i="1"/>
  <c r="Y247" i="1"/>
  <c r="X244" i="1"/>
  <c r="Y126" i="1"/>
  <c r="Y109" i="1"/>
  <c r="Y257" i="1"/>
  <c r="X254" i="1"/>
  <c r="Y250" i="1"/>
  <c r="X247" i="1"/>
  <c r="X242" i="1"/>
  <c r="X240" i="1"/>
  <c r="X238" i="1"/>
  <c r="X236" i="1"/>
  <c r="X179" i="1"/>
  <c r="X234" i="1"/>
  <c r="X232" i="1"/>
  <c r="X230" i="1"/>
  <c r="X228" i="1"/>
  <c r="X226" i="1"/>
  <c r="X176" i="1"/>
  <c r="X223" i="1"/>
  <c r="X221" i="1"/>
  <c r="X219" i="1"/>
  <c r="X218" i="1"/>
  <c r="X172" i="1"/>
  <c r="X215" i="1"/>
  <c r="X213" i="1"/>
  <c r="X211" i="1"/>
  <c r="X209" i="1"/>
  <c r="X207" i="1"/>
  <c r="X205" i="1"/>
  <c r="X203" i="1"/>
  <c r="X201" i="1"/>
  <c r="X171" i="1"/>
  <c r="X10" i="1"/>
  <c r="X197" i="1"/>
  <c r="X195" i="1"/>
  <c r="X193" i="1"/>
  <c r="X191" i="1"/>
  <c r="X189" i="1"/>
  <c r="Y148" i="1"/>
  <c r="Y112" i="1"/>
  <c r="Y78" i="1"/>
  <c r="Y258" i="1"/>
  <c r="X248" i="1"/>
  <c r="Y256" i="1"/>
  <c r="Y249" i="1"/>
  <c r="X257" i="1"/>
  <c r="Y138" i="1"/>
  <c r="Y96" i="1"/>
  <c r="X255" i="1"/>
  <c r="Y243" i="1"/>
  <c r="X246" i="1"/>
  <c r="Y260" i="1"/>
  <c r="Y175" i="1"/>
  <c r="X250" i="1"/>
  <c r="Y245" i="1"/>
  <c r="Y139" i="1"/>
  <c r="Y136" i="1"/>
  <c r="X260" i="1"/>
  <c r="Y255" i="1"/>
  <c r="X175" i="1"/>
  <c r="Y248" i="1"/>
  <c r="X245" i="1"/>
  <c r="Y123" i="1"/>
  <c r="Y87" i="1"/>
  <c r="Y144" i="1"/>
  <c r="X138" i="1"/>
  <c r="X122" i="1"/>
  <c r="Y135" i="1"/>
  <c r="Y128" i="1"/>
  <c r="Y116" i="1"/>
  <c r="Y91" i="1"/>
  <c r="Y104" i="1"/>
  <c r="Y95" i="1"/>
  <c r="X88" i="1"/>
  <c r="Y73" i="1"/>
  <c r="Y142" i="1"/>
  <c r="Y137" i="1"/>
  <c r="Y132" i="1"/>
  <c r="Y125" i="1"/>
  <c r="Y114" i="1"/>
  <c r="Y108" i="1"/>
  <c r="Y100" i="1"/>
  <c r="Y92" i="1"/>
  <c r="X83" i="1"/>
  <c r="Y67" i="1"/>
  <c r="Y61" i="1"/>
  <c r="Y241" i="1"/>
  <c r="Y239" i="1"/>
  <c r="Y237" i="1"/>
  <c r="Y179" i="1"/>
  <c r="Y234" i="1"/>
  <c r="Y232" i="1"/>
  <c r="Y230" i="1"/>
  <c r="Y228" i="1"/>
  <c r="Y226" i="1"/>
  <c r="Y176" i="1"/>
  <c r="Y223" i="1"/>
  <c r="Y220" i="1"/>
  <c r="Y178" i="1"/>
  <c r="Y217" i="1"/>
  <c r="Y216" i="1"/>
  <c r="Y213" i="1"/>
  <c r="Y211" i="1"/>
  <c r="Y209" i="1"/>
  <c r="Y207" i="1"/>
  <c r="Y205" i="1"/>
  <c r="Y203" i="1"/>
  <c r="Y202" i="1"/>
  <c r="Y201" i="1"/>
  <c r="Y200" i="1"/>
  <c r="Y171" i="1"/>
  <c r="Y199" i="1"/>
  <c r="Y10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66" i="1"/>
  <c r="Y184" i="1"/>
  <c r="Y183" i="1"/>
  <c r="Y182" i="1"/>
  <c r="Y173" i="1"/>
  <c r="Y174" i="1"/>
  <c r="Y168" i="1"/>
  <c r="Y170" i="1"/>
  <c r="Y169" i="1"/>
  <c r="Y167" i="1"/>
  <c r="Y163" i="1"/>
  <c r="Y165" i="1"/>
  <c r="Y164" i="1"/>
  <c r="Y158" i="1"/>
  <c r="Y162" i="1"/>
  <c r="Y131" i="1"/>
  <c r="Y161" i="1"/>
  <c r="Y160" i="1"/>
  <c r="Y159" i="1"/>
  <c r="Y152" i="1"/>
  <c r="Y157" i="1"/>
  <c r="Y156" i="1"/>
  <c r="Y155" i="1"/>
  <c r="Y153" i="1"/>
  <c r="Y154" i="1"/>
  <c r="Y147" i="1"/>
  <c r="Y151" i="1"/>
  <c r="Y150" i="1"/>
  <c r="Y146" i="1"/>
  <c r="Y143" i="1"/>
  <c r="Y149" i="1"/>
  <c r="X148" i="1"/>
  <c r="Y141" i="1"/>
  <c r="X144" i="1"/>
  <c r="Y120" i="1"/>
  <c r="Y121" i="1"/>
  <c r="Y111" i="1"/>
  <c r="Y103" i="1"/>
  <c r="Y97" i="1"/>
  <c r="Y90" i="1"/>
  <c r="X77" i="1"/>
  <c r="Y53" i="1"/>
  <c r="Y242" i="1"/>
  <c r="Y240" i="1"/>
  <c r="Y238" i="1"/>
  <c r="Y236" i="1"/>
  <c r="Y235" i="1"/>
  <c r="Y177" i="1"/>
  <c r="Y233" i="1"/>
  <c r="Y231" i="1"/>
  <c r="Y229" i="1"/>
  <c r="Y227" i="1"/>
  <c r="Y225" i="1"/>
  <c r="Y224" i="1"/>
  <c r="Y222" i="1"/>
  <c r="Y221" i="1"/>
  <c r="Y219" i="1"/>
  <c r="Y218" i="1"/>
  <c r="Y172" i="1"/>
  <c r="Y215" i="1"/>
  <c r="Y214" i="1"/>
  <c r="Y212" i="1"/>
  <c r="Y210" i="1"/>
  <c r="Y208" i="1"/>
  <c r="Y206" i="1"/>
  <c r="Y204" i="1"/>
  <c r="Y198" i="1"/>
  <c r="X142" i="1"/>
  <c r="X137" i="1"/>
  <c r="Y130" i="1"/>
  <c r="Y118" i="1"/>
  <c r="Y127" i="1"/>
  <c r="Y117" i="1"/>
  <c r="Y105" i="1"/>
  <c r="Y102" i="1"/>
  <c r="Y93" i="1"/>
  <c r="X58" i="1"/>
  <c r="X187" i="1"/>
  <c r="X185" i="1"/>
  <c r="X184" i="1"/>
  <c r="X182" i="1"/>
  <c r="X174" i="1"/>
  <c r="X170" i="1"/>
  <c r="X167" i="1"/>
  <c r="X165" i="1"/>
  <c r="X158" i="1"/>
  <c r="X131" i="1"/>
  <c r="X160" i="1"/>
  <c r="X152" i="1"/>
  <c r="X156" i="1"/>
  <c r="X153" i="1"/>
  <c r="X147" i="1"/>
  <c r="X150" i="1"/>
  <c r="X146" i="1"/>
  <c r="X149" i="1"/>
  <c r="X141" i="1"/>
  <c r="Y140" i="1"/>
  <c r="Y134" i="1"/>
  <c r="Y124" i="1"/>
  <c r="Y113" i="1"/>
  <c r="Y107" i="1"/>
  <c r="Y98" i="1"/>
  <c r="Y82" i="1"/>
  <c r="X70" i="1"/>
  <c r="X186" i="1"/>
  <c r="X166" i="1"/>
  <c r="X183" i="1"/>
  <c r="X173" i="1"/>
  <c r="X168" i="1"/>
  <c r="X169" i="1"/>
  <c r="X163" i="1"/>
  <c r="X164" i="1"/>
  <c r="X162" i="1"/>
  <c r="X161" i="1"/>
  <c r="X159" i="1"/>
  <c r="X157" i="1"/>
  <c r="X155" i="1"/>
  <c r="X154" i="1"/>
  <c r="X151" i="1"/>
  <c r="X143" i="1"/>
  <c r="Y145" i="1"/>
  <c r="X130" i="1"/>
  <c r="Y129" i="1"/>
  <c r="Y119" i="1"/>
  <c r="Y106" i="1"/>
  <c r="Y101" i="1"/>
  <c r="Y94" i="1"/>
  <c r="Y89" i="1"/>
  <c r="X66" i="1"/>
  <c r="Y86" i="1"/>
  <c r="X84" i="1"/>
  <c r="Y79" i="1"/>
  <c r="X81" i="1"/>
  <c r="Y75" i="1"/>
  <c r="X74" i="1"/>
  <c r="Y72" i="1"/>
  <c r="X69" i="1"/>
  <c r="Y64" i="1"/>
  <c r="X65" i="1"/>
  <c r="Y68" i="1"/>
  <c r="X60" i="1"/>
  <c r="Y62" i="1"/>
  <c r="X59" i="1"/>
  <c r="Y56" i="1"/>
  <c r="X55" i="1"/>
  <c r="Y88" i="1"/>
  <c r="X86" i="1"/>
  <c r="Y83" i="1"/>
  <c r="X79" i="1"/>
  <c r="Y77" i="1"/>
  <c r="X75" i="1"/>
  <c r="Y58" i="1"/>
  <c r="X72" i="1"/>
  <c r="Y70" i="1"/>
  <c r="X64" i="1"/>
  <c r="Y66" i="1"/>
  <c r="X68" i="1"/>
  <c r="Y63" i="1"/>
  <c r="X62" i="1"/>
  <c r="Y76" i="1"/>
  <c r="X56" i="1"/>
  <c r="X63" i="1"/>
  <c r="Y57" i="1"/>
  <c r="X76" i="1"/>
  <c r="X51" i="1"/>
  <c r="X135" i="1"/>
  <c r="X118" i="1"/>
  <c r="X136" i="1"/>
  <c r="X132" i="1"/>
  <c r="X134" i="1"/>
  <c r="X133" i="1"/>
  <c r="X120" i="1"/>
  <c r="X129" i="1"/>
  <c r="X128" i="1"/>
  <c r="X127" i="1"/>
  <c r="X126" i="1"/>
  <c r="X125" i="1"/>
  <c r="X124" i="1"/>
  <c r="X123" i="1"/>
  <c r="X121" i="1"/>
  <c r="X119" i="1"/>
  <c r="X116" i="1"/>
  <c r="X117" i="1"/>
  <c r="X115" i="1"/>
  <c r="X114" i="1"/>
  <c r="X113" i="1"/>
  <c r="X112" i="1"/>
  <c r="X111" i="1"/>
  <c r="X106" i="1"/>
  <c r="X91" i="1"/>
  <c r="X105" i="1"/>
  <c r="X110" i="1"/>
  <c r="X108" i="1"/>
  <c r="X107" i="1"/>
  <c r="X99" i="1"/>
  <c r="X103" i="1"/>
  <c r="X101" i="1"/>
  <c r="X104" i="1"/>
  <c r="X102" i="1"/>
  <c r="X96" i="1"/>
  <c r="X100" i="1"/>
  <c r="X98" i="1"/>
  <c r="X85" i="1"/>
  <c r="X97" i="1"/>
  <c r="X94" i="1"/>
  <c r="X95" i="1"/>
  <c r="X93" i="1"/>
  <c r="X109" i="1"/>
  <c r="X92" i="1"/>
  <c r="X82" i="1"/>
  <c r="X87" i="1"/>
  <c r="X90" i="1"/>
  <c r="X89" i="1"/>
  <c r="Y84" i="1"/>
  <c r="X80" i="1"/>
  <c r="Y81" i="1"/>
  <c r="X78" i="1"/>
  <c r="Y74" i="1"/>
  <c r="X73" i="1"/>
  <c r="Y69" i="1"/>
  <c r="X67" i="1"/>
  <c r="Y65" i="1"/>
  <c r="X53" i="1"/>
  <c r="Y60" i="1"/>
  <c r="X61" i="1"/>
  <c r="Y59" i="1"/>
  <c r="X57" i="1"/>
  <c r="Y55" i="1"/>
  <c r="Y51" i="1"/>
  <c r="Y54" i="1"/>
  <c r="Y52" i="1"/>
  <c r="Y71" i="1"/>
  <c r="Y50" i="1"/>
  <c r="Y48" i="1"/>
  <c r="Y49" i="1"/>
  <c r="Y46" i="1"/>
  <c r="Y47" i="1"/>
  <c r="Y44" i="1"/>
  <c r="Y45" i="1"/>
  <c r="Y40" i="1"/>
  <c r="Y43" i="1"/>
  <c r="Y42" i="1"/>
  <c r="Y39" i="1"/>
  <c r="Y41" i="1"/>
  <c r="Y38" i="1"/>
  <c r="Y37" i="1"/>
  <c r="Y32" i="1"/>
  <c r="Y36" i="1"/>
  <c r="Y35" i="1"/>
  <c r="Y33" i="1"/>
  <c r="Y34" i="1"/>
  <c r="Y31" i="1"/>
  <c r="Y30" i="1"/>
  <c r="Y27" i="1"/>
  <c r="Y18" i="1"/>
  <c r="Y28" i="1"/>
  <c r="Y26" i="1"/>
  <c r="Y25" i="1"/>
  <c r="Y24" i="1"/>
  <c r="Y22" i="1"/>
  <c r="Y20" i="1"/>
  <c r="Y21" i="1"/>
  <c r="Y19" i="1"/>
  <c r="Y17" i="1"/>
  <c r="Y2" i="1"/>
  <c r="Y29" i="1"/>
  <c r="Y23" i="1"/>
  <c r="Y16" i="1"/>
  <c r="Y14" i="1"/>
  <c r="Y13" i="1"/>
  <c r="Y12" i="1"/>
  <c r="Y11" i="1"/>
  <c r="Y9" i="1"/>
  <c r="Y15" i="1"/>
  <c r="Y7" i="1"/>
  <c r="Y8" i="1"/>
  <c r="Y5" i="1"/>
  <c r="Y181" i="1"/>
  <c r="Y6" i="1"/>
  <c r="Y4" i="1"/>
  <c r="Y3" i="1"/>
  <c r="X54" i="1"/>
  <c r="X52" i="1"/>
  <c r="X71" i="1"/>
  <c r="X50" i="1"/>
  <c r="X48" i="1"/>
  <c r="X49" i="1"/>
  <c r="X46" i="1"/>
  <c r="X47" i="1"/>
  <c r="X44" i="1"/>
  <c r="X45" i="1"/>
  <c r="X40" i="1"/>
  <c r="X43" i="1"/>
  <c r="X42" i="1"/>
  <c r="X39" i="1"/>
  <c r="X41" i="1"/>
  <c r="X38" i="1"/>
  <c r="X37" i="1"/>
  <c r="X32" i="1"/>
  <c r="X36" i="1"/>
  <c r="X35" i="1"/>
  <c r="X33" i="1"/>
  <c r="X34" i="1"/>
  <c r="X31" i="1"/>
  <c r="X30" i="1"/>
  <c r="X27" i="1"/>
  <c r="X18" i="1"/>
  <c r="X28" i="1"/>
  <c r="X26" i="1"/>
  <c r="X25" i="1"/>
  <c r="X24" i="1"/>
  <c r="X22" i="1"/>
  <c r="X20" i="1"/>
  <c r="X21" i="1"/>
  <c r="X19" i="1"/>
  <c r="X17" i="1"/>
  <c r="X2" i="1"/>
  <c r="X29" i="1"/>
  <c r="X23" i="1"/>
  <c r="X16" i="1"/>
  <c r="X14" i="1"/>
  <c r="X13" i="1"/>
  <c r="X12" i="1"/>
  <c r="X11" i="1"/>
  <c r="X9" i="1"/>
  <c r="X15" i="1"/>
  <c r="X7" i="1"/>
  <c r="X8" i="1"/>
  <c r="X5" i="1"/>
  <c r="X181" i="1"/>
  <c r="X6" i="1"/>
  <c r="X4" i="1"/>
  <c r="X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<sst xmlns="http://schemas.openxmlformats.org/spreadsheetml/2006/main" count="6527" uniqueCount="1063">
  <si>
    <t>Code agence</t>
  </si>
  <si>
    <t>Numero Client</t>
  </si>
  <si>
    <t>Nom</t>
  </si>
  <si>
    <t>Prenom client</t>
  </si>
  <si>
    <t>Date de naissance</t>
  </si>
  <si>
    <t>Compte de remboursement</t>
  </si>
  <si>
    <t>N? dossier</t>
  </si>
  <si>
    <t>N? d'avenant</t>
  </si>
  <si>
    <t>Date de mise en place</t>
  </si>
  <si>
    <t>Type de pret</t>
  </si>
  <si>
    <t>Libelle type de pret</t>
  </si>
  <si>
    <t>Nombre d'echeance du pret</t>
  </si>
  <si>
    <t>Montant du pret</t>
  </si>
  <si>
    <t>Montant de l'echeance constante</t>
  </si>
  <si>
    <t>Taux d'interet</t>
  </si>
  <si>
    <t>Etat du dossier</t>
  </si>
  <si>
    <t>Date 1ere echeance</t>
  </si>
  <si>
    <t>Date de derniere echeance</t>
  </si>
  <si>
    <t>Date de tombee du pret</t>
  </si>
  <si>
    <t>Code traitement</t>
  </si>
  <si>
    <t>Nom gestionnaire</t>
  </si>
  <si>
    <t xml:space="preserve">                              </t>
  </si>
  <si>
    <t>157</t>
  </si>
  <si>
    <t xml:space="preserve">CLIPRO CCT EQUIPEMENT         </t>
  </si>
  <si>
    <t>VA</t>
  </si>
  <si>
    <t>9</t>
  </si>
  <si>
    <t>00500</t>
  </si>
  <si>
    <t xml:space="preserve">HABY THIOUB                   </t>
  </si>
  <si>
    <t>1</t>
  </si>
  <si>
    <t>220</t>
  </si>
  <si>
    <t xml:space="preserve">CLICOM CMT EQUIPEMENT         </t>
  </si>
  <si>
    <t xml:space="preserve">09512140       </t>
  </si>
  <si>
    <t xml:space="preserve">ENTREPRISE DA ROSA                  </t>
  </si>
  <si>
    <t>98209200001</t>
  </si>
  <si>
    <t xml:space="preserve">NDEYE OULIMATA BOYE           </t>
  </si>
  <si>
    <t xml:space="preserve">15053900       </t>
  </si>
  <si>
    <t xml:space="preserve">HOBALLAH NAGI                       </t>
  </si>
  <si>
    <t>05001505393</t>
  </si>
  <si>
    <t>481108</t>
  </si>
  <si>
    <t>128</t>
  </si>
  <si>
    <t xml:space="preserve">CLICOM CCT TRESORERIE         </t>
  </si>
  <si>
    <t xml:space="preserve">ADJA FATOU CISSE EP NIANG     </t>
  </si>
  <si>
    <t>497036</t>
  </si>
  <si>
    <t>527874</t>
  </si>
  <si>
    <t xml:space="preserve">15187000       </t>
  </si>
  <si>
    <t xml:space="preserve">SYBEL COSMETIC                      </t>
  </si>
  <si>
    <t>05001518701</t>
  </si>
  <si>
    <t xml:space="preserve">KHADIDIATOU MBENGUE           </t>
  </si>
  <si>
    <t>492396</t>
  </si>
  <si>
    <t xml:space="preserve">MAME NGONE GAYE               </t>
  </si>
  <si>
    <t>222</t>
  </si>
  <si>
    <t xml:space="preserve">CLICOM CMT TRESORERIE         </t>
  </si>
  <si>
    <t>121</t>
  </si>
  <si>
    <t xml:space="preserve">CLICOM CCT EQUIPEMENT         </t>
  </si>
  <si>
    <t xml:space="preserve">KHADY NDIAYE BA               </t>
  </si>
  <si>
    <t xml:space="preserve">15429505       </t>
  </si>
  <si>
    <t xml:space="preserve">NGOM AMAR                           </t>
  </si>
  <si>
    <t>05401542954</t>
  </si>
  <si>
    <t>516628</t>
  </si>
  <si>
    <t>257</t>
  </si>
  <si>
    <t xml:space="preserve">CLIPRO CMT EQUIPEMENT         </t>
  </si>
  <si>
    <t xml:space="preserve">MME DIAGNE MARIE              </t>
  </si>
  <si>
    <t>221</t>
  </si>
  <si>
    <t xml:space="preserve">CLICOM CMT CONSTRUCTION       </t>
  </si>
  <si>
    <t xml:space="preserve">15466305       </t>
  </si>
  <si>
    <t>BIJOUTERIE PALME D'OR / THIAM MAMADO</t>
  </si>
  <si>
    <t>05401546633</t>
  </si>
  <si>
    <t>507118</t>
  </si>
  <si>
    <t xml:space="preserve">15474605       </t>
  </si>
  <si>
    <t xml:space="preserve">INTERNATIONAL TRADING AND SHIPPING  </t>
  </si>
  <si>
    <t>05001547460</t>
  </si>
  <si>
    <t>493972</t>
  </si>
  <si>
    <t xml:space="preserve">CHEIKH TALIBOUYA NDIAYE       </t>
  </si>
  <si>
    <t xml:space="preserve">15510605       </t>
  </si>
  <si>
    <t xml:space="preserve">GIE GAINDE 2000                     </t>
  </si>
  <si>
    <t>05501551061</t>
  </si>
  <si>
    <t>490203</t>
  </si>
  <si>
    <t xml:space="preserve">MAMADOU DIAGNE                </t>
  </si>
  <si>
    <t xml:space="preserve">FATIMATA ZARA HAIDARA         </t>
  </si>
  <si>
    <t xml:space="preserve">15625005       </t>
  </si>
  <si>
    <t xml:space="preserve">IDEA MOBILIER                       </t>
  </si>
  <si>
    <t>05001562501</t>
  </si>
  <si>
    <t>481703</t>
  </si>
  <si>
    <t xml:space="preserve">YAYE FATOU GAYE               </t>
  </si>
  <si>
    <t>507861</t>
  </si>
  <si>
    <t>508611</t>
  </si>
  <si>
    <t xml:space="preserve">15652105       </t>
  </si>
  <si>
    <t xml:space="preserve">SAKARA SARL                         </t>
  </si>
  <si>
    <t>05001565215</t>
  </si>
  <si>
    <t>497145</t>
  </si>
  <si>
    <t>321</t>
  </si>
  <si>
    <t xml:space="preserve">CLICOM CLT CONSTRUCTION       </t>
  </si>
  <si>
    <t xml:space="preserve">15652405       </t>
  </si>
  <si>
    <t xml:space="preserve">SPEEDY SERVICES SENEGAL SARL        </t>
  </si>
  <si>
    <t>05001565249</t>
  </si>
  <si>
    <t>486567</t>
  </si>
  <si>
    <t xml:space="preserve">SALIOU MBACKE BA              </t>
  </si>
  <si>
    <t xml:space="preserve">15668005       </t>
  </si>
  <si>
    <t xml:space="preserve">SCRUPULDOS SARL                     </t>
  </si>
  <si>
    <t>05001566809</t>
  </si>
  <si>
    <t>484766</t>
  </si>
  <si>
    <t>502050</t>
  </si>
  <si>
    <t xml:space="preserve">15680105       </t>
  </si>
  <si>
    <t xml:space="preserve">LE ROND POINT SARL                  </t>
  </si>
  <si>
    <t>05001568011</t>
  </si>
  <si>
    <t>478120</t>
  </si>
  <si>
    <t xml:space="preserve">LOUIS SAGNA                   </t>
  </si>
  <si>
    <t xml:space="preserve">15692705       </t>
  </si>
  <si>
    <t xml:space="preserve">AL AMINE                            </t>
  </si>
  <si>
    <t>06201569270</t>
  </si>
  <si>
    <t>475674</t>
  </si>
  <si>
    <t xml:space="preserve">15725805       </t>
  </si>
  <si>
    <t xml:space="preserve">BASSI SUARL                         </t>
  </si>
  <si>
    <t>06101572580</t>
  </si>
  <si>
    <t>477186</t>
  </si>
  <si>
    <t xml:space="preserve">15753105       </t>
  </si>
  <si>
    <t xml:space="preserve">BOIS FER TRADING SARL               </t>
  </si>
  <si>
    <t>05007531054</t>
  </si>
  <si>
    <t>510873</t>
  </si>
  <si>
    <t xml:space="preserve">15763005       </t>
  </si>
  <si>
    <t xml:space="preserve">UNITE INDUSTRIELLE DE PLASTIQUES    </t>
  </si>
  <si>
    <t>05001576303</t>
  </si>
  <si>
    <t>492337</t>
  </si>
  <si>
    <t xml:space="preserve">15788705       </t>
  </si>
  <si>
    <t xml:space="preserve">MULTISERVICES                       </t>
  </si>
  <si>
    <t>06101578876</t>
  </si>
  <si>
    <t>498618</t>
  </si>
  <si>
    <t xml:space="preserve">OMAR DIONE                    </t>
  </si>
  <si>
    <t xml:space="preserve">15793905       </t>
  </si>
  <si>
    <t>COMPAGNIE SENEGALAISE DE DISTRIBUTIO</t>
  </si>
  <si>
    <t>05007939059</t>
  </si>
  <si>
    <t>531280</t>
  </si>
  <si>
    <t xml:space="preserve">MOHAMED N NDIAYE              </t>
  </si>
  <si>
    <t xml:space="preserve">15819505       </t>
  </si>
  <si>
    <t xml:space="preserve">SPEEDEX SARL                        </t>
  </si>
  <si>
    <t>06101581953</t>
  </si>
  <si>
    <t>480497</t>
  </si>
  <si>
    <t>491529</t>
  </si>
  <si>
    <t xml:space="preserve">25927362       </t>
  </si>
  <si>
    <t xml:space="preserve">OK PECHE SUARL                      </t>
  </si>
  <si>
    <t>06109273629</t>
  </si>
  <si>
    <t xml:space="preserve">MARIEME SOUGOU                </t>
  </si>
  <si>
    <t>525931</t>
  </si>
  <si>
    <t xml:space="preserve">25956400       </t>
  </si>
  <si>
    <t xml:space="preserve">LA LAITERIE DU BERGER               </t>
  </si>
  <si>
    <t>05009564004</t>
  </si>
  <si>
    <t>515769</t>
  </si>
  <si>
    <t xml:space="preserve">25964877       </t>
  </si>
  <si>
    <t xml:space="preserve">IFANGMONDY CONSULTING               </t>
  </si>
  <si>
    <t>06109648770</t>
  </si>
  <si>
    <t>508572</t>
  </si>
  <si>
    <t xml:space="preserve">AISSATOU KEBE EPOUSE DIENG    </t>
  </si>
  <si>
    <t xml:space="preserve">25983840       </t>
  </si>
  <si>
    <t xml:space="preserve">SIDICOM - SARL                      </t>
  </si>
  <si>
    <t>05009838408</t>
  </si>
  <si>
    <t>503351</t>
  </si>
  <si>
    <t>505565</t>
  </si>
  <si>
    <t xml:space="preserve">FATIMA CHAOUI                 </t>
  </si>
  <si>
    <t xml:space="preserve">25988207       </t>
  </si>
  <si>
    <t xml:space="preserve">MEDICUS                             </t>
  </si>
  <si>
    <t>13009882079</t>
  </si>
  <si>
    <t>495600</t>
  </si>
  <si>
    <t xml:space="preserve">26015351       </t>
  </si>
  <si>
    <t>SOCIETE DE DISTRIBUTION ET DE COMMER</t>
  </si>
  <si>
    <t>05000153518</t>
  </si>
  <si>
    <t>485164</t>
  </si>
  <si>
    <t>515427</t>
  </si>
  <si>
    <t xml:space="preserve">26032670       </t>
  </si>
  <si>
    <t xml:space="preserve">MADTRANS                            </t>
  </si>
  <si>
    <t>05000326700</t>
  </si>
  <si>
    <t>478445</t>
  </si>
  <si>
    <t xml:space="preserve">26037024       </t>
  </si>
  <si>
    <t xml:space="preserve">MANUFACTURES D'AFRIQUE SAU          </t>
  </si>
  <si>
    <t>05010370243</t>
  </si>
  <si>
    <t>507231</t>
  </si>
  <si>
    <t xml:space="preserve">26039915       </t>
  </si>
  <si>
    <t>COMPAGNIE MAMADOU NGONE AGRO-INDUSTR</t>
  </si>
  <si>
    <t>05000399152</t>
  </si>
  <si>
    <t>502857</t>
  </si>
  <si>
    <t xml:space="preserve">26042525       </t>
  </si>
  <si>
    <t xml:space="preserve">OSMOSE AUDIT ET CONSEILS SARL       </t>
  </si>
  <si>
    <t>06100425251</t>
  </si>
  <si>
    <t>476921</t>
  </si>
  <si>
    <t xml:space="preserve">26057767       </t>
  </si>
  <si>
    <t xml:space="preserve">VALPROSEN SUARL                     </t>
  </si>
  <si>
    <t>05000577674</t>
  </si>
  <si>
    <t>476772</t>
  </si>
  <si>
    <t xml:space="preserve">26057913       </t>
  </si>
  <si>
    <t xml:space="preserve">CLINIQUE DAROU SALAM                </t>
  </si>
  <si>
    <t>06200579130</t>
  </si>
  <si>
    <t>505855</t>
  </si>
  <si>
    <t xml:space="preserve">26058887       </t>
  </si>
  <si>
    <t xml:space="preserve">EAGLE DSS SAU                       </t>
  </si>
  <si>
    <t>05010588877</t>
  </si>
  <si>
    <t>476178</t>
  </si>
  <si>
    <t xml:space="preserve">26059205       </t>
  </si>
  <si>
    <t xml:space="preserve">FLEXEAU SA                          </t>
  </si>
  <si>
    <t>05000592053</t>
  </si>
  <si>
    <t>494584</t>
  </si>
  <si>
    <t xml:space="preserve">26059270       </t>
  </si>
  <si>
    <t xml:space="preserve">FALCON KITE DSS SAU                 </t>
  </si>
  <si>
    <t>05020592703</t>
  </si>
  <si>
    <t>476177</t>
  </si>
  <si>
    <t xml:space="preserve">26064944       </t>
  </si>
  <si>
    <t xml:space="preserve">SCI SONGEK                          </t>
  </si>
  <si>
    <t>06100649447</t>
  </si>
  <si>
    <t>487682</t>
  </si>
  <si>
    <t>357</t>
  </si>
  <si>
    <t xml:space="preserve">CLIPRO CLT EQUIPEMENT         </t>
  </si>
  <si>
    <t xml:space="preserve">26067241       </t>
  </si>
  <si>
    <t xml:space="preserve">SWAMI AGRI SAU                      </t>
  </si>
  <si>
    <t>05000672418</t>
  </si>
  <si>
    <t>500003</t>
  </si>
  <si>
    <t xml:space="preserve">26068228       </t>
  </si>
  <si>
    <t xml:space="preserve">KAAWAR KHALED                       </t>
  </si>
  <si>
    <t>05000682284</t>
  </si>
  <si>
    <t>491479</t>
  </si>
  <si>
    <t>515827</t>
  </si>
  <si>
    <t xml:space="preserve">26079622       </t>
  </si>
  <si>
    <t>AFRICAINE DE PRODUCTION AGRICOLE APA</t>
  </si>
  <si>
    <t>05000796225</t>
  </si>
  <si>
    <t>518213</t>
  </si>
  <si>
    <t xml:space="preserve">26087571       </t>
  </si>
  <si>
    <t xml:space="preserve">MUTUELLE DES AGENTS DE LA DIRECTION </t>
  </si>
  <si>
    <t>14700875719</t>
  </si>
  <si>
    <t>510044</t>
  </si>
  <si>
    <t>241</t>
  </si>
  <si>
    <t xml:space="preserve">C.M.T. CONSTRUCTION ADMINIST. </t>
  </si>
  <si>
    <t xml:space="preserve">26089508       </t>
  </si>
  <si>
    <t xml:space="preserve">HIPPOCRATE SASU                     </t>
  </si>
  <si>
    <t>06100895081</t>
  </si>
  <si>
    <t>519020</t>
  </si>
  <si>
    <t xml:space="preserve"> ALIOUNE BADARA SAKHO         </t>
  </si>
  <si>
    <t xml:space="preserve">26092861       </t>
  </si>
  <si>
    <t xml:space="preserve">GOLDEN AFRIK                        </t>
  </si>
  <si>
    <t>06100928619</t>
  </si>
  <si>
    <t>518134</t>
  </si>
  <si>
    <t xml:space="preserve">71001900       </t>
  </si>
  <si>
    <t xml:space="preserve">LA DAKAROISE D'EQUIPEMENT           </t>
  </si>
  <si>
    <t>05007100199</t>
  </si>
  <si>
    <t>487336</t>
  </si>
  <si>
    <t>502299</t>
  </si>
  <si>
    <t>524518</t>
  </si>
  <si>
    <t xml:space="preserve">71093505       </t>
  </si>
  <si>
    <t xml:space="preserve">COURS SAINTE MARIE DE HANN          </t>
  </si>
  <si>
    <t>05007109356</t>
  </si>
  <si>
    <t>491458</t>
  </si>
  <si>
    <t xml:space="preserve">PIERRE NDAW                   </t>
  </si>
  <si>
    <t xml:space="preserve">71111005       </t>
  </si>
  <si>
    <t xml:space="preserve">BAOBAB SENEGAL SA                   </t>
  </si>
  <si>
    <t>514190</t>
  </si>
  <si>
    <t>00900</t>
  </si>
  <si>
    <t xml:space="preserve">25929095       </t>
  </si>
  <si>
    <t xml:space="preserve">THIAM PAPE MAMADOU PLANETECOM EVENT </t>
  </si>
  <si>
    <t>06209290954</t>
  </si>
  <si>
    <t>509057</t>
  </si>
  <si>
    <t xml:space="preserve">FALL CHEIKH TIDIANE JEAN      </t>
  </si>
  <si>
    <t>01100</t>
  </si>
  <si>
    <t xml:space="preserve">24234611       </t>
  </si>
  <si>
    <t xml:space="preserve">EXCELLENCE AUTOMOBILES SARL         </t>
  </si>
  <si>
    <t>06202423467</t>
  </si>
  <si>
    <t>528340</t>
  </si>
  <si>
    <t xml:space="preserve">WRATCHET FOCK TITE            </t>
  </si>
  <si>
    <t xml:space="preserve">25940540       </t>
  </si>
  <si>
    <t xml:space="preserve">CABINET DENTAIRE DE LA PLACE OMVS   </t>
  </si>
  <si>
    <t>06209405400</t>
  </si>
  <si>
    <t>475151</t>
  </si>
  <si>
    <t xml:space="preserve">25949900       </t>
  </si>
  <si>
    <t xml:space="preserve">AFRIBAT ETUDES ET REALISATION SARL  </t>
  </si>
  <si>
    <t>06109499008</t>
  </si>
  <si>
    <t>492859</t>
  </si>
  <si>
    <t xml:space="preserve">25970847       </t>
  </si>
  <si>
    <t xml:space="preserve">DABAKH IMMOBILER                    </t>
  </si>
  <si>
    <t>06209708472</t>
  </si>
  <si>
    <t>525955</t>
  </si>
  <si>
    <t xml:space="preserve">26002353       </t>
  </si>
  <si>
    <t xml:space="preserve">TRANSPORT DJIBRIL AGNE              </t>
  </si>
  <si>
    <t>06100023534</t>
  </si>
  <si>
    <t>491643</t>
  </si>
  <si>
    <t xml:space="preserve">CDL MK                        </t>
  </si>
  <si>
    <t>508097</t>
  </si>
  <si>
    <t xml:space="preserve">26033356       </t>
  </si>
  <si>
    <t xml:space="preserve">CAPPUCCINE BUSINESS                 </t>
  </si>
  <si>
    <t>06100333560</t>
  </si>
  <si>
    <t>511398</t>
  </si>
  <si>
    <t xml:space="preserve">MAMADOU GAYE                  </t>
  </si>
  <si>
    <t xml:space="preserve">28725311       </t>
  </si>
  <si>
    <t xml:space="preserve">THIAW HAMIDOU                       </t>
  </si>
  <si>
    <t>05402872531</t>
  </si>
  <si>
    <t>493204</t>
  </si>
  <si>
    <t>508439</t>
  </si>
  <si>
    <t>01200</t>
  </si>
  <si>
    <t xml:space="preserve">39003912       </t>
  </si>
  <si>
    <t xml:space="preserve">AFRIQUE PARE-BRISE SARL "C.A.P"     </t>
  </si>
  <si>
    <t>05003900390</t>
  </si>
  <si>
    <t>492955</t>
  </si>
  <si>
    <t xml:space="preserve">39004412       </t>
  </si>
  <si>
    <t xml:space="preserve">PHARMACIE MAME MBOR                 </t>
  </si>
  <si>
    <t>13003900444</t>
  </si>
  <si>
    <t>494802</t>
  </si>
  <si>
    <t xml:space="preserve">MOUHAMADOU LAMINE NDIAYE      </t>
  </si>
  <si>
    <t xml:space="preserve">39020612       </t>
  </si>
  <si>
    <t xml:space="preserve">DIA MAMADOU                         </t>
  </si>
  <si>
    <t>06203902061</t>
  </si>
  <si>
    <t>476815</t>
  </si>
  <si>
    <t>01300</t>
  </si>
  <si>
    <t xml:space="preserve">26053536       </t>
  </si>
  <si>
    <t xml:space="preserve">TRAVAUX DU SAHEL SUARL              </t>
  </si>
  <si>
    <t>06110535366</t>
  </si>
  <si>
    <t>481928</t>
  </si>
  <si>
    <t xml:space="preserve">ABDOULAYE SIDIBE              </t>
  </si>
  <si>
    <t xml:space="preserve">26061228       </t>
  </si>
  <si>
    <t xml:space="preserve">PHARMACIE YAYE AMINATA              </t>
  </si>
  <si>
    <t>06100612282</t>
  </si>
  <si>
    <t>487144</t>
  </si>
  <si>
    <t>01400</t>
  </si>
  <si>
    <t xml:space="preserve">26063206       </t>
  </si>
  <si>
    <t xml:space="preserve">DIJA AND AISHA'S BEAUTY             </t>
  </si>
  <si>
    <t>06200632063</t>
  </si>
  <si>
    <t>486753</t>
  </si>
  <si>
    <t xml:space="preserve">Couro Thiam AGNE              </t>
  </si>
  <si>
    <t xml:space="preserve">26068572       </t>
  </si>
  <si>
    <t xml:space="preserve">NIANG THIERNO                       </t>
  </si>
  <si>
    <t>06200685723</t>
  </si>
  <si>
    <t>513960</t>
  </si>
  <si>
    <t xml:space="preserve">56396314       </t>
  </si>
  <si>
    <t xml:space="preserve">CLINIQUE MAIMOUNA SAS               </t>
  </si>
  <si>
    <t>06105639635</t>
  </si>
  <si>
    <t>510394</t>
  </si>
  <si>
    <t>524807</t>
  </si>
  <si>
    <t>01500</t>
  </si>
  <si>
    <t xml:space="preserve">08028300       </t>
  </si>
  <si>
    <t xml:space="preserve">CCIS                                </t>
  </si>
  <si>
    <t>05000802832</t>
  </si>
  <si>
    <t>516109</t>
  </si>
  <si>
    <t xml:space="preserve">08080100       </t>
  </si>
  <si>
    <t xml:space="preserve">SICAS                               </t>
  </si>
  <si>
    <t>05000808011</t>
  </si>
  <si>
    <t>488251</t>
  </si>
  <si>
    <t>509151</t>
  </si>
  <si>
    <t>528985</t>
  </si>
  <si>
    <t xml:space="preserve">08116000       </t>
  </si>
  <si>
    <t xml:space="preserve">D.H.F.                              </t>
  </si>
  <si>
    <t>05000811601</t>
  </si>
  <si>
    <t>481157</t>
  </si>
  <si>
    <t>503601</t>
  </si>
  <si>
    <t>514815</t>
  </si>
  <si>
    <t xml:space="preserve">08122915       </t>
  </si>
  <si>
    <t xml:space="preserve">SPN                                 </t>
  </si>
  <si>
    <t>05000812294</t>
  </si>
  <si>
    <t>480906</t>
  </si>
  <si>
    <t xml:space="preserve">08126815       </t>
  </si>
  <si>
    <t xml:space="preserve">KHOURY TRANSPT                      </t>
  </si>
  <si>
    <t>05000812682</t>
  </si>
  <si>
    <t>481295</t>
  </si>
  <si>
    <t>508196</t>
  </si>
  <si>
    <t>516650</t>
  </si>
  <si>
    <t xml:space="preserve">08137915       </t>
  </si>
  <si>
    <t xml:space="preserve">DMO                                 </t>
  </si>
  <si>
    <t>05000813797</t>
  </si>
  <si>
    <t>515185</t>
  </si>
  <si>
    <t xml:space="preserve">08141415       </t>
  </si>
  <si>
    <t xml:space="preserve">SILCAR                              </t>
  </si>
  <si>
    <t>05000814142</t>
  </si>
  <si>
    <t>487460</t>
  </si>
  <si>
    <t>502497</t>
  </si>
  <si>
    <t xml:space="preserve">08151615       </t>
  </si>
  <si>
    <t xml:space="preserve">MOUSSE DU SENEGAL                   </t>
  </si>
  <si>
    <t>05000815164</t>
  </si>
  <si>
    <t>491357</t>
  </si>
  <si>
    <t>505255</t>
  </si>
  <si>
    <t>515103</t>
  </si>
  <si>
    <t xml:space="preserve">08152115       </t>
  </si>
  <si>
    <t xml:space="preserve">SEN INTERIM                         </t>
  </si>
  <si>
    <t>05000815214</t>
  </si>
  <si>
    <t>485093</t>
  </si>
  <si>
    <t>499091</t>
  </si>
  <si>
    <t>519308</t>
  </si>
  <si>
    <t xml:space="preserve">08176615       </t>
  </si>
  <si>
    <t xml:space="preserve">DELPHINUS IMPORT EXPORT             </t>
  </si>
  <si>
    <t>05000817665</t>
  </si>
  <si>
    <t>477886</t>
  </si>
  <si>
    <t>480955</t>
  </si>
  <si>
    <t>229</t>
  </si>
  <si>
    <t xml:space="preserve">CLICOM CMT DIVERS             </t>
  </si>
  <si>
    <t xml:space="preserve">08186915       </t>
  </si>
  <si>
    <t xml:space="preserve">SOGEPAL                             </t>
  </si>
  <si>
    <t>05000818697</t>
  </si>
  <si>
    <t>500304</t>
  </si>
  <si>
    <t>500308</t>
  </si>
  <si>
    <t>525039</t>
  </si>
  <si>
    <t xml:space="preserve">08205115       </t>
  </si>
  <si>
    <t xml:space="preserve">SITCOM SARL                         </t>
  </si>
  <si>
    <t>05000820511</t>
  </si>
  <si>
    <t>486029</t>
  </si>
  <si>
    <t>508881</t>
  </si>
  <si>
    <t>01600</t>
  </si>
  <si>
    <t xml:space="preserve">00998200       </t>
  </si>
  <si>
    <t xml:space="preserve">SARR MOR MATY                       </t>
  </si>
  <si>
    <t>05400099821</t>
  </si>
  <si>
    <t>490893</t>
  </si>
  <si>
    <t>512087</t>
  </si>
  <si>
    <t xml:space="preserve">26006403       </t>
  </si>
  <si>
    <t xml:space="preserve">KITCHEN PRO SARL                    </t>
  </si>
  <si>
    <t>06100064032</t>
  </si>
  <si>
    <t>523168</t>
  </si>
  <si>
    <t xml:space="preserve">CHEIKH DJIBRIL FALL           </t>
  </si>
  <si>
    <t>01700</t>
  </si>
  <si>
    <t xml:space="preserve">00768312       </t>
  </si>
  <si>
    <t xml:space="preserve">BUREAU D'ETUDES TECHNIQUES PLUS S.A </t>
  </si>
  <si>
    <t>05000076839</t>
  </si>
  <si>
    <t>487958</t>
  </si>
  <si>
    <t xml:space="preserve">00787917       </t>
  </si>
  <si>
    <t>NDIAYE BADARA "PHARMACIE BOROM DARAD</t>
  </si>
  <si>
    <t>05400078799</t>
  </si>
  <si>
    <t>493995</t>
  </si>
  <si>
    <t xml:space="preserve">ZAKIA BEYE                    </t>
  </si>
  <si>
    <t xml:space="preserve">07934717       </t>
  </si>
  <si>
    <t xml:space="preserve">PHARMACIE NDOSS                     </t>
  </si>
  <si>
    <t>05400793470</t>
  </si>
  <si>
    <t>502462</t>
  </si>
  <si>
    <t xml:space="preserve">07941317       </t>
  </si>
  <si>
    <t xml:space="preserve">DIATTA BENOIT ABY TECHNOLOGIES CONS </t>
  </si>
  <si>
    <t>05400794130</t>
  </si>
  <si>
    <t>508675</t>
  </si>
  <si>
    <t xml:space="preserve">07943217       </t>
  </si>
  <si>
    <t xml:space="preserve">GAUDEL JOHAN RENE "L'ORTOLAN"       </t>
  </si>
  <si>
    <t>05400794320</t>
  </si>
  <si>
    <t>530861</t>
  </si>
  <si>
    <t xml:space="preserve">07959517       </t>
  </si>
  <si>
    <t xml:space="preserve">ALLO DENTISTE SOS DENTAIRE          </t>
  </si>
  <si>
    <t>13000795952</t>
  </si>
  <si>
    <t>475903</t>
  </si>
  <si>
    <t xml:space="preserve">07960217       </t>
  </si>
  <si>
    <t xml:space="preserve">CABINET MEDICAL CHAMS               </t>
  </si>
  <si>
    <t>13000796026</t>
  </si>
  <si>
    <t>493468</t>
  </si>
  <si>
    <t xml:space="preserve">25963925       </t>
  </si>
  <si>
    <t xml:space="preserve">SERHAN FATINE "BOULANGERIE AL NOUR" </t>
  </si>
  <si>
    <t>06209639252</t>
  </si>
  <si>
    <t>484598</t>
  </si>
  <si>
    <t>501860</t>
  </si>
  <si>
    <t xml:space="preserve">25988518       </t>
  </si>
  <si>
    <t xml:space="preserve">BIOMEDICAL ENGINEERING              </t>
  </si>
  <si>
    <t>06209885186</t>
  </si>
  <si>
    <t>510576</t>
  </si>
  <si>
    <t xml:space="preserve">25993201       </t>
  </si>
  <si>
    <t xml:space="preserve">SENESTUDIO ARCHITECTURE &amp; DESIGN    </t>
  </si>
  <si>
    <t>06109932013</t>
  </si>
  <si>
    <t>519479</t>
  </si>
  <si>
    <t xml:space="preserve">26024232       </t>
  </si>
  <si>
    <t xml:space="preserve">YEEG SAS                            </t>
  </si>
  <si>
    <t>06100242321</t>
  </si>
  <si>
    <t>508950</t>
  </si>
  <si>
    <t>511833</t>
  </si>
  <si>
    <t xml:space="preserve">26031132       </t>
  </si>
  <si>
    <t xml:space="preserve">SOYARA MODE SAS                     </t>
  </si>
  <si>
    <t>06100311324</t>
  </si>
  <si>
    <t>484996</t>
  </si>
  <si>
    <t>504583</t>
  </si>
  <si>
    <t xml:space="preserve">26037882       </t>
  </si>
  <si>
    <t xml:space="preserve">MEDIKA GROUP                        </t>
  </si>
  <si>
    <t>06100378828</t>
  </si>
  <si>
    <t>494217</t>
  </si>
  <si>
    <t xml:space="preserve">26040053       </t>
  </si>
  <si>
    <t xml:space="preserve">N2M DKR TRANSPORT                   </t>
  </si>
  <si>
    <t>05000400534</t>
  </si>
  <si>
    <t>497706</t>
  </si>
  <si>
    <t>515388</t>
  </si>
  <si>
    <t xml:space="preserve">26044730       </t>
  </si>
  <si>
    <t>CLINIQUE DENTAIRE MAME ABDOU AZIZ SY</t>
  </si>
  <si>
    <t>13000447307</t>
  </si>
  <si>
    <t>512423</t>
  </si>
  <si>
    <t xml:space="preserve">26052612       </t>
  </si>
  <si>
    <t xml:space="preserve">CLINIQUE AL AMINE                   </t>
  </si>
  <si>
    <t>13000526126</t>
  </si>
  <si>
    <t>485731</t>
  </si>
  <si>
    <t>485778</t>
  </si>
  <si>
    <t xml:space="preserve">26053762       </t>
  </si>
  <si>
    <t xml:space="preserve">HIJAB MASTOUR                       </t>
  </si>
  <si>
    <t>06100537621</t>
  </si>
  <si>
    <t>507042</t>
  </si>
  <si>
    <t xml:space="preserve">26071847       </t>
  </si>
  <si>
    <t xml:space="preserve">CLEANIC SARL                        </t>
  </si>
  <si>
    <t>06100718478</t>
  </si>
  <si>
    <t>511056</t>
  </si>
  <si>
    <t xml:space="preserve">26087083       </t>
  </si>
  <si>
    <t xml:space="preserve">CAR PARTS COMMERCIALS               </t>
  </si>
  <si>
    <t>06200870831</t>
  </si>
  <si>
    <t>509648</t>
  </si>
  <si>
    <t xml:space="preserve">45534317       </t>
  </si>
  <si>
    <t xml:space="preserve">DR MAMADOU MOUSTAPHA KINDE          </t>
  </si>
  <si>
    <t>13004553431</t>
  </si>
  <si>
    <t>523837</t>
  </si>
  <si>
    <t>01800</t>
  </si>
  <si>
    <t xml:space="preserve">60423303       </t>
  </si>
  <si>
    <t xml:space="preserve">SAHEL BATISSE ET EQUIPEMENT DIVERS  </t>
  </si>
  <si>
    <t>05406042334</t>
  </si>
  <si>
    <t xml:space="preserve">AMETH NIANG                   </t>
  </si>
  <si>
    <t>515651</t>
  </si>
  <si>
    <t>01900</t>
  </si>
  <si>
    <t xml:space="preserve">25928939       </t>
  </si>
  <si>
    <t xml:space="preserve">FAYE SOUKAYE                        </t>
  </si>
  <si>
    <t>06209289393</t>
  </si>
  <si>
    <t>507423</t>
  </si>
  <si>
    <t xml:space="preserve">AIDA ADANGNISSODE             </t>
  </si>
  <si>
    <t xml:space="preserve">25977080       </t>
  </si>
  <si>
    <t xml:space="preserve">DIENG BINETA                        </t>
  </si>
  <si>
    <t>06209770806</t>
  </si>
  <si>
    <t>491454</t>
  </si>
  <si>
    <t>515381</t>
  </si>
  <si>
    <t xml:space="preserve">37665219       </t>
  </si>
  <si>
    <t xml:space="preserve">PHARMACIE DU STADE  MOHAMED BA      </t>
  </si>
  <si>
    <t>13003766527</t>
  </si>
  <si>
    <t>531511</t>
  </si>
  <si>
    <t xml:space="preserve">37716719       </t>
  </si>
  <si>
    <t xml:space="preserve">DIOP MAMADOU                        </t>
  </si>
  <si>
    <t>06203771677</t>
  </si>
  <si>
    <t>505156</t>
  </si>
  <si>
    <t xml:space="preserve">37720219       </t>
  </si>
  <si>
    <t xml:space="preserve">BIJOUTERIE CHEZ DIOUF               </t>
  </si>
  <si>
    <t>06303772021</t>
  </si>
  <si>
    <t>515164</t>
  </si>
  <si>
    <t xml:space="preserve">37738419       </t>
  </si>
  <si>
    <t xml:space="preserve">SOW ABDOULAYE                       </t>
  </si>
  <si>
    <t>06203773848</t>
  </si>
  <si>
    <t>476007</t>
  </si>
  <si>
    <t>498683</t>
  </si>
  <si>
    <t>02000</t>
  </si>
  <si>
    <t xml:space="preserve">15802705       </t>
  </si>
  <si>
    <t xml:space="preserve">MEDICS SARL                         </t>
  </si>
  <si>
    <t>13008027055</t>
  </si>
  <si>
    <t>530667</t>
  </si>
  <si>
    <t xml:space="preserve">25948803       </t>
  </si>
  <si>
    <t xml:space="preserve"> MAMATH GAYE-SUARL                  </t>
  </si>
  <si>
    <t>06209488035</t>
  </si>
  <si>
    <t>516229</t>
  </si>
  <si>
    <t xml:space="preserve">25953264       </t>
  </si>
  <si>
    <t xml:space="preserve">NABI TRAITEUR                       </t>
  </si>
  <si>
    <t>06209532642</t>
  </si>
  <si>
    <t>502218</t>
  </si>
  <si>
    <t xml:space="preserve">26001179       </t>
  </si>
  <si>
    <t xml:space="preserve">LABOTECH SUARL                      </t>
  </si>
  <si>
    <t>06100011795</t>
  </si>
  <si>
    <t>489470</t>
  </si>
  <si>
    <t xml:space="preserve">26026454       </t>
  </si>
  <si>
    <t xml:space="preserve">NDIAYE MOUSTAPHA                    </t>
  </si>
  <si>
    <t>06200264542</t>
  </si>
  <si>
    <t>528792</t>
  </si>
  <si>
    <t xml:space="preserve">26054343       </t>
  </si>
  <si>
    <t xml:space="preserve">PRO AND SYS MARINE SERVICES         </t>
  </si>
  <si>
    <t>05400543432</t>
  </si>
  <si>
    <t>520369</t>
  </si>
  <si>
    <t xml:space="preserve">26057248       </t>
  </si>
  <si>
    <t xml:space="preserve">RADIOLOGIE MOBILE ZATIFA            </t>
  </si>
  <si>
    <t>13000572488</t>
  </si>
  <si>
    <t>478966</t>
  </si>
  <si>
    <t xml:space="preserve">26071139       </t>
  </si>
  <si>
    <t>URGENCES ET SOLUTIONS MEDICALES SUAR</t>
  </si>
  <si>
    <t>06100711394</t>
  </si>
  <si>
    <t>503622</t>
  </si>
  <si>
    <t xml:space="preserve">33089720       </t>
  </si>
  <si>
    <t xml:space="preserve">GROUPE SCOLAIRE LES PEDAGOGUES      </t>
  </si>
  <si>
    <t>05003308977</t>
  </si>
  <si>
    <t>521043</t>
  </si>
  <si>
    <t xml:space="preserve">33096020       </t>
  </si>
  <si>
    <t xml:space="preserve">SOLEIL VERT                         </t>
  </si>
  <si>
    <t>05003309603</t>
  </si>
  <si>
    <t>488213</t>
  </si>
  <si>
    <t>02200</t>
  </si>
  <si>
    <t xml:space="preserve">25974406       </t>
  </si>
  <si>
    <t xml:space="preserve">ABOU DIAW "AVENIR CONSTRUCTION"     </t>
  </si>
  <si>
    <t>06209744060</t>
  </si>
  <si>
    <t>474476</t>
  </si>
  <si>
    <t xml:space="preserve">25976989       </t>
  </si>
  <si>
    <t xml:space="preserve">BA MANAGEMENT GROUP SARL            </t>
  </si>
  <si>
    <t>06109769894</t>
  </si>
  <si>
    <t>477037</t>
  </si>
  <si>
    <t xml:space="preserve">26017742       </t>
  </si>
  <si>
    <t xml:space="preserve">SIDATH DIOP                         </t>
  </si>
  <si>
    <t>06200177427</t>
  </si>
  <si>
    <t>476224</t>
  </si>
  <si>
    <t>517690</t>
  </si>
  <si>
    <t xml:space="preserve">26063991       </t>
  </si>
  <si>
    <t xml:space="preserve">AKATECH SERVICES SARL               </t>
  </si>
  <si>
    <t>06100639914</t>
  </si>
  <si>
    <t>505916</t>
  </si>
  <si>
    <t xml:space="preserve">54825322       </t>
  </si>
  <si>
    <t xml:space="preserve">NOUDJI LEYE                         </t>
  </si>
  <si>
    <t>06205482533</t>
  </si>
  <si>
    <t>488007</t>
  </si>
  <si>
    <t>508408</t>
  </si>
  <si>
    <t xml:space="preserve">CDL FFD                       </t>
  </si>
  <si>
    <t>03000</t>
  </si>
  <si>
    <t xml:space="preserve">00208230       </t>
  </si>
  <si>
    <t xml:space="preserve">BOUZAID  JACQUELINE                 </t>
  </si>
  <si>
    <t>05400020828</t>
  </si>
  <si>
    <t>512302</t>
  </si>
  <si>
    <t xml:space="preserve">MBAYE NDIAYE                  </t>
  </si>
  <si>
    <t xml:space="preserve">09834830       </t>
  </si>
  <si>
    <t xml:space="preserve">SENGHOR SAMBA SARR                  </t>
  </si>
  <si>
    <t>05400983488</t>
  </si>
  <si>
    <t>525022</t>
  </si>
  <si>
    <t xml:space="preserve">25980887       </t>
  </si>
  <si>
    <t xml:space="preserve">ETS LO ET FRERES PIECES AUTO        </t>
  </si>
  <si>
    <t>06209808876</t>
  </si>
  <si>
    <t>492814</t>
  </si>
  <si>
    <t xml:space="preserve">26004285       </t>
  </si>
  <si>
    <t xml:space="preserve">CLINIQUE SARR                       </t>
  </si>
  <si>
    <t>13000042853</t>
  </si>
  <si>
    <t>497115</t>
  </si>
  <si>
    <t xml:space="preserve">26017333       </t>
  </si>
  <si>
    <t xml:space="preserve">GENIAL INTERIM SECURITE-APPRO SUARL </t>
  </si>
  <si>
    <t>06100173339</t>
  </si>
  <si>
    <t>485054</t>
  </si>
  <si>
    <t xml:space="preserve">26035494       </t>
  </si>
  <si>
    <t xml:space="preserve">ETABLISSEMENT KILIFEU SUARL         </t>
  </si>
  <si>
    <t>06100354947</t>
  </si>
  <si>
    <t>477718</t>
  </si>
  <si>
    <t xml:space="preserve">CDL FBG                       </t>
  </si>
  <si>
    <t xml:space="preserve">26078918       </t>
  </si>
  <si>
    <t>ENTREPRISES DE DISTRIBUTION ET SERVI</t>
  </si>
  <si>
    <t>06100789183</t>
  </si>
  <si>
    <t>495579</t>
  </si>
  <si>
    <t>509159</t>
  </si>
  <si>
    <t>520381</t>
  </si>
  <si>
    <t>03200</t>
  </si>
  <si>
    <t xml:space="preserve">23363632       </t>
  </si>
  <si>
    <t xml:space="preserve">ALLIANCE FRANCO SENEGALAISE         </t>
  </si>
  <si>
    <t>05502336367</t>
  </si>
  <si>
    <t>488387</t>
  </si>
  <si>
    <t xml:space="preserve">NDEYE NGALLA SY               </t>
  </si>
  <si>
    <t xml:space="preserve">26039620       </t>
  </si>
  <si>
    <t xml:space="preserve">DIADAME PHARMA SARL                 </t>
  </si>
  <si>
    <t>06100396209</t>
  </si>
  <si>
    <t>481225</t>
  </si>
  <si>
    <t>03500</t>
  </si>
  <si>
    <t xml:space="preserve">25966049       </t>
  </si>
  <si>
    <t>INSTITUT SUPERIEUR DES ETUDES TECHNO</t>
  </si>
  <si>
    <t>06109660491</t>
  </si>
  <si>
    <t>490305</t>
  </si>
  <si>
    <t xml:space="preserve">SIMON COLY                    </t>
  </si>
  <si>
    <t>510251</t>
  </si>
  <si>
    <t xml:space="preserve">40762935       </t>
  </si>
  <si>
    <t xml:space="preserve">KHADIM THIANE                       </t>
  </si>
  <si>
    <t>05404076296</t>
  </si>
  <si>
    <t>485884</t>
  </si>
  <si>
    <t xml:space="preserve">40780235       </t>
  </si>
  <si>
    <t xml:space="preserve">CHEIKH NGUER                        </t>
  </si>
  <si>
    <t>06204078029</t>
  </si>
  <si>
    <t>476310</t>
  </si>
  <si>
    <t xml:space="preserve">40781235       </t>
  </si>
  <si>
    <t xml:space="preserve">PHARMACIE MARIE DIAW                </t>
  </si>
  <si>
    <t>06104078129</t>
  </si>
  <si>
    <t>517879</t>
  </si>
  <si>
    <t>525433</t>
  </si>
  <si>
    <t>04000</t>
  </si>
  <si>
    <t xml:space="preserve">00084840       </t>
  </si>
  <si>
    <t xml:space="preserve">BARRY MAMADOU                       </t>
  </si>
  <si>
    <t>05400008483</t>
  </si>
  <si>
    <t>501637</t>
  </si>
  <si>
    <t>05000951215</t>
  </si>
  <si>
    <t>511172</t>
  </si>
  <si>
    <t xml:space="preserve">09529340       </t>
  </si>
  <si>
    <t xml:space="preserve">FALL DAME                           </t>
  </si>
  <si>
    <t>06200952938</t>
  </si>
  <si>
    <t>486601</t>
  </si>
  <si>
    <t xml:space="preserve">25949442       </t>
  </si>
  <si>
    <t>SOCIETE D'EMBOUTEILLAGE CASAMANCAISE</t>
  </si>
  <si>
    <t>05009494423</t>
  </si>
  <si>
    <t>488211</t>
  </si>
  <si>
    <t>521852</t>
  </si>
  <si>
    <t>529443</t>
  </si>
  <si>
    <t xml:space="preserve">26028591       </t>
  </si>
  <si>
    <t xml:space="preserve">PHARMACIE KENIA FIRDAWS             </t>
  </si>
  <si>
    <t>13000285915</t>
  </si>
  <si>
    <t>499746</t>
  </si>
  <si>
    <t xml:space="preserve">26032623       </t>
  </si>
  <si>
    <t xml:space="preserve">BILI KWIN                           </t>
  </si>
  <si>
    <t>06200326232</t>
  </si>
  <si>
    <t>478609</t>
  </si>
  <si>
    <t xml:space="preserve">26063956       </t>
  </si>
  <si>
    <t xml:space="preserve">ALAIN MENDY                         </t>
  </si>
  <si>
    <t>06100639569</t>
  </si>
  <si>
    <t>487719</t>
  </si>
  <si>
    <t xml:space="preserve">26063993       </t>
  </si>
  <si>
    <t xml:space="preserve">CLINIQUE DENTAIRE DE LA CASAMANCE   </t>
  </si>
  <si>
    <t>13000639939</t>
  </si>
  <si>
    <t>482313</t>
  </si>
  <si>
    <t xml:space="preserve">26065796       </t>
  </si>
  <si>
    <t xml:space="preserve">ABDOULAYE DIENG                     </t>
  </si>
  <si>
    <t>06100657967</t>
  </si>
  <si>
    <t>494747</t>
  </si>
  <si>
    <t>04600</t>
  </si>
  <si>
    <t xml:space="preserve">14516746       </t>
  </si>
  <si>
    <t xml:space="preserve">BARRY MAMADOU BARKINDO              </t>
  </si>
  <si>
    <t>05401451671</t>
  </si>
  <si>
    <t>482940</t>
  </si>
  <si>
    <t xml:space="preserve">14536846       </t>
  </si>
  <si>
    <t xml:space="preserve">PHARMACIE SIKILO                    </t>
  </si>
  <si>
    <t>13001453683</t>
  </si>
  <si>
    <t>485965</t>
  </si>
  <si>
    <t>06000</t>
  </si>
  <si>
    <t xml:space="preserve">25938948       </t>
  </si>
  <si>
    <t xml:space="preserve">JOSEPHINE I DIOGOBE NDIAYE          </t>
  </si>
  <si>
    <t>06209389486</t>
  </si>
  <si>
    <t>488773</t>
  </si>
  <si>
    <t xml:space="preserve">MOUHAMADOU MOUSTAPHA DIENG    </t>
  </si>
  <si>
    <t>508134</t>
  </si>
  <si>
    <t>528764</t>
  </si>
  <si>
    <t xml:space="preserve">25963870       </t>
  </si>
  <si>
    <t xml:space="preserve">ETUDE MAITRE OUMAR FATY             </t>
  </si>
  <si>
    <t>13009638708</t>
  </si>
  <si>
    <t>479922</t>
  </si>
  <si>
    <t xml:space="preserve">25972236       </t>
  </si>
  <si>
    <t xml:space="preserve">FERME PASTORALE NDAME LO            </t>
  </si>
  <si>
    <t>06109722364</t>
  </si>
  <si>
    <t>489045</t>
  </si>
  <si>
    <t xml:space="preserve">25991790       </t>
  </si>
  <si>
    <t xml:space="preserve">TOUT FAIRE GEOTECHNIQUE             </t>
  </si>
  <si>
    <t>06209917906</t>
  </si>
  <si>
    <t>508104</t>
  </si>
  <si>
    <t xml:space="preserve">26001200       </t>
  </si>
  <si>
    <t xml:space="preserve">DEX DESIGN SARL                     </t>
  </si>
  <si>
    <t>06100012005</t>
  </si>
  <si>
    <t>478911</t>
  </si>
  <si>
    <t xml:space="preserve">26067999       </t>
  </si>
  <si>
    <t xml:space="preserve">DAME FALL /FTC                      </t>
  </si>
  <si>
    <t>06200679992</t>
  </si>
  <si>
    <t>509996</t>
  </si>
  <si>
    <t xml:space="preserve">26092630       </t>
  </si>
  <si>
    <t xml:space="preserve">CABINET DE RADIOLOGIE ET D'IMAGERIE </t>
  </si>
  <si>
    <t>13000926300</t>
  </si>
  <si>
    <t>523871</t>
  </si>
  <si>
    <t xml:space="preserve">27515460       </t>
  </si>
  <si>
    <t xml:space="preserve">ABDOULAYE MBODJI                    </t>
  </si>
  <si>
    <t>06202751542</t>
  </si>
  <si>
    <t>489761</t>
  </si>
  <si>
    <t xml:space="preserve">27516560       </t>
  </si>
  <si>
    <t xml:space="preserve">PHARMACIE CHAMP DE COURSE           </t>
  </si>
  <si>
    <t>13002751656</t>
  </si>
  <si>
    <t>475039</t>
  </si>
  <si>
    <t xml:space="preserve">27530860       </t>
  </si>
  <si>
    <t xml:space="preserve">MASSAR DIOP                         </t>
  </si>
  <si>
    <t>06202753084</t>
  </si>
  <si>
    <t>511540</t>
  </si>
  <si>
    <t xml:space="preserve">27531360       </t>
  </si>
  <si>
    <t xml:space="preserve">PHARMACIE DES NIAYES                </t>
  </si>
  <si>
    <t>13002753132</t>
  </si>
  <si>
    <t>525532</t>
  </si>
  <si>
    <t>06100</t>
  </si>
  <si>
    <t xml:space="preserve">25938728       </t>
  </si>
  <si>
    <t xml:space="preserve">ABDOU SOW                           </t>
  </si>
  <si>
    <t>06209387280</t>
  </si>
  <si>
    <t>477624</t>
  </si>
  <si>
    <t xml:space="preserve">ALASSANE DJIGO                </t>
  </si>
  <si>
    <t>505915</t>
  </si>
  <si>
    <t xml:space="preserve">26027082       </t>
  </si>
  <si>
    <t xml:space="preserve">GIE JPA                             </t>
  </si>
  <si>
    <t>06100270825</t>
  </si>
  <si>
    <t>526776</t>
  </si>
  <si>
    <t xml:space="preserve">26049326       </t>
  </si>
  <si>
    <t xml:space="preserve">GIE TRANSPORTEURS COMMU DE DIAMA    </t>
  </si>
  <si>
    <t>14000493265</t>
  </si>
  <si>
    <t>497458</t>
  </si>
  <si>
    <t xml:space="preserve">26100541       </t>
  </si>
  <si>
    <t xml:space="preserve">POLE MEDICAL MODERNE  DE SAINT LOUI </t>
  </si>
  <si>
    <t>06101005410</t>
  </si>
  <si>
    <t>528477</t>
  </si>
  <si>
    <t xml:space="preserve">52217061       </t>
  </si>
  <si>
    <t xml:space="preserve">GUEYE MADIENE                       </t>
  </si>
  <si>
    <t>05405221707</t>
  </si>
  <si>
    <t>491453</t>
  </si>
  <si>
    <t xml:space="preserve">52318361       </t>
  </si>
  <si>
    <t xml:space="preserve">SOCIETE DE CULTURES LEGUMIERES      </t>
  </si>
  <si>
    <t>05005231833</t>
  </si>
  <si>
    <t>499912</t>
  </si>
  <si>
    <t>528309</t>
  </si>
  <si>
    <t xml:space="preserve">52427161       </t>
  </si>
  <si>
    <t xml:space="preserve">LABM BIO NDAR SARL                  </t>
  </si>
  <si>
    <t>13005242719</t>
  </si>
  <si>
    <t>483325</t>
  </si>
  <si>
    <t xml:space="preserve">52508761       </t>
  </si>
  <si>
    <t xml:space="preserve">CHEIKH GUEYE                        </t>
  </si>
  <si>
    <t>06105250871</t>
  </si>
  <si>
    <t>499889</t>
  </si>
  <si>
    <t>06200</t>
  </si>
  <si>
    <t xml:space="preserve">26032742       </t>
  </si>
  <si>
    <t xml:space="preserve">NDIAYE MALICK CHERIF                </t>
  </si>
  <si>
    <t>06200327424</t>
  </si>
  <si>
    <t>477503</t>
  </si>
  <si>
    <t>510252</t>
  </si>
  <si>
    <t xml:space="preserve">26056540       </t>
  </si>
  <si>
    <t xml:space="preserve">GESTE                               </t>
  </si>
  <si>
    <t>06200565403</t>
  </si>
  <si>
    <t>493949</t>
  </si>
  <si>
    <t>06400</t>
  </si>
  <si>
    <t xml:space="preserve">25926941       </t>
  </si>
  <si>
    <t xml:space="preserve">WADE MAMADOU                        </t>
  </si>
  <si>
    <t>06209269417</t>
  </si>
  <si>
    <t>485003</t>
  </si>
  <si>
    <t xml:space="preserve">26045942       </t>
  </si>
  <si>
    <t xml:space="preserve">DOCTEUR DIOUMA DIARRA               </t>
  </si>
  <si>
    <t>13000459429</t>
  </si>
  <si>
    <t>519956</t>
  </si>
  <si>
    <t xml:space="preserve">26058582       </t>
  </si>
  <si>
    <t xml:space="preserve">CARDIOLAB SUARL                     </t>
  </si>
  <si>
    <t>13000585827</t>
  </si>
  <si>
    <t>483707</t>
  </si>
  <si>
    <t xml:space="preserve">55009264       </t>
  </si>
  <si>
    <t xml:space="preserve">DIA SAIDOU                          </t>
  </si>
  <si>
    <t>05405500922</t>
  </si>
  <si>
    <t>528335</t>
  </si>
  <si>
    <t xml:space="preserve">55393364       </t>
  </si>
  <si>
    <t>INSTITUT SUPERIEUR DE SANTE DE MBOUR</t>
  </si>
  <si>
    <t>05505539333</t>
  </si>
  <si>
    <t>484758</t>
  </si>
  <si>
    <t xml:space="preserve">55491464       </t>
  </si>
  <si>
    <t xml:space="preserve">AMADOU NIANG                        </t>
  </si>
  <si>
    <t>06205549143</t>
  </si>
  <si>
    <t>502286</t>
  </si>
  <si>
    <t xml:space="preserve">55507564       </t>
  </si>
  <si>
    <t xml:space="preserve">DJIBY CISS                          </t>
  </si>
  <si>
    <t>06205550752</t>
  </si>
  <si>
    <t>488603</t>
  </si>
  <si>
    <t xml:space="preserve">55509964       </t>
  </si>
  <si>
    <t xml:space="preserve">MANSOUR MARONE                      </t>
  </si>
  <si>
    <t>06205550992</t>
  </si>
  <si>
    <t>481916</t>
  </si>
  <si>
    <t xml:space="preserve">SEYNABOU BADIANE              </t>
  </si>
  <si>
    <t>11200</t>
  </si>
  <si>
    <t xml:space="preserve">25955248       </t>
  </si>
  <si>
    <t xml:space="preserve"> NDIAYE  MAMADOU                    </t>
  </si>
  <si>
    <t>06209552488</t>
  </si>
  <si>
    <t>518715</t>
  </si>
  <si>
    <t xml:space="preserve">32560711       </t>
  </si>
  <si>
    <t xml:space="preserve">PHARMACIE YEUMBEULOISE              </t>
  </si>
  <si>
    <t>13003256076</t>
  </si>
  <si>
    <t>491833</t>
  </si>
  <si>
    <t>11300</t>
  </si>
  <si>
    <t xml:space="preserve">25950322       </t>
  </si>
  <si>
    <t xml:space="preserve">BUSINESS UNIT                       </t>
  </si>
  <si>
    <t>06209503224</t>
  </si>
  <si>
    <t>497781</t>
  </si>
  <si>
    <t xml:space="preserve">25960704       </t>
  </si>
  <si>
    <t xml:space="preserve">SENETT SARL                         </t>
  </si>
  <si>
    <t>06109607042</t>
  </si>
  <si>
    <t>477465</t>
  </si>
  <si>
    <t xml:space="preserve">35192011       </t>
  </si>
  <si>
    <t xml:space="preserve">LES PETITES MAINS SARL              </t>
  </si>
  <si>
    <t>06103519201</t>
  </si>
  <si>
    <t>502947</t>
  </si>
  <si>
    <t>11500</t>
  </si>
  <si>
    <t xml:space="preserve">25987490       </t>
  </si>
  <si>
    <t xml:space="preserve">DELICES DE FEMMES                   </t>
  </si>
  <si>
    <t>06109874902</t>
  </si>
  <si>
    <t>489522</t>
  </si>
  <si>
    <t>11700</t>
  </si>
  <si>
    <t xml:space="preserve">25951660       </t>
  </si>
  <si>
    <t xml:space="preserve">CLINIQUE MEDICALE KEUR MARIE-SARL   </t>
  </si>
  <si>
    <t>13009516605</t>
  </si>
  <si>
    <t>523803</t>
  </si>
  <si>
    <t>531732</t>
  </si>
  <si>
    <t xml:space="preserve">26008174       </t>
  </si>
  <si>
    <t xml:space="preserve">IPM SOTRAVA                         </t>
  </si>
  <si>
    <t>14000081748</t>
  </si>
  <si>
    <t>509357</t>
  </si>
  <si>
    <t>505822</t>
  </si>
  <si>
    <t xml:space="preserve">26035062       </t>
  </si>
  <si>
    <t xml:space="preserve">KANEL SUARL                         </t>
  </si>
  <si>
    <t>05000350620</t>
  </si>
  <si>
    <t>491211</t>
  </si>
  <si>
    <t>516435</t>
  </si>
  <si>
    <t xml:space="preserve">26037510       </t>
  </si>
  <si>
    <t xml:space="preserve">CLINIQUE EL HADJI OMAR SUARL        </t>
  </si>
  <si>
    <t>13000375100</t>
  </si>
  <si>
    <t>503779</t>
  </si>
  <si>
    <t>11800</t>
  </si>
  <si>
    <t xml:space="preserve">26017788       </t>
  </si>
  <si>
    <t xml:space="preserve">AGENCE VITAMINES SENEGAL SARL       </t>
  </si>
  <si>
    <t>06100177887</t>
  </si>
  <si>
    <t>494434</t>
  </si>
  <si>
    <t>11900</t>
  </si>
  <si>
    <t xml:space="preserve">18641919       </t>
  </si>
  <si>
    <t xml:space="preserve">NDIAYE MBAYE                        </t>
  </si>
  <si>
    <t>06201864191</t>
  </si>
  <si>
    <t>497889</t>
  </si>
  <si>
    <t xml:space="preserve">25992789       </t>
  </si>
  <si>
    <t xml:space="preserve">CLINIQUE ABSA GRAND MBAO            </t>
  </si>
  <si>
    <t>13009927899</t>
  </si>
  <si>
    <t>507426</t>
  </si>
  <si>
    <t xml:space="preserve">26028413       </t>
  </si>
  <si>
    <t xml:space="preserve">BOUBACAR DIALLO                     </t>
  </si>
  <si>
    <t>06200284136</t>
  </si>
  <si>
    <t>480372</t>
  </si>
  <si>
    <t>16000</t>
  </si>
  <si>
    <t xml:space="preserve">26036134       </t>
  </si>
  <si>
    <t xml:space="preserve">ENTREPRISE MALICK MBENGUE           </t>
  </si>
  <si>
    <t>06200361342</t>
  </si>
  <si>
    <t>500560</t>
  </si>
  <si>
    <t>16100</t>
  </si>
  <si>
    <t xml:space="preserve">26052440       </t>
  </si>
  <si>
    <t xml:space="preserve">SAGAYE SERVICES  SUARL              </t>
  </si>
  <si>
    <t>06110524409</t>
  </si>
  <si>
    <t>507223</t>
  </si>
  <si>
    <t xml:space="preserve">52935516       </t>
  </si>
  <si>
    <t xml:space="preserve">COURS PRIVES "LES CRACKS"           </t>
  </si>
  <si>
    <t>06205293555</t>
  </si>
  <si>
    <t>527505</t>
  </si>
  <si>
    <t>21300</t>
  </si>
  <si>
    <t xml:space="preserve">26037739       </t>
  </si>
  <si>
    <t xml:space="preserve">CIEM SUARL                          </t>
  </si>
  <si>
    <t>06100377395</t>
  </si>
  <si>
    <t>510808</t>
  </si>
  <si>
    <t>515433</t>
  </si>
  <si>
    <t xml:space="preserve">26065346       </t>
  </si>
  <si>
    <t xml:space="preserve">BODY MEDICAL REPAIR                 </t>
  </si>
  <si>
    <t>06200653463</t>
  </si>
  <si>
    <t>501466</t>
  </si>
  <si>
    <t xml:space="preserve">35953721       </t>
  </si>
  <si>
    <t xml:space="preserve">ARAIGNEE SAS                        </t>
  </si>
  <si>
    <t>06103595373</t>
  </si>
  <si>
    <t>502594</t>
  </si>
  <si>
    <t>522878</t>
  </si>
  <si>
    <t>21800</t>
  </si>
  <si>
    <t xml:space="preserve">26010818       </t>
  </si>
  <si>
    <t xml:space="preserve">BARRY ISMAILA PHARMACIE RAYHANA     </t>
  </si>
  <si>
    <t>13000108184</t>
  </si>
  <si>
    <t>477887</t>
  </si>
  <si>
    <t xml:space="preserve">65274821       </t>
  </si>
  <si>
    <t xml:space="preserve">BOULANGERIE PATISSERIE NDAMLOR      </t>
  </si>
  <si>
    <t>06206527488</t>
  </si>
  <si>
    <t>506928</t>
  </si>
  <si>
    <t xml:space="preserve">65306721       </t>
  </si>
  <si>
    <t xml:space="preserve">MAR NDEYE NDOUMBE                   </t>
  </si>
  <si>
    <t>06206530672</t>
  </si>
  <si>
    <t>498158</t>
  </si>
  <si>
    <t>514649</t>
  </si>
  <si>
    <t>26200</t>
  </si>
  <si>
    <t xml:space="preserve">25926442       </t>
  </si>
  <si>
    <t xml:space="preserve">IDRISSA  DIOKHANE                   </t>
  </si>
  <si>
    <t>06209264426</t>
  </si>
  <si>
    <t>483533</t>
  </si>
  <si>
    <t xml:space="preserve">25961812       </t>
  </si>
  <si>
    <t xml:space="preserve">ABDOU FALL                          </t>
  </si>
  <si>
    <t>06209618126</t>
  </si>
  <si>
    <t>500106</t>
  </si>
  <si>
    <t xml:space="preserve">26050936       </t>
  </si>
  <si>
    <t xml:space="preserve">MBAYE MOUSTAPHA                     </t>
  </si>
  <si>
    <t>06200509365</t>
  </si>
  <si>
    <t>480928</t>
  </si>
  <si>
    <t xml:space="preserve">51617726       </t>
  </si>
  <si>
    <t xml:space="preserve">DIOP ALIOU                          </t>
  </si>
  <si>
    <t>06205161774</t>
  </si>
  <si>
    <t>502380</t>
  </si>
  <si>
    <t>31400</t>
  </si>
  <si>
    <t xml:space="preserve">26067168       </t>
  </si>
  <si>
    <t xml:space="preserve">EXOTICA MARKET                      </t>
  </si>
  <si>
    <t>05000671689</t>
  </si>
  <si>
    <t>488921</t>
  </si>
  <si>
    <t>41100</t>
  </si>
  <si>
    <t xml:space="preserve">25969692       </t>
  </si>
  <si>
    <t xml:space="preserve">ADAMA AICHA THIOYE SALL             </t>
  </si>
  <si>
    <t>06209696927</t>
  </si>
  <si>
    <t>515377</t>
  </si>
  <si>
    <t xml:space="preserve">26058001       </t>
  </si>
  <si>
    <t xml:space="preserve">DAKAR SEA FOOD                      </t>
  </si>
  <si>
    <t>06100580014</t>
  </si>
  <si>
    <t>515346</t>
  </si>
  <si>
    <t xml:space="preserve">26081818       </t>
  </si>
  <si>
    <t xml:space="preserve">GAYE ABDOU                          </t>
  </si>
  <si>
    <t>06200818181</t>
  </si>
  <si>
    <t>503713</t>
  </si>
  <si>
    <t>41200</t>
  </si>
  <si>
    <t xml:space="preserve">25960489       </t>
  </si>
  <si>
    <t xml:space="preserve"> DIGRAF                             </t>
  </si>
  <si>
    <t>06209604895</t>
  </si>
  <si>
    <t>511924</t>
  </si>
  <si>
    <t xml:space="preserve">26009371       </t>
  </si>
  <si>
    <t xml:space="preserve">CABINET MEDICAL YAYE ARAME NDIAYE   </t>
  </si>
  <si>
    <t>06200093718</t>
  </si>
  <si>
    <t>487795</t>
  </si>
  <si>
    <t xml:space="preserve">26069913       </t>
  </si>
  <si>
    <t xml:space="preserve">MISSIRA DIADIE DIOP &amp; FRERES SUARL  </t>
  </si>
  <si>
    <t>06200699134</t>
  </si>
  <si>
    <t>518706</t>
  </si>
  <si>
    <t>Type de Garantie</t>
  </si>
  <si>
    <t xml:space="preserve">SWAMI AGRI SAU </t>
  </si>
  <si>
    <t xml:space="preserve">AFRICAN INTERNATIONAL SCHOOL - SA </t>
  </si>
  <si>
    <t xml:space="preserve">COMPAGNIE MAMADOU NGONE AGRO-INDUSTR </t>
  </si>
  <si>
    <t xml:space="preserve">SENEGALAISE D'IMPORTATION ET DE DIST </t>
  </si>
  <si>
    <t xml:space="preserve">KHOURY TRANSPT </t>
  </si>
  <si>
    <t xml:space="preserve">LA LAITERIE DU BERGER </t>
  </si>
  <si>
    <t xml:space="preserve">SOCIETE DE DISTRIBUTION ET DE COMMER </t>
  </si>
  <si>
    <t xml:space="preserve">YEEG SAS </t>
  </si>
  <si>
    <t xml:space="preserve">COMPAGNIE MAMADOU NGONE SUARL </t>
  </si>
  <si>
    <t xml:space="preserve">WEST AFRIC PHARMA SA </t>
  </si>
  <si>
    <t xml:space="preserve">SAKARA SARL </t>
  </si>
  <si>
    <t xml:space="preserve">ENTREPRISE DA ROSA </t>
  </si>
  <si>
    <t xml:space="preserve">DANIEL HADDAD ET FILS </t>
  </si>
  <si>
    <t xml:space="preserve">MADTRANS </t>
  </si>
  <si>
    <t xml:space="preserve">BOIS FER TRADING SARL </t>
  </si>
  <si>
    <t xml:space="preserve">EMINENCE MOTORS GARANTEE SA </t>
  </si>
  <si>
    <t xml:space="preserve">COMPAGNIE SENEGALAISE DE DISTRIBUTIO </t>
  </si>
  <si>
    <t xml:space="preserve">PRICEWATERHOUSECOOPERS TAX &amp; LEGAL </t>
  </si>
  <si>
    <t xml:space="preserve">SOSEPROM </t>
  </si>
  <si>
    <t xml:space="preserve">MOUSSE DU SENEGAL </t>
  </si>
  <si>
    <t xml:space="preserve">SENEVISA SA </t>
  </si>
  <si>
    <t xml:space="preserve">SOCIETE D'EMBOUTEILLAGE CASAMANCAISE </t>
  </si>
  <si>
    <t xml:space="preserve">VALPROSEN SUARL </t>
  </si>
  <si>
    <t xml:space="preserve">EVASION MARINE SA </t>
  </si>
  <si>
    <t xml:space="preserve">SPN </t>
  </si>
  <si>
    <t xml:space="preserve">DELPHINUS IMPORT EXPORT </t>
  </si>
  <si>
    <t xml:space="preserve">CABINET EDE INTERNATIONAL </t>
  </si>
  <si>
    <t xml:space="preserve">GUEYE MADIENE </t>
  </si>
  <si>
    <t xml:space="preserve">XPERBM SA </t>
  </si>
  <si>
    <t xml:space="preserve">KHADIM THIANE </t>
  </si>
  <si>
    <t xml:space="preserve">AFRIQUE PARE-BRISE SARL "C.A.P" </t>
  </si>
  <si>
    <t xml:space="preserve">INTERNATIONAL TRADING AND SHIPPING </t>
  </si>
  <si>
    <t xml:space="preserve">LE ROND POINT SARL </t>
  </si>
  <si>
    <t xml:space="preserve">IDEA MOBILIER </t>
  </si>
  <si>
    <t xml:space="preserve">SYBEL COSMETIC </t>
  </si>
  <si>
    <t xml:space="preserve">SILCAR </t>
  </si>
  <si>
    <t xml:space="preserve">ETS MAHMOUD MEROUEH ET CIE </t>
  </si>
  <si>
    <t xml:space="preserve">SOCIETE AFRICAINE DE BOIS </t>
  </si>
  <si>
    <t xml:space="preserve">GIE GAINDE 2000 </t>
  </si>
  <si>
    <t xml:space="preserve">SPEEDY SERVICES SENEGAL SARL </t>
  </si>
  <si>
    <t xml:space="preserve">SCRUPULDOS SARL </t>
  </si>
  <si>
    <t xml:space="preserve">GROUPE DELTA - SARL </t>
  </si>
  <si>
    <t xml:space="preserve">CMD NEGOCE </t>
  </si>
  <si>
    <t xml:space="preserve">KAAWAR KHALED </t>
  </si>
  <si>
    <t xml:space="preserve">SOLEIL VERT </t>
  </si>
  <si>
    <t xml:space="preserve">AMERGER CASAMANCE </t>
  </si>
  <si>
    <t xml:space="preserve">ABDOULAYE MBODJI </t>
  </si>
  <si>
    <t xml:space="preserve">JOKE COOL SA </t>
  </si>
  <si>
    <t xml:space="preserve">HOBALLAH NAGI </t>
  </si>
  <si>
    <t xml:space="preserve">ARMEMENT NEAU SA </t>
  </si>
  <si>
    <t>CLICOM CMT EQUIPEMENT</t>
  </si>
  <si>
    <t xml:space="preserve">LETICIA WOTHOR                </t>
  </si>
  <si>
    <t>GI</t>
  </si>
  <si>
    <t>GP</t>
  </si>
  <si>
    <t>test</t>
  </si>
  <si>
    <t>Total général</t>
  </si>
  <si>
    <t>2021</t>
  </si>
  <si>
    <t>2022</t>
  </si>
  <si>
    <t>2023</t>
  </si>
  <si>
    <t>Commisions  de 2021</t>
  </si>
  <si>
    <t>Commissions de 2022</t>
  </si>
  <si>
    <t>Commissions  de 2023</t>
  </si>
  <si>
    <t>Commissions de 2024</t>
  </si>
  <si>
    <t>Nombre de  Client</t>
  </si>
  <si>
    <t>2017</t>
  </si>
  <si>
    <t>2018</t>
  </si>
  <si>
    <t>2019</t>
  </si>
  <si>
    <t>2020</t>
  </si>
  <si>
    <t>Commission de 2021</t>
  </si>
  <si>
    <t>Commissions de 2023</t>
  </si>
  <si>
    <t>Clients Embarques PME &amp; PRO</t>
  </si>
  <si>
    <t>Clients Non Embarques PME</t>
  </si>
  <si>
    <t xml:space="preserve">  Montant du pret</t>
  </si>
  <si>
    <t xml:space="preserve"> Montant du pret</t>
  </si>
  <si>
    <t>% Comm/Pret</t>
  </si>
  <si>
    <t>Total Commissions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</si>
</sst>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d\/mm\/yyyy"/>
    <numFmt numFmtId="165" formatCode="#,##0.00\ _€"/>
    <numFmt numFmtId="166" formatCode="_-* #,##0.00\ _€_-;\-* #,##0.00\ _€_-;_-* &quot;-&quot;??\ _€_-;_-@_-"/>
  </numFmts>
  <fonts count="7" x14ac:knownFonts="1">
    <font>
      <sz val="10"/>
      <color rgb="FF000000"/>
      <name val="Arial"/>
    </font>
    <font>
      <sz val="6"/>
      <color rgb="FF000000"/>
      <name val="Arial"/>
    </font>
    <font>
      <b/>
      <sz val="9"/>
      <color rgb="FFFFFFFF"/>
      <name val="Arial"/>
    </font>
    <font>
      <sz val="9"/>
      <color rgb="FF000000"/>
      <name val="Arial"/>
    </font>
    <font>
      <sz val="10"/>
      <color rgb="FF000000"/>
      <name val="Arial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5175B9"/>
        <bgColor rgb="FFFFFFFF"/>
      </patternFill>
    </fill>
    <fill>
      <patternFill patternType="solid">
        <fgColor rgb="FFF0F0F4"/>
        <bgColor rgb="FFFFFFFF"/>
      </patternFill>
    </fill>
    <fill>
      <patternFill patternType="solid">
        <fgColor theme="9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5"/>
        <bgColor rgb="FFFFFFFF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rgb="FFCACAD9"/>
      </left>
      <right style="thin">
        <color rgb="FFCACAD9"/>
      </right>
      <top style="thin">
        <color rgb="FFCACAD9"/>
      </top>
      <bottom style="thin">
        <color rgb="FFCACA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left"/>
    </xf>
    <xf numFmtId="49" fontId="2" fillId="3" borderId="1" xfId="0" applyNumberFormat="1" applyFont="1" applyFill="1" applyBorder="1" applyAlignment="1">
      <alignment horizontal="left"/>
    </xf>
    <xf numFmtId="49" fontId="3" fillId="4" borderId="2" xfId="0" applyNumberFormat="1" applyFont="1" applyFill="1" applyBorder="1" applyAlignment="1">
      <alignment horizontal="left"/>
    </xf>
    <xf numFmtId="164" fontId="3" fillId="4" borderId="2" xfId="0" applyNumberFormat="1" applyFont="1" applyFill="1" applyBorder="1" applyAlignment="1">
      <alignment horizontal="left"/>
    </xf>
    <xf numFmtId="0" fontId="3" fillId="4" borderId="2" xfId="0" applyFont="1" applyFill="1" applyBorder="1" applyAlignment="1">
      <alignment horizontal="right"/>
    </xf>
    <xf numFmtId="49" fontId="3" fillId="2" borderId="2" xfId="0" applyNumberFormat="1" applyFont="1" applyFill="1" applyBorder="1" applyAlignment="1">
      <alignment horizontal="left"/>
    </xf>
    <xf numFmtId="164" fontId="3" fillId="2" borderId="2" xfId="0" applyNumberFormat="1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43" fontId="2" fillId="3" borderId="1" xfId="1" applyFont="1" applyFill="1" applyBorder="1" applyAlignment="1">
      <alignment horizontal="left"/>
    </xf>
    <xf numFmtId="43" fontId="3" fillId="4" borderId="2" xfId="1" applyFont="1" applyFill="1" applyBorder="1" applyAlignment="1">
      <alignment horizontal="right"/>
    </xf>
    <xf numFmtId="43" fontId="3" fillId="2" borderId="2" xfId="1" applyFont="1" applyFill="1" applyBorder="1" applyAlignment="1">
      <alignment horizontal="right"/>
    </xf>
    <xf numFmtId="43" fontId="1" fillId="2" borderId="0" xfId="1" applyFont="1" applyFill="1" applyAlignment="1">
      <alignment horizontal="left"/>
    </xf>
    <xf numFmtId="43" fontId="0" fillId="0" borderId="0" xfId="1" applyFont="1"/>
    <xf numFmtId="43" fontId="3" fillId="4" borderId="2" xfId="1" applyFont="1" applyFill="1" applyBorder="1" applyAlignment="1">
      <alignment horizontal="left"/>
    </xf>
    <xf numFmtId="49" fontId="2" fillId="5" borderId="1" xfId="0" applyNumberFormat="1" applyFont="1" applyFill="1" applyBorder="1" applyAlignment="1">
      <alignment horizontal="left"/>
    </xf>
    <xf numFmtId="164" fontId="3" fillId="5" borderId="2" xfId="0" applyNumberFormat="1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0" fillId="6" borderId="0" xfId="0" applyFill="1"/>
    <xf numFmtId="0" fontId="3" fillId="4" borderId="2" xfId="1" applyNumberFormat="1" applyFont="1" applyFill="1" applyBorder="1" applyAlignment="1">
      <alignment horizontal="left"/>
    </xf>
    <xf numFmtId="0" fontId="3" fillId="7" borderId="2" xfId="1" applyNumberFormat="1" applyFont="1" applyFill="1" applyBorder="1" applyAlignment="1">
      <alignment horizontal="center"/>
    </xf>
    <xf numFmtId="14" fontId="0" fillId="0" borderId="0" xfId="0" applyNumberFormat="1"/>
    <xf numFmtId="49" fontId="2" fillId="3" borderId="1" xfId="0" applyNumberFormat="1" applyFont="1" applyFill="1" applyBorder="1" applyAlignment="1">
      <alignment horizontal="left" wrapText="1"/>
    </xf>
    <xf numFmtId="43" fontId="3" fillId="7" borderId="2" xfId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166" fontId="0" fillId="0" borderId="0" xfId="0" applyNumberFormat="1"/>
    <xf numFmtId="0" fontId="0" fillId="0" borderId="3" xfId="0" applyBorder="1"/>
    <xf numFmtId="43" fontId="0" fillId="0" borderId="3" xfId="1" applyFont="1" applyBorder="1"/>
    <xf numFmtId="0" fontId="6" fillId="0" borderId="3" xfId="0" applyFont="1" applyBorder="1"/>
    <xf numFmtId="43" fontId="6" fillId="0" borderId="3" xfId="1" applyFont="1" applyBorder="1"/>
    <xf numFmtId="0" fontId="5" fillId="8" borderId="3" xfId="0" applyFont="1" applyFill="1" applyBorder="1"/>
    <xf numFmtId="43" fontId="5" fillId="8" borderId="3" xfId="1" applyFont="1" applyFill="1" applyBorder="1"/>
    <xf numFmtId="0" fontId="0" fillId="0" borderId="0" xfId="0" applyAlignment="1">
      <alignment horizontal="center" vertical="center" wrapText="1"/>
    </xf>
    <xf numFmtId="0" fontId="5" fillId="6" borderId="3" xfId="0" applyFont="1" applyFill="1" applyBorder="1"/>
    <xf numFmtId="43" fontId="5" fillId="6" borderId="3" xfId="1" applyFont="1" applyFill="1" applyBorder="1"/>
    <xf numFmtId="43" fontId="5" fillId="8" borderId="3" xfId="1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 wrapText="1"/>
    </xf>
    <xf numFmtId="43" fontId="6" fillId="0" borderId="3" xfId="0" applyNumberFormat="1" applyFont="1" applyBorder="1" applyAlignment="1">
      <alignment horizontal="center"/>
    </xf>
    <xf numFmtId="43" fontId="0" fillId="0" borderId="3" xfId="0" applyNumberFormat="1" applyBorder="1" applyAlignment="1">
      <alignment horizontal="center"/>
    </xf>
    <xf numFmtId="43" fontId="5" fillId="8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3" xfId="0" applyFont="1" applyFill="1" applyBorder="1" applyAlignment="1">
      <alignment horizontal="center" vertical="center" wrapText="1"/>
    </xf>
    <xf numFmtId="43" fontId="6" fillId="6" borderId="3" xfId="1" applyFont="1" applyFill="1" applyBorder="1" applyAlignment="1">
      <alignment horizontal="center" vertical="center" wrapText="1"/>
    </xf>
    <xf numFmtId="9" fontId="6" fillId="0" borderId="3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9" fontId="5" fillId="8" borderId="3" xfId="2" applyFont="1" applyFill="1" applyBorder="1" applyAlignment="1">
      <alignment horizontal="center"/>
    </xf>
    <xf numFmtId="9" fontId="5" fillId="6" borderId="3" xfId="2" applyFont="1" applyFill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32.886229745367" createdVersion="8" refreshedVersion="8" minRefreshableVersion="3" recordCount="17" xr:uid="{F8F2A145-0239-408E-A61C-F304AAE38604}">
  <cacheSource type="worksheet">
    <worksheetSource ref="A1:Z18" sheet="Clt Non Embarques"/>
  </cacheSource>
  <cacheFields count="29">
    <cacheField name="Code agence" numFmtId="0">
      <sharedItems containsNonDate="0" containsString="0" containsBlank="1"/>
    </cacheField>
    <cacheField name="Numero Client" numFmtId="0">
      <sharedItems containsSemiMixedTypes="0" containsString="0" containsNumber="1" containsInteger="1" minValue="15187000" maxValue="26101422"/>
    </cacheField>
    <cacheField name="Nom" numFmtId="0">
      <sharedItems/>
    </cacheField>
    <cacheField name="Prenom client" numFmtId="0">
      <sharedItems containsNonDate="0" containsString="0" containsBlank="1"/>
    </cacheField>
    <cacheField name="Date de naissance" numFmtId="0">
      <sharedItems containsNonDate="0" containsString="0" containsBlank="1"/>
    </cacheField>
    <cacheField name="Compte de remboursement" numFmtId="0">
      <sharedItems containsNonDate="0" containsString="0" containsBlank="1"/>
    </cacheField>
    <cacheField name="N? dossier" numFmtId="0">
      <sharedItems containsNonDate="0" containsString="0" containsBlank="1"/>
    </cacheField>
    <cacheField name="N? d'avenant" numFmtId="0">
      <sharedItems containsNonDate="0" containsString="0" containsBlank="1"/>
    </cacheField>
    <cacheField name="Date de mise en place" numFmtId="14">
      <sharedItems containsSemiMixedTypes="0" containsNonDate="0" containsDate="1" containsString="0" minDate="2017-06-19T00:00:00" maxDate="2024-05-08T00:00:00" count="32">
        <d v="2022-10-07T00:00:00"/>
        <d v="2023-12-21T00:00:00"/>
        <d v="2022-12-21T00:00:00"/>
        <d v="2018-10-02T00:00:00"/>
        <d v="2017-06-19T00:00:00"/>
        <d v="2020-09-29T00:00:00"/>
        <d v="2019-07-22T00:00:00"/>
        <d v="2020-11-10T00:00:00"/>
        <d v="2020-12-22T00:00:00"/>
        <d v="2018-01-26T00:00:00"/>
        <d v="2018-03-29T00:00:00"/>
        <d v="2020-07-15T00:00:00"/>
        <d v="2022-12-08T00:00:00"/>
        <d v="2020-03-13T00:00:00"/>
        <d v="2023-04-12T00:00:00"/>
        <d v="2024-01-08T00:00:00" u="1"/>
        <d v="2024-01-25T00:00:00" u="1"/>
        <d v="2024-04-26T00:00:00" u="1"/>
        <d v="2024-05-07T00:00:00" u="1"/>
        <d v="2024-03-04T00:00:00" u="1"/>
        <d v="2023-11-07T00:00:00" u="1"/>
        <d v="2023-12-04T00:00:00" u="1"/>
        <d v="2023-08-11T00:00:00" u="1"/>
        <d v="2024-05-03T00:00:00" u="1"/>
        <d v="2023-06-15T00:00:00" u="1"/>
        <d v="2023-08-29T00:00:00" u="1"/>
        <d v="2023-10-12T00:00:00" u="1"/>
        <d v="2023-09-27T00:00:00" u="1"/>
        <d v="2024-02-15T00:00:00" u="1"/>
        <d v="2024-04-09T00:00:00" u="1"/>
        <d v="2023-11-14T00:00:00" u="1"/>
        <d v="2024-05-01T00:00:00" u="1"/>
      </sharedItems>
      <fieldGroup par="28"/>
    </cacheField>
    <cacheField name="Type de pret" numFmtId="0">
      <sharedItems/>
    </cacheField>
    <cacheField name="Libelle type de pret" numFmtId="0">
      <sharedItems/>
    </cacheField>
    <cacheField name="Nombre d'echeance du pret" numFmtId="0">
      <sharedItems containsSemiMixedTypes="0" containsString="0" containsNumber="1" containsInteger="1" minValue="24" maxValue="94"/>
    </cacheField>
    <cacheField name="Montant du pret" numFmtId="43">
      <sharedItems containsSemiMixedTypes="0" containsString="0" containsNumber="1" containsInteger="1" minValue="46500000" maxValue="2100000000"/>
    </cacheField>
    <cacheField name="Montant de l'echeance constante" numFmtId="0">
      <sharedItems containsNonDate="0" containsString="0" containsBlank="1"/>
    </cacheField>
    <cacheField name="Taux d'interet" numFmtId="0">
      <sharedItems containsNonDate="0" containsString="0" containsBlank="1"/>
    </cacheField>
    <cacheField name="Etat du dossier" numFmtId="0">
      <sharedItems containsNonDate="0" containsString="0" containsBlank="1"/>
    </cacheField>
    <cacheField name="Date 1ere echeance" numFmtId="0">
      <sharedItems containsNonDate="0" containsString="0" containsBlank="1"/>
    </cacheField>
    <cacheField name="Date de derniere echeance" numFmtId="14">
      <sharedItems containsSemiMixedTypes="0" containsNonDate="0" containsDate="1" containsString="0" minDate="2024-06-19T00:00:00" maxDate="2028-09-08T00:00:00"/>
    </cacheField>
    <cacheField name="Date de tombee du pret" numFmtId="0">
      <sharedItems containsNonDate="0" containsString="0" containsBlank="1"/>
    </cacheField>
    <cacheField name="Code traitement" numFmtId="0">
      <sharedItems containsNonDate="0" containsString="0" containsBlank="1"/>
    </cacheField>
    <cacheField name="Nom gestionnaire" numFmtId="0">
      <sharedItems/>
    </cacheField>
    <cacheField name="2024" numFmtId="43">
      <sharedItems containsSemiMixedTypes="0" containsString="0" containsNumber="1" minValue="0" maxValue="48270422.535211273"/>
    </cacheField>
    <cacheField name="2023" numFmtId="43">
      <sharedItems containsSemiMixedTypes="0" containsString="0" containsNumber="1" minValue="1251625" maxValue="60338028.169014089"/>
    </cacheField>
    <cacheField name="2022" numFmtId="43">
      <sharedItems containsSemiMixedTypes="0" containsString="0" containsNumber="1" minValue="0" maxValue="34694366.197183102"/>
    </cacheField>
    <cacheField name="2021" numFmtId="43">
      <sharedItems containsSemiMixedTypes="0" containsString="0" containsNumber="1" minValue="0" maxValue="27527710.843373496"/>
    </cacheField>
    <cacheField name="Type de Garantie" numFmtId="0">
      <sharedItems count="2">
        <s v="GI"/>
        <s v="GP"/>
      </sharedItems>
    </cacheField>
    <cacheField name="Mois (Date de mise en place)" numFmtId="0" databaseField="0">
      <fieldGroup base="8">
        <rangePr groupBy="months" startDate="2017-06-19T00:00:00" endDate="2023-12-22T00:00:00"/>
        <groupItems count="14">
          <s v="&lt;19/06/2017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22/12/2023"/>
        </groupItems>
      </fieldGroup>
    </cacheField>
    <cacheField name="Trimestres (Date de mise en place)" numFmtId="0" databaseField="0">
      <fieldGroup base="8">
        <rangePr groupBy="quarters" startDate="2017-06-19T00:00:00" endDate="2023-12-22T00:00:00"/>
        <groupItems count="6">
          <s v="&lt;19/06/2017"/>
          <s v="Trimestre1"/>
          <s v="Trimestre2"/>
          <s v="Trimestre3"/>
          <s v="Trimestre4"/>
          <s v="&gt;22/12/2023"/>
        </groupItems>
      </fieldGroup>
    </cacheField>
    <cacheField name="Années (Date de mise en place)" numFmtId="0" databaseField="0">
      <fieldGroup base="8">
        <rangePr groupBy="years" startDate="2017-06-19T00:00:00" endDate="2023-12-22T00:00:00"/>
        <groupItems count="9">
          <s v="&lt;19/06/2017"/>
          <s v="2017"/>
          <s v="2018"/>
          <s v="2019"/>
          <s v="2020"/>
          <s v="2021"/>
          <s v="2022"/>
          <s v="2023"/>
          <s v="&gt;22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32.890195949076" createdVersion="8" refreshedVersion="8" minRefreshableVersion="3" recordCount="259" xr:uid="{ACFA5D57-90E6-41FE-9AAA-BC2393F0E97D}">
  <cacheSource type="worksheet">
    <worksheetSource ref="A1:Z260" sheet="Clt Embarques"/>
  </cacheSource>
  <cacheFields count="32">
    <cacheField name="Code agence" numFmtId="49">
      <sharedItems/>
    </cacheField>
    <cacheField name="Numero Client" numFmtId="49">
      <sharedItems/>
    </cacheField>
    <cacheField name="Nom" numFmtId="49">
      <sharedItems/>
    </cacheField>
    <cacheField name="Prenom client" numFmtId="49">
      <sharedItems/>
    </cacheField>
    <cacheField name="Date de naissance" numFmtId="164">
      <sharedItems containsNonDate="0" containsDate="1" containsString="0" containsBlank="1" minDate="1945-05-10T00:00:00" maxDate="1979-04-16T00:00:00"/>
    </cacheField>
    <cacheField name="Compte de remboursement" numFmtId="49">
      <sharedItems/>
    </cacheField>
    <cacheField name="N? dossier" numFmtId="49">
      <sharedItems/>
    </cacheField>
    <cacheField name="N? d'avenant" numFmtId="0">
      <sharedItems containsSemiMixedTypes="0" containsString="0" containsNumber="1" containsInteger="1" minValue="0" maxValue="1"/>
    </cacheField>
    <cacheField name="Date de mise en place" numFmtId="164">
      <sharedItems containsSemiMixedTypes="0" containsNonDate="0" containsDate="1" containsString="0" minDate="2021-01-11T00:00:00" maxDate="2023-12-30T00:00:00" count="206">
        <d v="2022-12-30T00:00:00"/>
        <d v="2022-09-22T00:00:00"/>
        <d v="2022-12-16T00:00:00"/>
        <d v="2022-10-07T00:00:00"/>
        <d v="2023-06-27T00:00:00"/>
        <d v="2022-04-22T00:00:00"/>
        <d v="2022-11-24T00:00:00"/>
        <d v="2022-06-30T00:00:00"/>
        <d v="2023-04-19T00:00:00"/>
        <d v="2023-11-24T00:00:00"/>
        <d v="2023-06-06T00:00:00"/>
        <d v="2023-05-19T00:00:00"/>
        <d v="2023-12-05T00:00:00"/>
        <d v="2022-11-08T00:00:00"/>
        <d v="2022-09-30T00:00:00"/>
        <d v="2021-10-11T00:00:00"/>
        <d v="2023-10-18T00:00:00"/>
        <d v="2023-03-15T00:00:00"/>
        <d v="2023-12-14T00:00:00"/>
        <d v="2022-03-11T00:00:00"/>
        <d v="2023-09-15T00:00:00"/>
        <d v="2021-12-23T00:00:00"/>
        <d v="2021-09-17T00:00:00"/>
        <d v="2021-05-07T00:00:00"/>
        <d v="2023-11-23T00:00:00"/>
        <d v="2023-05-23T00:00:00"/>
        <d v="2023-02-21T00:00:00"/>
        <d v="2021-05-12T00:00:00"/>
        <d v="2021-06-28T00:00:00"/>
        <d v="2023-09-14T00:00:00"/>
        <d v="2022-01-14T00:00:00"/>
        <d v="2021-04-30T00:00:00"/>
        <d v="2023-04-25T00:00:00"/>
        <d v="2022-12-07T00:00:00"/>
        <d v="2023-05-25T00:00:00"/>
        <d v="2021-01-11T00:00:00"/>
        <d v="2022-02-01T00:00:00"/>
        <d v="2022-06-15T00:00:00"/>
        <d v="2023-12-29T00:00:00"/>
        <d v="2021-09-02T00:00:00"/>
        <d v="2023-12-20T00:00:00"/>
        <d v="2021-04-14T00:00:00"/>
        <d v="2021-12-15T00:00:00"/>
        <d v="2022-12-08T00:00:00"/>
        <d v="2023-11-02T00:00:00"/>
        <d v="2023-12-01T00:00:00"/>
        <d v="2023-06-20T00:00:00"/>
        <d v="2022-11-23T00:00:00"/>
        <d v="2021-07-08T00:00:00"/>
        <d v="2023-02-22T00:00:00"/>
        <d v="2023-03-22T00:00:00"/>
        <d v="2022-12-27T00:00:00"/>
        <d v="2022-08-01T00:00:00"/>
        <d v="2021-04-09T00:00:00"/>
        <d v="2021-03-03T00:00:00"/>
        <d v="2023-05-26T00:00:00"/>
        <d v="2021-10-29T00:00:00"/>
        <d v="2023-01-23T00:00:00"/>
        <d v="2021-08-04T00:00:00"/>
        <d v="2023-11-03T00:00:00"/>
        <d v="2023-05-10T00:00:00"/>
        <d v="2021-09-23T00:00:00"/>
        <d v="2023-02-16T00:00:00"/>
        <d v="2022-12-02T00:00:00"/>
        <d v="2022-11-17T00:00:00"/>
        <d v="2023-09-21T00:00:00"/>
        <d v="2023-12-15T00:00:00"/>
        <d v="2021-10-25T00:00:00"/>
        <d v="2021-03-11T00:00:00"/>
        <d v="2023-06-08T00:00:00"/>
        <d v="2022-04-01T00:00:00"/>
        <d v="2023-07-07T00:00:00"/>
        <d v="2023-08-29T00:00:00"/>
        <d v="2022-12-21T00:00:00"/>
        <d v="2021-02-04T00:00:00"/>
        <d v="2023-10-13T00:00:00"/>
        <d v="2021-12-14T00:00:00"/>
        <d v="2021-01-14T00:00:00"/>
        <d v="2021-09-29T00:00:00"/>
        <d v="2022-11-15T00:00:00"/>
        <d v="2023-10-16T00:00:00"/>
        <d v="2021-12-17T00:00:00"/>
        <d v="2023-10-30T00:00:00"/>
        <d v="2023-03-27T00:00:00"/>
        <d v="2022-12-09T00:00:00"/>
        <d v="2023-03-08T00:00:00"/>
        <d v="2021-10-28T00:00:00"/>
        <d v="2023-10-23T00:00:00"/>
        <d v="2021-12-16T00:00:00"/>
        <d v="2023-06-16T00:00:00"/>
        <d v="2023-07-27T00:00:00"/>
        <d v="2023-11-13T00:00:00"/>
        <d v="2022-09-05T00:00:00"/>
        <d v="2023-04-20T00:00:00"/>
        <d v="2022-12-13T00:00:00"/>
        <d v="2022-04-27T00:00:00"/>
        <d v="2023-05-20T00:00:00"/>
        <d v="2023-08-31T00:00:00"/>
        <d v="2023-09-07T00:00:00"/>
        <d v="2023-02-09T00:00:00"/>
        <d v="2022-08-09T00:00:00"/>
        <d v="2023-12-21T00:00:00"/>
        <d v="2023-07-26T00:00:00"/>
        <d v="2022-08-12T00:00:00"/>
        <d v="2022-03-03T00:00:00"/>
        <d v="2022-01-05T00:00:00"/>
        <d v="2021-08-25T00:00:00"/>
        <d v="2021-09-20T00:00:00"/>
        <d v="2022-03-09T00:00:00"/>
        <d v="2023-03-01T00:00:00"/>
        <d v="2021-09-30T00:00:00"/>
        <d v="2021-02-22T00:00:00"/>
        <d v="2021-02-18T00:00:00"/>
        <d v="2021-11-29T00:00:00"/>
        <d v="2022-07-29T00:00:00"/>
        <d v="2022-11-02T00:00:00"/>
        <d v="2022-08-26T00:00:00"/>
        <d v="2022-11-25T00:00:00"/>
        <d v="2023-06-23T00:00:00"/>
        <d v="2023-01-16T00:00:00"/>
        <d v="2021-05-20T00:00:00"/>
        <d v="2021-07-06T00:00:00"/>
        <d v="2023-01-24T00:00:00"/>
        <d v="2023-11-21T00:00:00"/>
        <d v="2023-09-22T00:00:00"/>
        <d v="2022-08-23T00:00:00"/>
        <d v="2022-07-15T00:00:00"/>
        <d v="2022-12-23T00:00:00"/>
        <d v="2022-05-30T00:00:00"/>
        <d v="2022-03-18T00:00:00"/>
        <d v="2022-05-05T00:00:00"/>
        <d v="2023-05-05T00:00:00"/>
        <d v="2023-08-08T00:00:00"/>
        <d v="2022-11-10T00:00:00"/>
        <d v="2022-07-01T00:00:00"/>
        <d v="2023-12-11T00:00:00"/>
        <d v="2022-12-28T00:00:00"/>
        <d v="2022-07-06T00:00:00"/>
        <d v="2023-01-30T00:00:00"/>
        <d v="2022-02-23T00:00:00"/>
        <d v="2021-09-10T00:00:00"/>
        <d v="2022-06-21T00:00:00"/>
        <d v="2021-09-21T00:00:00"/>
        <d v="2022-06-17T00:00:00"/>
        <d v="2021-06-07T00:00:00"/>
        <d v="2023-01-18T00:00:00"/>
        <d v="2021-05-04T00:00:00"/>
        <d v="2022-06-02T00:00:00"/>
        <d v="2022-02-18T00:00:00"/>
        <d v="2021-06-14T00:00:00"/>
        <d v="2021-06-25T00:00:00"/>
        <d v="2021-04-22T00:00:00"/>
        <d v="2022-02-17T00:00:00"/>
        <d v="2021-02-03T00:00:00"/>
        <d v="2021-12-24T00:00:00"/>
        <d v="2021-09-08T00:00:00"/>
        <d v="2022-08-02T00:00:00"/>
        <d v="2022-02-14T00:00:00"/>
        <d v="2021-05-26T00:00:00"/>
        <d v="2021-08-16T00:00:00"/>
        <d v="2023-01-06T00:00:00"/>
        <d v="2021-05-05T00:00:00"/>
        <d v="2021-07-13T00:00:00"/>
        <d v="2022-06-10T00:00:00"/>
        <d v="2023-07-17T00:00:00"/>
        <d v="2021-08-05T00:00:00"/>
        <d v="2021-11-30T00:00:00"/>
        <d v="2021-01-15T00:00:00"/>
        <d v="2023-03-06T00:00:00"/>
        <d v="2021-06-30T00:00:00"/>
        <d v="2023-02-13T00:00:00"/>
        <d v="2023-05-04T00:00:00"/>
        <d v="2021-01-19T00:00:00"/>
        <d v="2021-11-02T00:00:00"/>
        <d v="2021-04-07T00:00:00"/>
        <d v="2023-08-09T00:00:00"/>
        <d v="2021-09-16T00:00:00"/>
        <d v="2022-01-27T00:00:00"/>
        <d v="2022-05-20T00:00:00"/>
        <d v="2021-03-23T00:00:00"/>
        <d v="2022-03-31T00:00:00"/>
        <d v="2021-07-16T00:00:00"/>
        <d v="2023-11-16T00:00:00"/>
        <d v="2022-07-14T00:00:00"/>
        <d v="2021-03-17T00:00:00"/>
        <d v="2021-06-08T00:00:00"/>
        <d v="2021-07-20T00:00:00"/>
        <d v="2021-10-15T00:00:00"/>
        <d v="2021-04-16T00:00:00"/>
        <d v="2021-03-26T00:00:00"/>
        <d v="2023-03-07T00:00:00"/>
        <d v="2021-03-10T00:00:00"/>
        <d v="2022-10-19T00:00:00"/>
        <d v="2021-06-18T00:00:00"/>
        <d v="2022-03-04T00:00:00"/>
        <d v="2021-07-05T00:00:00"/>
        <d v="2022-03-14T00:00:00"/>
        <d v="2022-05-06T00:00:00"/>
        <d v="2021-02-26T00:00:00"/>
        <d v="2022-03-08T00:00:00"/>
        <d v="2021-04-19T00:00:00"/>
        <d v="2022-05-13T00:00:00"/>
        <d v="2021-06-16T00:00:00"/>
        <d v="2021-05-06T00:00:00"/>
        <d v="2023-04-28T00:00:00"/>
        <d v="2023-07-13T00:00:00"/>
      </sharedItems>
      <fieldGroup par="31"/>
    </cacheField>
    <cacheField name="Type de pret" numFmtId="49">
      <sharedItems/>
    </cacheField>
    <cacheField name="Libelle type de pret" numFmtId="49">
      <sharedItems/>
    </cacheField>
    <cacheField name="Nombre d'echeance du pret" numFmtId="0">
      <sharedItems containsSemiMixedTypes="0" containsString="0" containsNumber="1" containsInteger="1" minValue="1" maxValue="120"/>
    </cacheField>
    <cacheField name="Montant du pret" numFmtId="43">
      <sharedItems containsSemiMixedTypes="0" containsString="0" containsNumber="1" containsInteger="1" minValue="1000000" maxValue="7500000000"/>
    </cacheField>
    <cacheField name="Montant de l'echeance constante" numFmtId="0">
      <sharedItems containsSemiMixedTypes="0" containsString="0" containsNumber="1" containsInteger="1" minValue="0" maxValue="5142723379"/>
    </cacheField>
    <cacheField name="Taux d'interet" numFmtId="0">
      <sharedItems containsSemiMixedTypes="0" containsString="0" containsNumber="1" minValue="5.5" maxValue="12"/>
    </cacheField>
    <cacheField name="Etat du dossier" numFmtId="49">
      <sharedItems/>
    </cacheField>
    <cacheField name="Date 1ere echeance" numFmtId="164">
      <sharedItems containsSemiMixedTypes="0" containsNonDate="0" containsDate="1" containsString="0" minDate="2021-02-14T00:00:00" maxDate="2025-02-19T00:00:00" count="217">
        <d v="2024-03-30T00:00:00"/>
        <d v="2022-10-22T00:00:00"/>
        <d v="2023-06-16T00:00:00"/>
        <d v="2023-10-07T00:00:00"/>
        <d v="2023-07-27T00:00:00"/>
        <d v="2023-05-22T00:00:00"/>
        <d v="2022-12-24T00:00:00"/>
        <d v="2023-01-30T00:00:00"/>
        <d v="2023-11-19T00:00:00"/>
        <d v="2023-12-24T00:00:00"/>
        <d v="2023-07-06T00:00:00"/>
        <d v="2023-06-19T00:00:00"/>
        <d v="2022-07-30T00:00:00"/>
        <d v="2024-12-05T00:00:00"/>
        <d v="2022-12-08T00:00:00"/>
        <d v="2022-10-30T00:00:00"/>
        <d v="2022-11-11T00:00:00"/>
        <d v="2023-11-18T00:00:00"/>
        <d v="2023-04-15T00:00:00"/>
        <d v="2024-06-14T00:00:00"/>
        <d v="2022-04-11T00:00:00"/>
        <d v="2024-10-15T00:00:00"/>
        <d v="2022-01-23T00:00:00"/>
        <d v="2022-01-17T00:00:00"/>
        <d v="2021-06-07T00:00:00"/>
        <d v="2024-12-23T00:00:00"/>
        <d v="2023-06-23T00:00:00"/>
        <d v="2023-03-21T00:00:00"/>
        <d v="2022-06-12T00:00:00"/>
        <d v="2021-08-28T00:00:00"/>
        <d v="2023-10-14T00:00:00"/>
        <d v="2022-02-14T00:00:00"/>
        <d v="2021-05-30T00:00:00"/>
        <d v="2023-05-25T00:00:00"/>
        <d v="2023-01-07T00:00:00"/>
        <d v="2023-06-25T00:00:00"/>
        <d v="2022-01-11T00:00:00"/>
        <d v="2022-03-01T00:00:00"/>
        <d v="2022-07-15T00:00:00"/>
        <d v="2024-01-29T00:00:00"/>
        <d v="2022-04-02T00:00:00"/>
        <d v="2024-01-20T00:00:00"/>
        <d v="2021-05-14T00:00:00"/>
        <d v="2022-01-15T00:00:00"/>
        <d v="2023-01-15T00:00:00"/>
        <d v="2023-12-02T00:00:00"/>
        <d v="2024-01-01T00:00:00"/>
        <d v="2023-12-23T00:00:00"/>
        <d v="2022-02-08T00:00:00"/>
        <d v="2023-03-22T00:00:00"/>
        <d v="2023-04-22T00:00:00"/>
        <d v="2023-01-27T00:00:00"/>
        <d v="2022-09-01T00:00:00"/>
        <d v="2021-11-09T00:00:00"/>
        <d v="2021-04-03T00:00:00"/>
        <d v="2023-12-26T00:00:00"/>
        <d v="2022-06-29T00:00:00"/>
        <d v="2023-02-01T00:00:00"/>
        <d v="2021-09-04T00:00:00"/>
        <d v="2024-06-03T00:00:00"/>
        <d v="2023-06-10T00:00:00"/>
        <d v="2023-09-25T00:00:00"/>
        <d v="2022-04-23T00:00:00"/>
        <d v="2023-03-16T00:00:00"/>
        <d v="2023-07-02T00:00:00"/>
        <d v="2022-12-17T00:00:00"/>
        <d v="2024-10-21T00:00:00"/>
        <d v="2024-01-15T00:00:00"/>
        <d v="2021-11-25T00:00:00"/>
        <d v="2021-10-23T00:00:00"/>
        <d v="2021-04-11T00:00:00"/>
        <d v="2024-10-14T00:00:00"/>
        <d v="2023-07-08T00:00:00"/>
        <d v="2022-12-23T00:00:00"/>
        <d v="2022-11-01T00:00:00"/>
        <d v="2024-02-07T00:00:00"/>
        <d v="2023-09-29T00:00:00"/>
        <d v="2023-01-21T00:00:00"/>
        <d v="2021-03-04T00:00:00"/>
        <d v="2023-11-13T00:00:00"/>
        <d v="2022-01-14T00:00:00"/>
        <d v="2021-02-14T00:00:00"/>
        <d v="2021-10-29T00:00:00"/>
        <d v="2022-12-15T00:00:00"/>
        <d v="2023-11-16T00:00:00"/>
        <d v="2022-03-17T00:00:00"/>
        <d v="2023-11-30T00:00:00"/>
        <d v="2023-06-26T00:00:00"/>
        <d v="2023-04-27T00:00:00"/>
        <d v="2023-01-09T00:00:00"/>
        <d v="2023-04-08T00:00:00"/>
        <d v="2021-11-28T00:00:00"/>
        <d v="2023-11-23T00:00:00"/>
        <d v="2022-01-16T00:00:00"/>
        <d v="2023-07-16T00:00:00"/>
        <d v="2023-11-27T00:00:00"/>
        <d v="2023-12-13T00:00:00"/>
        <d v="2022-10-05T00:00:00"/>
        <d v="2023-10-20T00:00:00"/>
        <d v="2023-01-13T00:00:00"/>
        <d v="2022-06-15T00:00:00"/>
        <d v="2023-06-20T00:00:00"/>
        <d v="2024-09-25T00:00:00"/>
        <d v="2023-03-09T00:00:00"/>
        <d v="2022-09-09T00:00:00"/>
        <d v="2024-01-21T00:00:00"/>
        <d v="2023-08-26T00:00:00"/>
        <d v="2023-10-15T00:00:00"/>
        <d v="2022-09-12T00:00:00"/>
        <d v="2022-04-03T00:00:00"/>
        <d v="2022-08-05T00:00:00"/>
        <d v="2021-09-25T00:00:00"/>
        <d v="2023-01-23T00:00:00"/>
        <d v="2021-10-20T00:00:00"/>
        <d v="2022-04-09T00:00:00"/>
        <d v="2023-04-01T00:00:00"/>
        <d v="2021-10-30T00:00:00"/>
        <d v="2021-03-22T00:00:00"/>
        <d v="2021-03-18T00:00:00"/>
        <d v="2021-12-29T00:00:00"/>
        <d v="2023-02-28T00:00:00"/>
        <d v="2022-12-02T00:00:00"/>
        <d v="2022-09-26T00:00:00"/>
        <d v="2022-12-25T00:00:00"/>
        <d v="2023-07-23T00:00:00"/>
        <d v="2023-02-16T00:00:00"/>
        <d v="2021-06-20T00:00:00"/>
        <d v="2021-08-06T00:00:00"/>
        <d v="2023-02-24T00:00:00"/>
        <d v="2023-05-20T00:00:00"/>
        <d v="2021-07-28T00:00:00"/>
        <d v="2023-12-21T00:00:00"/>
        <d v="2023-10-22T00:00:00"/>
        <d v="2022-09-23T00:00:00"/>
        <d v="2022-08-15T00:00:00"/>
        <d v="2022-06-30T00:00:00"/>
        <d v="2022-04-18T00:00:00"/>
        <d v="2022-06-05T00:00:00"/>
        <d v="2023-06-05T00:00:00"/>
        <d v="2023-09-08T00:00:00"/>
        <d v="2022-12-27T00:00:00"/>
        <d v="2022-08-01T00:00:00"/>
        <d v="2022-12-10T00:00:00"/>
        <d v="2024-01-11T00:00:00"/>
        <d v="2023-01-16T00:00:00"/>
        <d v="2023-01-28T00:00:00"/>
        <d v="2022-08-06T00:00:00"/>
        <d v="2023-08-23T00:00:00"/>
        <d v="2022-03-23T00:00:00"/>
        <d v="2021-10-10T00:00:00"/>
        <d v="2022-07-21T00:00:00"/>
        <d v="2022-01-21T00:00:00"/>
        <d v="2022-07-17T00:00:00"/>
        <d v="2021-07-07T00:00:00"/>
        <d v="2025-02-18T00:00:00"/>
        <d v="2025-01-14T00:00:00"/>
        <d v="2021-06-03T00:00:00"/>
        <d v="2022-07-02T00:00:00"/>
        <d v="2022-03-18T00:00:00"/>
        <d v="2021-07-14T00:00:00"/>
        <d v="2021-07-25T00:00:00"/>
        <d v="2021-05-22T00:00:00"/>
        <d v="2021-08-08T00:00:00"/>
        <d v="2021-03-03T00:00:00"/>
        <d v="2021-10-14T00:00:00"/>
        <d v="2022-01-24T00:00:00"/>
        <d v="2021-10-08T00:00:00"/>
        <d v="2022-09-02T00:00:00"/>
        <d v="2022-03-14T00:00:00"/>
        <d v="2021-06-25T00:00:00"/>
        <d v="2021-09-16T00:00:00"/>
        <d v="2023-02-06T00:00:00"/>
        <d v="2021-06-05T00:00:00"/>
        <d v="2021-08-13T00:00:00"/>
        <d v="2022-07-10T00:00:00"/>
        <d v="2023-08-17T00:00:00"/>
        <d v="2021-09-05T00:00:00"/>
        <d v="2021-12-30T00:00:00"/>
        <d v="2023-04-06T00:00:00"/>
        <d v="2021-07-30T00:00:00"/>
        <d v="2023-03-13T00:00:00"/>
        <d v="2023-06-04T00:00:00"/>
        <d v="2021-02-19T00:00:00"/>
        <d v="2021-12-02T00:00:00"/>
        <d v="2021-05-07T00:00:00"/>
        <d v="2023-11-09T00:00:00"/>
        <d v="2021-02-15T00:00:00"/>
        <d v="2021-10-16T00:00:00"/>
        <d v="2022-02-27T00:00:00"/>
        <d v="2022-06-20T00:00:00"/>
        <d v="2021-04-23T00:00:00"/>
        <d v="2022-04-30T00:00:00"/>
        <d v="2021-08-16T00:00:00"/>
        <d v="2023-12-16T00:00:00"/>
        <d v="2022-10-14T00:00:00"/>
        <d v="2021-04-17T00:00:00"/>
        <d v="2021-07-08T00:00:00"/>
        <d v="2021-08-20T00:00:00"/>
        <d v="2021-11-15T00:00:00"/>
        <d v="2021-05-16T00:00:00"/>
        <d v="2021-04-26T00:00:00"/>
        <d v="2023-04-07T00:00:00"/>
        <d v="2021-04-10T00:00:00"/>
        <d v="2022-11-19T00:00:00"/>
        <d v="2021-07-18T00:00:00"/>
        <d v="2022-04-04T00:00:00"/>
        <d v="2021-08-05T00:00:00"/>
        <d v="2022-04-14T00:00:00"/>
        <d v="2022-06-06T00:00:00"/>
        <d v="2021-03-26T00:00:00"/>
        <d v="2022-04-08T00:00:00"/>
        <d v="2021-05-19T00:00:00"/>
        <d v="2022-06-13T00:00:00"/>
        <d v="2021-07-16T00:00:00"/>
        <d v="2021-06-06T00:00:00"/>
        <d v="2023-05-28T00:00:00"/>
        <d v="2023-08-13T00:00:00"/>
      </sharedItems>
      <fieldGroup par="28"/>
    </cacheField>
    <cacheField name="Date de derniere echeance" numFmtId="164">
      <sharedItems containsSemiMixedTypes="0" containsNonDate="0" containsDate="1" containsString="0" minDate="2021-07-14T00:00:00" maxDate="2034-11-24T00:00:00"/>
    </cacheField>
    <cacheField name="Date de tombee du pret" numFmtId="164">
      <sharedItems containsNonDate="0" containsDate="1" containsString="0" containsBlank="1" minDate="2021-07-13T00:00:00" maxDate="2024-03-21T00:00:00"/>
    </cacheField>
    <cacheField name="Code traitement" numFmtId="49">
      <sharedItems/>
    </cacheField>
    <cacheField name="Nom gestionnaire" numFmtId="49">
      <sharedItems/>
    </cacheField>
    <cacheField name="2024" numFmtId="43">
      <sharedItems containsSemiMixedTypes="0" containsString="0" containsNumber="1" minValue="0" maxValue="160388200"/>
    </cacheField>
    <cacheField name="2023" numFmtId="43">
      <sharedItems containsSemiMixedTypes="0" containsString="0" containsNumber="1" minValue="0" maxValue="113333333.33333334"/>
    </cacheField>
    <cacheField name="2022" numFmtId="43">
      <sharedItems containsSemiMixedTypes="0" containsString="0" containsNumber="1" minValue="0" maxValue="40048033.333333336"/>
    </cacheField>
    <cacheField name="2021" numFmtId="43">
      <sharedItems containsSemiMixedTypes="0" containsString="0" containsNumber="1" minValue="0" maxValue="24715166.666666668"/>
    </cacheField>
    <cacheField name="Type de Garantie" numFmtId="0">
      <sharedItems count="2">
        <s v="GI"/>
        <s v="GP"/>
      </sharedItems>
    </cacheField>
    <cacheField name="Mois (Date 1ere echeance)" numFmtId="0" databaseField="0">
      <fieldGroup base="16">
        <rangePr groupBy="months" startDate="2021-02-14T00:00:00" endDate="2025-02-19T00:00:00"/>
        <groupItems count="14">
          <s v="&lt;14/02/2021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9/02/2025"/>
        </groupItems>
      </fieldGroup>
    </cacheField>
    <cacheField name="Trimestres (Date 1ere echeance)" numFmtId="0" databaseField="0">
      <fieldGroup base="16">
        <rangePr groupBy="quarters" startDate="2021-02-14T00:00:00" endDate="2025-02-19T00:00:00"/>
        <groupItems count="6">
          <s v="&lt;14/02/2021"/>
          <s v="Trimestre1"/>
          <s v="Trimestre2"/>
          <s v="Trimestre3"/>
          <s v="Trimestre4"/>
          <s v="&gt;19/02/2025"/>
        </groupItems>
      </fieldGroup>
    </cacheField>
    <cacheField name="Années (Date 1ere echeance)" numFmtId="0" databaseField="0">
      <fieldGroup base="16">
        <rangePr groupBy="years" startDate="2021-02-14T00:00:00" endDate="2025-02-19T00:00:00"/>
        <groupItems count="7">
          <s v="&lt;14/02/2021"/>
          <s v="2021"/>
          <s v="2022"/>
          <s v="2023"/>
          <s v="2024"/>
          <s v="2025"/>
          <s v="&gt;19/02/2025"/>
        </groupItems>
      </fieldGroup>
    </cacheField>
    <cacheField name="Mois (Date de mise en place)" numFmtId="0" databaseField="0">
      <fieldGroup base="8">
        <rangePr groupBy="months" startDate="2021-01-11T00:00:00" endDate="2023-12-30T00:00:00"/>
        <groupItems count="14">
          <s v="&lt;11/01/2021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0/12/2023"/>
        </groupItems>
      </fieldGroup>
    </cacheField>
    <cacheField name="Trimestres (Date de mise en place)" numFmtId="0" databaseField="0">
      <fieldGroup base="8">
        <rangePr groupBy="quarters" startDate="2021-01-11T00:00:00" endDate="2023-12-30T00:00:00"/>
        <groupItems count="6">
          <s v="&lt;11/01/2021"/>
          <s v="Trimestre1"/>
          <s v="Trimestre2"/>
          <s v="Trimestre3"/>
          <s v="Trimestre4"/>
          <s v="&gt;30/12/2023"/>
        </groupItems>
      </fieldGroup>
    </cacheField>
    <cacheField name="Années (Date de mise en place)" numFmtId="0" databaseField="0">
      <fieldGroup base="8">
        <rangePr groupBy="years" startDate="2021-01-11T00:00:00" endDate="2023-12-30T00:00:00"/>
        <groupItems count="5">
          <s v="&lt;11/01/2021"/>
          <s v="2021"/>
          <s v="2022"/>
          <s v="2023"/>
          <s v="&gt;30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m/>
    <n v="25983840"/>
    <s v="SENEGALAISE D'IMPORTATION ET DE DIST "/>
    <m/>
    <m/>
    <m/>
    <m/>
    <m/>
    <x v="0"/>
    <s v="220"/>
    <s v="CLICOM CMT EQUIPEMENT         "/>
    <n v="71"/>
    <n v="2100000000"/>
    <m/>
    <m/>
    <m/>
    <m/>
    <d v="2028-09-07T00:00:00"/>
    <m/>
    <m/>
    <s v="YAYE FATOU GAYE               "/>
    <n v="48270422.535211273"/>
    <n v="60338028.169014089"/>
    <n v="34694366.197183102"/>
    <n v="0"/>
    <x v="0"/>
  </r>
  <r>
    <m/>
    <n v="25983840"/>
    <s v="SENEGALAISE D'IMPORTATION ET DE DIST "/>
    <m/>
    <m/>
    <m/>
    <m/>
    <m/>
    <x v="1"/>
    <s v="220"/>
    <s v="CLICOM CMT EQUIPEMENT         "/>
    <n v="47"/>
    <n v="1500000000"/>
    <m/>
    <m/>
    <m/>
    <m/>
    <d v="2027-11-24T00:00:00"/>
    <m/>
    <m/>
    <s v="YAYE FATOU GAYE               "/>
    <n v="41234042.55319149"/>
    <n v="25500000"/>
    <n v="0"/>
    <n v="0"/>
    <x v="0"/>
  </r>
  <r>
    <m/>
    <n v="26024232"/>
    <s v="YEEG SAS "/>
    <m/>
    <m/>
    <m/>
    <m/>
    <m/>
    <x v="2"/>
    <s v="220"/>
    <s v="CLICOM CMT EQUIPEMENT"/>
    <n v="48"/>
    <n v="1425000000"/>
    <m/>
    <m/>
    <m/>
    <m/>
    <d v="2026-12-31T00:00:00"/>
    <m/>
    <m/>
    <s v="CHEIKH TALIBOUYA NDIAYE       "/>
    <n v="27253125.000000004"/>
    <n v="39365625"/>
    <n v="24225000"/>
    <n v="0"/>
    <x v="0"/>
  </r>
  <r>
    <m/>
    <n v="25969709"/>
    <s v="COMPAGNIE MAMADOU NGONE SUARL "/>
    <m/>
    <m/>
    <m/>
    <m/>
    <m/>
    <x v="3"/>
    <s v="220"/>
    <s v="CLICOM CMT EQUIPEMENT         "/>
    <n v="83"/>
    <n v="1400000000"/>
    <m/>
    <m/>
    <m/>
    <m/>
    <d v="2025-09-02T00:00:00"/>
    <m/>
    <m/>
    <s v="KHADIDIATOU MBENGUE           "/>
    <n v="6881927.710843374"/>
    <n v="13763855.421686748"/>
    <n v="20645783.132530123"/>
    <n v="27527710.843373496"/>
    <x v="0"/>
  </r>
  <r>
    <m/>
    <n v="15611005"/>
    <s v="WEST AFRIC PHARMA SA "/>
    <m/>
    <m/>
    <m/>
    <m/>
    <m/>
    <x v="4"/>
    <s v="220"/>
    <s v="CLICOM CMT EQUIPEMENT         "/>
    <n v="84"/>
    <n v="1300000000"/>
    <m/>
    <m/>
    <m/>
    <m/>
    <d v="2024-06-19T00:00:00"/>
    <m/>
    <m/>
    <s v="KHADIDIATOU MBENGUE           "/>
    <n v="0"/>
    <n v="4735714.2857142854"/>
    <n v="11050000"/>
    <n v="17364285.714285716"/>
    <x v="0"/>
  </r>
  <r>
    <m/>
    <n v="15483105"/>
    <s v="PRICEWATERHOUSECOOPERS TAX &amp; LEGAL "/>
    <m/>
    <m/>
    <m/>
    <m/>
    <m/>
    <x v="5"/>
    <s v="220"/>
    <s v="CLICOM CMT EQUIPEMENT         "/>
    <n v="60"/>
    <n v="867000000"/>
    <m/>
    <m/>
    <m/>
    <m/>
    <d v="2025-09-29T00:00:00"/>
    <m/>
    <m/>
    <s v="MAMADOU DIAGNE                "/>
    <n v="5895600"/>
    <n v="11791200"/>
    <n v="17686800"/>
    <n v="23582400"/>
    <x v="0"/>
  </r>
  <r>
    <m/>
    <n v="25993936"/>
    <s v="SOSEPROM "/>
    <m/>
    <m/>
    <m/>
    <m/>
    <m/>
    <x v="6"/>
    <s v="222"/>
    <s v="CLICOM CMT TRESORERIE         "/>
    <n v="60"/>
    <n v="736666668"/>
    <m/>
    <m/>
    <m/>
    <m/>
    <d v="2024-07-22T00:00:00"/>
    <m/>
    <m/>
    <s v="KHADIDIATOU MBENGUE           "/>
    <n v="208722.22260000004"/>
    <n v="4174444.4520000005"/>
    <n v="9183777.7944000009"/>
    <n v="14193111.136800002"/>
    <x v="0"/>
  </r>
  <r>
    <m/>
    <n v="25969709"/>
    <s v="COMPAGNIE MAMADOU NGONE SUARL "/>
    <m/>
    <m/>
    <m/>
    <m/>
    <m/>
    <x v="7"/>
    <s v="220"/>
    <s v="CLICOM CMT EQUIPEMENT         "/>
    <n v="57"/>
    <n v="600000000"/>
    <m/>
    <m/>
    <m/>
    <m/>
    <d v="2025-09-02T00:00:00"/>
    <m/>
    <m/>
    <s v="KHADIDIATOU MBENGUE           "/>
    <n v="3936842.1052631582"/>
    <n v="8231578.9473684216"/>
    <n v="12526315.789473685"/>
    <n v="16821052.631578948"/>
    <x v="0"/>
  </r>
  <r>
    <m/>
    <n v="25969709"/>
    <s v="COMPAGNIE MAMADOU NGONE SUARL "/>
    <m/>
    <m/>
    <m/>
    <m/>
    <m/>
    <x v="8"/>
    <s v="220"/>
    <s v="CLICOM CMT EQUIPEMENT         "/>
    <n v="56"/>
    <n v="600000000"/>
    <m/>
    <m/>
    <m/>
    <m/>
    <d v="2025-09-02T00:00:00"/>
    <m/>
    <m/>
    <s v="KHADIDIATOU MBENGUE           "/>
    <n v="4007142.8571428573"/>
    <n v="8378571.42857143"/>
    <n v="12750000"/>
    <n v="17121428.571428571"/>
    <x v="0"/>
  </r>
  <r>
    <m/>
    <n v="15517505"/>
    <s v="EVASION MARINE SA "/>
    <m/>
    <m/>
    <m/>
    <m/>
    <m/>
    <x v="9"/>
    <s v="222"/>
    <s v="CLICOM CMT TRESORERIE         "/>
    <n v="84"/>
    <n v="451402617"/>
    <m/>
    <m/>
    <m/>
    <m/>
    <d v="2025-01-26T00:00:00"/>
    <m/>
    <m/>
    <s v="LOUIS SAGNA                   "/>
    <n v="730842.33228571434"/>
    <n v="2923369.3291428573"/>
    <n v="5115896.3260000004"/>
    <n v="7308423.3228571434"/>
    <x v="0"/>
  </r>
  <r>
    <m/>
    <n v="25958783"/>
    <s v="CABINET EDE INTERNATIONAL "/>
    <m/>
    <m/>
    <m/>
    <m/>
    <m/>
    <x v="10"/>
    <s v="220"/>
    <s v="CLICOM CMT EQUIPEMENT         "/>
    <n v="94"/>
    <n v="421578644"/>
    <m/>
    <m/>
    <m/>
    <m/>
    <d v="2026-02-28T00:00:00"/>
    <m/>
    <m/>
    <s v="LETICIA WOTHOR                "/>
    <n v="2439774.280170213"/>
    <n v="4269604.9902978726"/>
    <n v="6099435.7004255326"/>
    <n v="7929266.4105531918"/>
    <x v="0"/>
  </r>
  <r>
    <m/>
    <n v="25958783"/>
    <s v="CABINET EDE INTERNATIONAL "/>
    <m/>
    <m/>
    <m/>
    <m/>
    <m/>
    <x v="10"/>
    <s v="220"/>
    <s v="CLICOM CMT EQUIPEMENT         "/>
    <n v="94"/>
    <n v="349114707"/>
    <m/>
    <m/>
    <m/>
    <m/>
    <d v="2026-02-28T00:00:00"/>
    <m/>
    <m/>
    <s v="LETICIA WOTHOR                "/>
    <n v="2020408.5171063831"/>
    <n v="3535714.9049361707"/>
    <n v="5051021.2927659573"/>
    <n v="6566327.6805957453"/>
    <x v="0"/>
  </r>
  <r>
    <m/>
    <n v="15187000"/>
    <s v="SYBEL COSMETIC "/>
    <m/>
    <m/>
    <m/>
    <m/>
    <m/>
    <x v="11"/>
    <s v="220"/>
    <s v="CLICOM CMT EQUIPEMENT         "/>
    <n v="48"/>
    <n v="200000000"/>
    <m/>
    <m/>
    <m/>
    <m/>
    <d v="2024-07-15T00:00:00"/>
    <m/>
    <m/>
    <s v="KHADIDIATOU MBENGUE           "/>
    <n v="70833.333333333343"/>
    <n v="1416666.6666666667"/>
    <n v="3116666.666666667"/>
    <n v="4816666.666666667"/>
    <x v="1"/>
  </r>
  <r>
    <m/>
    <n v="15625005"/>
    <s v="IDEA MOBILIER "/>
    <m/>
    <m/>
    <m/>
    <m/>
    <m/>
    <x v="12"/>
    <s v="222"/>
    <s v="CLICOM CMT TRESORERIE         "/>
    <n v="36"/>
    <n v="191861359"/>
    <m/>
    <m/>
    <m/>
    <m/>
    <d v="2025-12-15T00:00:00"/>
    <m/>
    <m/>
    <s v="YAYE FATOU GAYE               "/>
    <n v="2718035.9191666669"/>
    <n v="4892464.6545000002"/>
    <n v="3261643.1030000001"/>
    <n v="0"/>
    <x v="1"/>
  </r>
  <r>
    <m/>
    <n v="15687905"/>
    <s v="GROUPE DELTA - SARL "/>
    <m/>
    <m/>
    <m/>
    <m/>
    <m/>
    <x v="13"/>
    <s v="220"/>
    <s v="CLICOM CMT EQUIPEMENT         "/>
    <n v="72"/>
    <n v="150000000"/>
    <m/>
    <m/>
    <m/>
    <m/>
    <d v="2026-03-13T00:00:00"/>
    <m/>
    <m/>
    <s v="CHEIKH TALIBOUYA NDIAYE       "/>
    <n v="1275000"/>
    <n v="2125000"/>
    <n v="2975000"/>
    <n v="3825000.0000000005"/>
    <x v="1"/>
  </r>
  <r>
    <m/>
    <n v="26101422"/>
    <s v="CMD NEGOCE "/>
    <m/>
    <m/>
    <m/>
    <m/>
    <m/>
    <x v="14"/>
    <s v="220"/>
    <s v="CLICOM CMT EQUIPEMENT         "/>
    <n v="60"/>
    <n v="150000000"/>
    <m/>
    <m/>
    <m/>
    <m/>
    <d v="2028-04-12T00:00:00"/>
    <m/>
    <m/>
    <s v="ADJA FATOU CISSE EP NIANG     "/>
    <n v="3655000.0000000005"/>
    <n v="4675000"/>
    <n v="0"/>
    <n v="0"/>
    <x v="1"/>
  </r>
  <r>
    <m/>
    <n v="26101422"/>
    <s v="CMD NEGOCE "/>
    <m/>
    <m/>
    <m/>
    <m/>
    <m/>
    <x v="14"/>
    <s v="128"/>
    <s v="CLICOM CCT TRESORERIE         "/>
    <n v="24"/>
    <n v="46500000"/>
    <m/>
    <m/>
    <m/>
    <m/>
    <d v="2025-04-12T00:00:00"/>
    <m/>
    <m/>
    <s v="ADJA FATOU CISSE EP NIANG     "/>
    <n v="461125.00000000006"/>
    <n v="1251625"/>
    <n v="0"/>
    <n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s v="00500"/>
    <s v="26037024       "/>
    <s v="MANUFACTURES D'AFRIQUE SAU          "/>
    <s v="                              "/>
    <m/>
    <s v="05010370243"/>
    <s v="507231"/>
    <n v="0"/>
    <x v="0"/>
    <s v="220"/>
    <s v="CLICOM CMT EQUIPEMENT         "/>
    <n v="20"/>
    <n v="6739000000"/>
    <n v="405617238"/>
    <n v="6.65"/>
    <s v="VA"/>
    <x v="0"/>
    <d v="2028-12-30T00:00:00"/>
    <m/>
    <s v="1"/>
    <s v="KHADY NDIAYE BA               "/>
    <n v="160388200"/>
    <n v="0"/>
    <n v="0"/>
    <n v="0"/>
    <x v="0"/>
  </r>
  <r>
    <s v="00500"/>
    <s v="26039915       "/>
    <s v="COMPAGNIE MAMADOU NGONE AGRO-INDUSTR"/>
    <s v="                              "/>
    <m/>
    <s v="05000399152"/>
    <s v="502857"/>
    <n v="0"/>
    <x v="1"/>
    <s v="220"/>
    <s v="CLICOM CMT EQUIPEMENT         "/>
    <n v="60"/>
    <n v="2437000000"/>
    <n v="49635469"/>
    <n v="7"/>
    <s v="VA"/>
    <x v="1"/>
    <d v="2027-09-22T00:00:00"/>
    <m/>
    <s v="1"/>
    <s v="KHADIDIATOU MBENGUE           "/>
    <n v="51095766.666666672"/>
    <n v="67667366.666666672"/>
    <n v="40048033.333333336"/>
    <n v="0"/>
    <x v="0"/>
  </r>
  <r>
    <s v="01500"/>
    <s v="08126815       "/>
    <s v="KHOURY TRANSPT                      "/>
    <s v="                              "/>
    <m/>
    <s v="05000812682"/>
    <s v="508196"/>
    <n v="0"/>
    <x v="2"/>
    <s v="220"/>
    <s v="CLICOM CMT EQUIPEMENT         "/>
    <n v="60"/>
    <n v="2000000000"/>
    <n v="41298652"/>
    <n v="7.5"/>
    <s v="VA"/>
    <x v="2"/>
    <d v="2028-05-16T00:00:00"/>
    <m/>
    <s v="1"/>
    <s v="CHEIKH TALIBOUYA NDIAYE       "/>
    <n v="51000000"/>
    <n v="64600000.000000007"/>
    <n v="0"/>
    <n v="0"/>
    <x v="0"/>
  </r>
  <r>
    <s v="00500"/>
    <s v="25983840       "/>
    <s v="SIDICOM - SARL                      "/>
    <s v="                              "/>
    <m/>
    <s v="05009838408"/>
    <s v="505565"/>
    <n v="0"/>
    <x v="3"/>
    <s v="221"/>
    <s v="CLICOM CMT CONSTRUCTION       "/>
    <n v="60"/>
    <n v="1550262613"/>
    <n v="32011878"/>
    <n v="7.5"/>
    <s v="VA"/>
    <x v="3"/>
    <d v="2028-09-07T00:00:00"/>
    <m/>
    <s v="1"/>
    <s v="YAYE FATOU GAYE               "/>
    <n v="43045625.220966667"/>
    <n v="25475982.273633335"/>
    <n v="0"/>
    <n v="0"/>
    <x v="0"/>
  </r>
  <r>
    <s v="00500"/>
    <s v="25956400       "/>
    <s v="LA LAITERIE DU BERGER               "/>
    <s v="                              "/>
    <m/>
    <s v="05009564004"/>
    <s v="515769"/>
    <n v="0"/>
    <x v="4"/>
    <s v="220"/>
    <s v="CLICOM CMT EQUIPEMENT         "/>
    <n v="60"/>
    <n v="1600000000"/>
    <n v="0"/>
    <n v="7"/>
    <s v="VA"/>
    <x v="4"/>
    <d v="2028-06-27T00:00:00"/>
    <m/>
    <s v="1"/>
    <s v="MARIEME SOUGOU                "/>
    <n v="41706666.666666672"/>
    <n v="24933333.333333336"/>
    <n v="0"/>
    <n v="0"/>
    <x v="0"/>
  </r>
  <r>
    <s v="00500"/>
    <s v="15652105       "/>
    <s v="SAKARA SARL                         "/>
    <s v="                              "/>
    <m/>
    <s v="05001565215"/>
    <s v="497145"/>
    <n v="0"/>
    <x v="5"/>
    <s v="321"/>
    <s v="CLICOM CLT CONSTRUCTION       "/>
    <n v="84"/>
    <n v="1260000000"/>
    <n v="19942885"/>
    <n v="7.25"/>
    <s v="VA"/>
    <x v="5"/>
    <d v="2030-04-22T00:00:00"/>
    <m/>
    <s v="1"/>
    <s v="YAYE FATOU GAYE               "/>
    <n v="34680000"/>
    <n v="40800000"/>
    <n v="0"/>
    <n v="0"/>
    <x v="0"/>
  </r>
  <r>
    <s v="00500"/>
    <s v="25983840       "/>
    <s v="SIDICOM - SARL                      "/>
    <s v="                              "/>
    <m/>
    <s v="05009838408"/>
    <s v="503351"/>
    <n v="0"/>
    <x v="6"/>
    <s v="220"/>
    <s v="CLICOM CMT EQUIPEMENT         "/>
    <n v="60"/>
    <n v="1500000000"/>
    <n v="30973989"/>
    <n v="7.5"/>
    <s v="VA"/>
    <x v="6"/>
    <d v="2027-11-24T00:00:00"/>
    <m/>
    <s v="1"/>
    <s v="YAYE FATOU GAYE               "/>
    <n v="33150000.000000004"/>
    <n v="43350000"/>
    <n v="25500000"/>
    <n v="0"/>
    <x v="0"/>
  </r>
  <r>
    <s v="01500"/>
    <s v="08186915       "/>
    <s v="SOGEPAL                             "/>
    <s v="                              "/>
    <m/>
    <s v="05000818697"/>
    <s v="500308"/>
    <n v="0"/>
    <x v="7"/>
    <s v="220"/>
    <s v="CLICOM CMT EQUIPEMENT         "/>
    <n v="78"/>
    <n v="1200000000"/>
    <n v="19892463"/>
    <n v="7"/>
    <s v="VA"/>
    <x v="7"/>
    <d v="2029-06-30T00:00:00"/>
    <m/>
    <s v="1"/>
    <s v="MAME NGONE GAYE               "/>
    <n v="30338461.53846154"/>
    <n v="36615384.615384616"/>
    <n v="0"/>
    <n v="0"/>
    <x v="0"/>
  </r>
  <r>
    <s v="00500"/>
    <s v="71111005       "/>
    <s v="BAOBAB SENEGAL SA                   "/>
    <s v="                              "/>
    <m/>
    <s v="98209200001"/>
    <s v="514190"/>
    <n v="0"/>
    <x v="8"/>
    <s v="221"/>
    <s v="CLICOM CMT CONSTRUCTION       "/>
    <n v="9"/>
    <n v="7500000000"/>
    <n v="899782908"/>
    <n v="6.25"/>
    <s v="VA"/>
    <x v="8"/>
    <d v="2025-11-19T00:00:00"/>
    <m/>
    <s v="1"/>
    <s v="FATIMA CHAOUI                 "/>
    <n v="28333333.333333336"/>
    <n v="113333333.33333334"/>
    <n v="0"/>
    <n v="0"/>
    <x v="0"/>
  </r>
  <r>
    <s v="04000"/>
    <s v="25949442       "/>
    <s v="SOCIETE D'EMBOUTEILLAGE CASAMANCAISE"/>
    <s v="                              "/>
    <m/>
    <s v="05009494423"/>
    <s v="529443"/>
    <n v="0"/>
    <x v="9"/>
    <s v="221"/>
    <s v="CLICOM CMT CONSTRUCTION       "/>
    <n v="48"/>
    <n v="900000000"/>
    <n v="21928353"/>
    <n v="6.75"/>
    <s v="VA"/>
    <x v="9"/>
    <d v="2027-11-24T00:00:00"/>
    <m/>
    <s v="1"/>
    <s v="MARIEME SOUGOU                "/>
    <n v="24862500"/>
    <n v="15300000.000000002"/>
    <n v="0"/>
    <n v="0"/>
    <x v="0"/>
  </r>
  <r>
    <s v="01500"/>
    <s v="08028300       "/>
    <s v="CCIS                                "/>
    <s v="                              "/>
    <m/>
    <s v="05000802832"/>
    <s v="516109"/>
    <n v="0"/>
    <x v="10"/>
    <s v="220"/>
    <s v="CLICOM CMT EQUIPEMENT         "/>
    <n v="48"/>
    <n v="1000000000"/>
    <n v="24227933"/>
    <n v="6.5"/>
    <s v="VA"/>
    <x v="10"/>
    <d v="2027-06-06T00:00:00"/>
    <m/>
    <s v="1"/>
    <s v="FATIMATA ZARA HAIDARA         "/>
    <n v="24083333.333333336"/>
    <n v="15229166.666666668"/>
    <n v="0"/>
    <n v="0"/>
    <x v="0"/>
  </r>
  <r>
    <s v="01500"/>
    <s v="08116000       "/>
    <s v="D.H.F.                              "/>
    <s v="                              "/>
    <m/>
    <s v="05000811601"/>
    <s v="514815"/>
    <n v="0"/>
    <x v="11"/>
    <s v="220"/>
    <s v="CLICOM CMT EQUIPEMENT         "/>
    <n v="36"/>
    <n v="1200000000"/>
    <n v="37385357"/>
    <n v="6.5"/>
    <s v="VA"/>
    <x v="11"/>
    <d v="2026-05-19T00:00:00"/>
    <m/>
    <s v="1"/>
    <s v="CHEIKH TALIBOUYA NDIAYE       "/>
    <n v="23800000"/>
    <n v="37400000"/>
    <n v="0"/>
    <n v="0"/>
    <x v="0"/>
  </r>
  <r>
    <s v="01500"/>
    <s v="08186915       "/>
    <s v="SOGEPAL                             "/>
    <s v="                              "/>
    <m/>
    <s v="05000818697"/>
    <s v="500304"/>
    <n v="0"/>
    <x v="7"/>
    <s v="220"/>
    <s v="CLICOM CMT EQUIPEMENT         "/>
    <n v="60"/>
    <n v="1100000000"/>
    <n v="22250112"/>
    <n v="6.75"/>
    <s v="VA"/>
    <x v="12"/>
    <d v="2027-06-30T00:00:00"/>
    <m/>
    <s v="1"/>
    <s v="MAME NGONE GAYE               "/>
    <n v="21193333.333333336"/>
    <n v="28673333.333333336"/>
    <n v="17141666.666666668"/>
    <n v="0"/>
    <x v="0"/>
  </r>
  <r>
    <s v="06100"/>
    <s v="52318361       "/>
    <s v="SOCIETE DE CULTURES LEGUMIERES      "/>
    <s v="                              "/>
    <m/>
    <s v="05005231833"/>
    <s v="528309"/>
    <n v="0"/>
    <x v="12"/>
    <s v="221"/>
    <s v="CLICOM CMT CONSTRUCTION       "/>
    <n v="48"/>
    <n v="1000000000"/>
    <n v="16681300"/>
    <n v="6.75"/>
    <s v="VA"/>
    <x v="13"/>
    <d v="2028-11-05T00:00:00"/>
    <m/>
    <s v="1"/>
    <s v="MAME NGONE GAYE               "/>
    <n v="17000000"/>
    <n v="0"/>
    <n v="0"/>
    <n v="0"/>
    <x v="0"/>
  </r>
  <r>
    <s v="01500"/>
    <s v="08116000       "/>
    <s v="D.H.F.                              "/>
    <s v="                              "/>
    <m/>
    <s v="05000811601"/>
    <s v="503601"/>
    <n v="0"/>
    <x v="13"/>
    <s v="220"/>
    <s v="CLICOM CMT EQUIPEMENT         "/>
    <n v="36"/>
    <n v="1200000000"/>
    <n v="37385357"/>
    <n v="6.5"/>
    <s v="VA"/>
    <x v="14"/>
    <d v="2025-11-08T00:00:00"/>
    <m/>
    <s v="1"/>
    <s v="CHEIKH TALIBOUYA NDIAYE       "/>
    <n v="17000000"/>
    <n v="30600000.000000004"/>
    <n v="20400000"/>
    <n v="0"/>
    <x v="0"/>
  </r>
  <r>
    <s v="01500"/>
    <s v="08151615       "/>
    <s v="MOUSSE DU SENEGAL                   "/>
    <s v="                              "/>
    <m/>
    <s v="05000815164"/>
    <s v="505255"/>
    <n v="0"/>
    <x v="14"/>
    <s v="220"/>
    <s v="CLICOM CMT EQUIPEMENT         "/>
    <n v="60"/>
    <n v="500000000"/>
    <n v="0"/>
    <n v="6.5"/>
    <s v="VA"/>
    <x v="15"/>
    <d v="2027-09-30T00:00:00"/>
    <m/>
    <s v="1"/>
    <s v="KHADIDIATOU MBENGUE           "/>
    <n v="10483333.333333334"/>
    <n v="13883333.333333334"/>
    <n v="8216666.666666667"/>
    <n v="0"/>
    <x v="0"/>
  </r>
  <r>
    <s v="31400"/>
    <s v="26067168       "/>
    <s v="EXOTICA MARKET                      "/>
    <s v="                              "/>
    <m/>
    <s v="05000671689"/>
    <s v="488921"/>
    <n v="0"/>
    <x v="15"/>
    <s v="221"/>
    <s v="CLICOM CMT CONSTRUCTION       "/>
    <n v="60"/>
    <n v="465000000"/>
    <n v="9867297"/>
    <n v="8.5"/>
    <s v="VA"/>
    <x v="16"/>
    <d v="2027-10-11T00:00:00"/>
    <d v="2021-12-11T00:00:00"/>
    <s v="9"/>
    <s v="CDL MK                        "/>
    <n v="10013000"/>
    <n v="13175000.000000002"/>
    <n v="7773250.0000000009"/>
    <n v="0"/>
    <x v="0"/>
  </r>
  <r>
    <s v="01600"/>
    <s v="26006403       "/>
    <s v="KITCHEN PRO SARL                    "/>
    <s v="                              "/>
    <m/>
    <s v="06100064032"/>
    <s v="523168"/>
    <n v="0"/>
    <x v="16"/>
    <s v="257"/>
    <s v="CLIPRO CMT EQUIPEMENT         "/>
    <n v="60"/>
    <n v="350000000"/>
    <n v="7730540"/>
    <n v="9.99"/>
    <s v="VA"/>
    <x v="17"/>
    <d v="2028-10-18T00:00:00"/>
    <m/>
    <s v="1"/>
    <s v="CHEIKH DJIBRIL FALL           "/>
    <n v="9916666.6666666679"/>
    <n v="5850833.333333334"/>
    <n v="0"/>
    <n v="0"/>
    <x v="0"/>
  </r>
  <r>
    <s v="00500"/>
    <s v="15753105       "/>
    <s v="BOIS FER TRADING SARL               "/>
    <s v="                              "/>
    <m/>
    <s v="05007531054"/>
    <s v="510873"/>
    <n v="0"/>
    <x v="17"/>
    <s v="128"/>
    <s v="CLICOM CCT TRESORERIE         "/>
    <n v="24"/>
    <n v="1000000000"/>
    <n v="44781646"/>
    <n v="6"/>
    <s v="VA"/>
    <x v="18"/>
    <d v="2025-03-15T00:00:00"/>
    <m/>
    <s v="1"/>
    <s v="KHADIDIATOU MBENGUE           "/>
    <n v="9916666.6666666679"/>
    <n v="26916666.666666668"/>
    <n v="0"/>
    <n v="0"/>
    <x v="0"/>
  </r>
  <r>
    <s v="00500"/>
    <s v="15793905       "/>
    <s v="COMPAGNIE SENEGALAISE DE DISTRIBUTIO"/>
    <s v="                              "/>
    <m/>
    <s v="05007939059"/>
    <s v="531280"/>
    <n v="0"/>
    <x v="18"/>
    <s v="220"/>
    <s v="CLICOM CMT EQUIPEMENT         "/>
    <n v="60"/>
    <n v="300000000"/>
    <n v="6280053"/>
    <n v="8"/>
    <s v="VA"/>
    <x v="19"/>
    <d v="2029-05-14T00:00:00"/>
    <d v="2024-01-14T00:00:00"/>
    <s v="9"/>
    <s v="ADJA FATOU CISSE EP NIANG     "/>
    <n v="9690000"/>
    <n v="0"/>
    <n v="0"/>
    <n v="0"/>
    <x v="0"/>
  </r>
  <r>
    <s v="00500"/>
    <s v="26059205       "/>
    <s v="FLEXEAU SA                          "/>
    <s v="                              "/>
    <m/>
    <s v="05000592053"/>
    <s v="494584"/>
    <n v="0"/>
    <x v="19"/>
    <s v="221"/>
    <s v="CLICOM CMT CONSTRUCTION       "/>
    <n v="60"/>
    <n v="500000000"/>
    <n v="10466755"/>
    <n v="8"/>
    <s v="VA"/>
    <x v="20"/>
    <d v="2027-03-11T00:00:00"/>
    <m/>
    <s v="1"/>
    <s v="MOHAMED N NDIAYE              "/>
    <n v="8783333.333333334"/>
    <n v="12183333.333333334"/>
    <n v="15583333.333333334"/>
    <n v="0"/>
    <x v="0"/>
  </r>
  <r>
    <s v="04000"/>
    <s v="25949442       "/>
    <s v="SOCIETE D'EMBOUTEILLAGE CASAMANCAISE"/>
    <s v="                              "/>
    <m/>
    <s v="05009494423"/>
    <s v="521852"/>
    <n v="0"/>
    <x v="20"/>
    <s v="221"/>
    <s v="CLICOM CMT CONSTRUCTION       "/>
    <n v="60"/>
    <n v="500000000"/>
    <n v="9835441"/>
    <n v="7"/>
    <s v="VA"/>
    <x v="21"/>
    <d v="2029-09-15T00:00:00"/>
    <m/>
    <s v="1"/>
    <s v="MARIEME SOUGOU                "/>
    <n v="8216666.666666667"/>
    <n v="0"/>
    <n v="0"/>
    <n v="0"/>
    <x v="0"/>
  </r>
  <r>
    <s v="01500"/>
    <s v="08151615       "/>
    <s v="MOUSSE DU SENEGAL                   "/>
    <s v="                              "/>
    <m/>
    <s v="05000815164"/>
    <s v="491357"/>
    <n v="0"/>
    <x v="21"/>
    <s v="220"/>
    <s v="CLICOM CMT EQUIPEMENT         "/>
    <n v="60"/>
    <n v="500000000"/>
    <n v="10043941"/>
    <n v="6.5"/>
    <s v="VA"/>
    <x v="22"/>
    <d v="2026-12-23T00:00:00"/>
    <m/>
    <s v="1"/>
    <s v="KHADIDIATOU MBENGUE           "/>
    <n v="7933333.333333334"/>
    <n v="11333333.333333334"/>
    <n v="14733333.333333334"/>
    <n v="0"/>
    <x v="0"/>
  </r>
  <r>
    <s v="01700"/>
    <s v="26024232       "/>
    <s v="YEEG SAS                            "/>
    <s v="                              "/>
    <m/>
    <s v="06100242321"/>
    <s v="508950"/>
    <n v="0"/>
    <x v="0"/>
    <s v="257"/>
    <s v="CLIPRO CMT EQUIPEMENT         "/>
    <n v="48"/>
    <n v="400000000"/>
    <n v="9911337"/>
    <n v="7.5"/>
    <s v="VA"/>
    <x v="7"/>
    <d v="2026-12-30T00:00:00"/>
    <m/>
    <s v="1"/>
    <s v="CHEIKH TALIBOUYA NDIAYE       "/>
    <n v="7933333.333333334"/>
    <n v="11333333.333333334"/>
    <n v="0"/>
    <n v="0"/>
    <x v="0"/>
  </r>
  <r>
    <s v="06100"/>
    <s v="52318361       "/>
    <s v="SOCIETE DE CULTURES LEGUMIERES      "/>
    <s v="                              "/>
    <m/>
    <s v="05005231833"/>
    <s v="499912"/>
    <n v="0"/>
    <x v="7"/>
    <s v="220"/>
    <s v="CLICOM CMT EQUIPEMENT         "/>
    <n v="48"/>
    <n v="500000000"/>
    <n v="0"/>
    <n v="6.25"/>
    <s v="VA"/>
    <x v="12"/>
    <d v="2026-06-30T00:00:00"/>
    <m/>
    <s v="1"/>
    <s v="MAME NGONE GAYE               "/>
    <n v="7791666.666666667"/>
    <n v="12041666.666666668"/>
    <n v="7614583.333333334"/>
    <n v="0"/>
    <x v="0"/>
  </r>
  <r>
    <s v="04000"/>
    <s v="25949442       "/>
    <s v="SOCIETE D'EMBOUTEILLAGE CASAMANCAISE"/>
    <s v="                              "/>
    <m/>
    <s v="05009494423"/>
    <s v="488211"/>
    <n v="0"/>
    <x v="22"/>
    <s v="221"/>
    <s v="CLICOM CMT CONSTRUCTION       "/>
    <n v="60"/>
    <n v="475000000"/>
    <n v="9674537"/>
    <n v="7"/>
    <s v="VA"/>
    <x v="23"/>
    <d v="2026-12-17T00:00:00"/>
    <m/>
    <s v="1"/>
    <s v="MARIEME SOUGOU                "/>
    <n v="7536666.666666667"/>
    <n v="10766666.666666668"/>
    <n v="13996666.666666668"/>
    <n v="0"/>
    <x v="0"/>
  </r>
  <r>
    <s v="01500"/>
    <s v="08126815       "/>
    <s v="KHOURY TRANSPT                      "/>
    <s v="                              "/>
    <m/>
    <s v="05000812682"/>
    <s v="481295"/>
    <n v="0"/>
    <x v="23"/>
    <s v="220"/>
    <s v="CLICOM CMT EQUIPEMENT         "/>
    <n v="60"/>
    <n v="600000000"/>
    <n v="12560106"/>
    <n v="8"/>
    <s v="VA"/>
    <x v="24"/>
    <d v="2026-05-07T00:00:00"/>
    <m/>
    <s v="1"/>
    <s v="CHEIKH TALIBOUYA NDIAYE       "/>
    <n v="7140000.0000000009"/>
    <n v="11220000"/>
    <n v="15300000.000000002"/>
    <n v="19380000"/>
    <x v="0"/>
  </r>
  <r>
    <s v="06400"/>
    <s v="55009264       "/>
    <s v="DIA SAIDOU                          "/>
    <s v="                              "/>
    <d v="1969-11-26T00:00:00"/>
    <s v="05405500922"/>
    <s v="528335"/>
    <n v="0"/>
    <x v="24"/>
    <s v="221"/>
    <s v="CLICOM CMT CONSTRUCTION       "/>
    <n v="120"/>
    <n v="396000000"/>
    <n v="4458400"/>
    <n v="9"/>
    <s v="VA"/>
    <x v="25"/>
    <d v="2034-11-23T00:00:00"/>
    <m/>
    <s v="1"/>
    <s v="SIMON COLY                    "/>
    <n v="6732000.0000000009"/>
    <n v="0"/>
    <n v="0"/>
    <n v="0"/>
    <x v="0"/>
  </r>
  <r>
    <s v="01500"/>
    <s v="08126815       "/>
    <s v="KHOURY TRANSPT                      "/>
    <s v="                              "/>
    <m/>
    <s v="05000812682"/>
    <s v="516650"/>
    <n v="0"/>
    <x v="25"/>
    <s v="220"/>
    <s v="CLICOM CMT EQUIPEMENT         "/>
    <n v="60"/>
    <n v="250000000"/>
    <n v="5162332"/>
    <n v="7.5"/>
    <s v="VA"/>
    <x v="26"/>
    <d v="2028-05-23T00:00:00"/>
    <m/>
    <s v="1"/>
    <s v="CHEIKH TALIBOUYA NDIAYE       "/>
    <n v="6375000"/>
    <n v="8075000.0000000009"/>
    <n v="0"/>
    <n v="0"/>
    <x v="0"/>
  </r>
  <r>
    <s v="04000"/>
    <s v="09512140       "/>
    <s v="ENTREPRISE DA ROSA                  "/>
    <s v="                              "/>
    <m/>
    <s v="05000951215"/>
    <s v="511172"/>
    <n v="0"/>
    <x v="26"/>
    <s v="220"/>
    <s v="CLICOM CMT EQUIPEMENT         "/>
    <n v="48"/>
    <n v="300000000"/>
    <n v="7433503"/>
    <n v="7.5"/>
    <s v="VA"/>
    <x v="27"/>
    <d v="2027-02-21T00:00:00"/>
    <m/>
    <s v="1"/>
    <s v="NDEYE OULIMATA BOYE           "/>
    <n v="6375000"/>
    <n v="8925000"/>
    <n v="0"/>
    <n v="0"/>
    <x v="0"/>
  </r>
  <r>
    <s v="01500"/>
    <s v="08122915       "/>
    <s v="SPN                                 "/>
    <s v="                              "/>
    <m/>
    <s v="05000812294"/>
    <s v="480906"/>
    <n v="0"/>
    <x v="27"/>
    <s v="220"/>
    <s v="CLICOM CMT EQUIPEMENT         "/>
    <n v="72"/>
    <n v="300000000"/>
    <n v="5461418"/>
    <n v="8"/>
    <s v="VA"/>
    <x v="28"/>
    <d v="2028-05-12T00:00:00"/>
    <m/>
    <s v="1"/>
    <s v="KHADIDIATOU MBENGUE           "/>
    <n v="6375000"/>
    <n v="8075000.0000000009"/>
    <n v="9775000"/>
    <n v="0"/>
    <x v="0"/>
  </r>
  <r>
    <s v="01700"/>
    <s v="26052612       "/>
    <s v="CLINIQUE AL AMINE                   "/>
    <s v="                              "/>
    <m/>
    <s v="13000526126"/>
    <s v="485731"/>
    <n v="0"/>
    <x v="28"/>
    <s v="221"/>
    <s v="CLICOM CMT CONSTRUCTION       "/>
    <n v="114"/>
    <n v="260000000"/>
    <n v="3575752"/>
    <n v="8.75"/>
    <s v="VA"/>
    <x v="29"/>
    <d v="2031-01-28T00:00:00"/>
    <m/>
    <s v="1"/>
    <s v="FALL CHEIKH TIDIANE JEAN      "/>
    <n v="5970877.1929824566"/>
    <n v="6901403.5087719308"/>
    <n v="7831929.8245614041"/>
    <n v="4264912.2807017546"/>
    <x v="0"/>
  </r>
  <r>
    <s v="02000"/>
    <s v="26054343       "/>
    <s v="PRO AND SYS MARINE SERVICES         "/>
    <s v="                              "/>
    <m/>
    <s v="05400543432"/>
    <s v="520369"/>
    <n v="0"/>
    <x v="29"/>
    <s v="221"/>
    <s v="CLICOM CMT CONSTRUCTION       "/>
    <n v="84"/>
    <n v="200000000"/>
    <n v="3254475"/>
    <n v="8"/>
    <s v="VA"/>
    <x v="30"/>
    <d v="2030-09-14T00:00:00"/>
    <m/>
    <s v="1"/>
    <s v="AMETH NIANG                   "/>
    <n v="5909523.8095238097"/>
    <n v="3319047.6190476189"/>
    <n v="0"/>
    <n v="0"/>
    <x v="1"/>
  </r>
  <r>
    <s v="01100"/>
    <s v="26002353       "/>
    <s v="TRANSPORT DJIBRIL AGNE              "/>
    <s v="                              "/>
    <m/>
    <s v="06100023534"/>
    <s v="491643"/>
    <n v="0"/>
    <x v="30"/>
    <s v="220"/>
    <s v="CLICOM CMT EQUIPEMENT         "/>
    <n v="41"/>
    <n v="700000000"/>
    <n v="19918110"/>
    <n v="7.75"/>
    <s v="VA"/>
    <x v="31"/>
    <d v="2025-06-14T00:00:00"/>
    <d v="2022-01-14T00:00:00"/>
    <s v="9"/>
    <s v="CDL MK                        "/>
    <n v="5804878.0487804879"/>
    <n v="12770731.707317075"/>
    <n v="19736585.36585366"/>
    <n v="0"/>
    <x v="0"/>
  </r>
  <r>
    <s v="00500"/>
    <s v="26057767       "/>
    <s v="VALPROSEN SUARL                     "/>
    <s v="                              "/>
    <m/>
    <s v="05000577674"/>
    <s v="476772"/>
    <n v="0"/>
    <x v="31"/>
    <s v="221"/>
    <s v="CLICOM CMT CONSTRUCTION       "/>
    <n v="60"/>
    <n v="465000000"/>
    <n v="9734082"/>
    <n v="8"/>
    <s v="VA"/>
    <x v="32"/>
    <d v="2026-04-30T00:00:00"/>
    <m/>
    <s v="1"/>
    <s v="MARIEME SOUGOU                "/>
    <n v="5270000"/>
    <n v="8432000"/>
    <n v="11594000"/>
    <n v="14756000.000000002"/>
    <x v="0"/>
  </r>
  <r>
    <s v="01500"/>
    <s v="08151615       "/>
    <s v="MOUSSE DU SENEGAL                   "/>
    <s v="                              "/>
    <m/>
    <s v="05000815164"/>
    <s v="515103"/>
    <n v="0"/>
    <x v="32"/>
    <s v="220"/>
    <s v="CLICOM CMT EQUIPEMENT         "/>
    <n v="48"/>
    <n v="200000000"/>
    <n v="4900441"/>
    <n v="7"/>
    <s v="VA"/>
    <x v="33"/>
    <d v="2027-04-25T00:00:00"/>
    <m/>
    <s v="1"/>
    <s v="KHADIDIATOU MBENGUE           "/>
    <n v="4533333.333333334"/>
    <n v="6233333.333333334"/>
    <n v="0"/>
    <n v="0"/>
    <x v="1"/>
  </r>
  <r>
    <s v="01100"/>
    <s v="26002353       "/>
    <s v="TRANSPORT DJIBRIL AGNE              "/>
    <s v="                              "/>
    <m/>
    <s v="06100023534"/>
    <s v="508097"/>
    <n v="0"/>
    <x v="33"/>
    <s v="220"/>
    <s v="CLICOM CMT EQUIPEMENT         "/>
    <n v="30"/>
    <n v="400000000"/>
    <n v="15005815"/>
    <n v="8"/>
    <s v="VA"/>
    <x v="34"/>
    <d v="2025-06-07T00:00:00"/>
    <d v="2022-12-07T00:00:00"/>
    <s v="9"/>
    <s v="CDL MK                        "/>
    <n v="4533333.333333334"/>
    <n v="9973333.333333334"/>
    <n v="0"/>
    <n v="0"/>
    <x v="0"/>
  </r>
  <r>
    <s v="00500"/>
    <s v="26015351       "/>
    <s v="SOCIETE DE DISTRIBUTION ET DE COMMER"/>
    <s v="                              "/>
    <m/>
    <s v="05000153518"/>
    <s v="515427"/>
    <n v="0"/>
    <x v="34"/>
    <s v="128"/>
    <s v="CLICOM CCT TRESORERIE         "/>
    <n v="24"/>
    <n v="350000000"/>
    <n v="15859899"/>
    <n v="7"/>
    <s v="VA"/>
    <x v="35"/>
    <d v="2025-05-25T00:00:00"/>
    <m/>
    <s v="1"/>
    <s v="MARIEME SOUGOU                "/>
    <n v="4462500"/>
    <n v="10412500"/>
    <n v="0"/>
    <n v="0"/>
    <x v="0"/>
  </r>
  <r>
    <s v="06000"/>
    <s v="27516560       "/>
    <s v="PHARMACIE CHAMP DE COURSE           "/>
    <s v="                              "/>
    <m/>
    <s v="13002751656"/>
    <s v="475039"/>
    <n v="0"/>
    <x v="35"/>
    <s v="221"/>
    <s v="CLICOM CMT CONSTRUCTION       "/>
    <n v="120"/>
    <n v="174000000"/>
    <n v="2238202"/>
    <n v="8"/>
    <s v="VA"/>
    <x v="36"/>
    <d v="2031-12-11T00:00:00"/>
    <m/>
    <s v="1"/>
    <s v="MOUHAMADOU MOUSTAPHA DIENG    "/>
    <n v="4338400"/>
    <n v="4930000"/>
    <n v="5521600"/>
    <n v="0"/>
    <x v="1"/>
  </r>
  <r>
    <s v="01200"/>
    <s v="39003912       "/>
    <s v="AFRIQUE PARE-BRISE SARL &quot;C.A.P&quot;     "/>
    <s v="                              "/>
    <m/>
    <s v="05003900390"/>
    <s v="492955"/>
    <n v="0"/>
    <x v="36"/>
    <s v="222"/>
    <s v="CLICOM CMT TRESORERIE         "/>
    <n v="60"/>
    <n v="245000000"/>
    <n v="5212641"/>
    <n v="8"/>
    <s v="VA"/>
    <x v="37"/>
    <d v="2027-02-01T00:00:00"/>
    <m/>
    <s v="1"/>
    <s v="YAYE FATOU GAYE               "/>
    <n v="4165000.0000000005"/>
    <n v="5831000"/>
    <n v="7497000.0000000009"/>
    <n v="0"/>
    <x v="0"/>
  </r>
  <r>
    <s v="00500"/>
    <s v="15474605       "/>
    <s v="INTERNATIONAL TRADING AND SHIPPING  "/>
    <s v="                              "/>
    <m/>
    <s v="05001547460"/>
    <s v="493972"/>
    <n v="0"/>
    <x v="37"/>
    <s v="220"/>
    <s v="CLICOM CMT EQUIPEMENT         "/>
    <n v="60"/>
    <n v="207000000"/>
    <n v="4333237"/>
    <n v="8"/>
    <s v="VA"/>
    <x v="38"/>
    <d v="2027-06-15T00:00:00"/>
    <m/>
    <s v="1"/>
    <s v="CHEIKH TALIBOUYA NDIAYE       "/>
    <n v="3988200.0000000005"/>
    <n v="5395800"/>
    <n v="3225750"/>
    <n v="0"/>
    <x v="0"/>
  </r>
  <r>
    <s v="01100"/>
    <s v="24234611       "/>
    <s v="EXCELLENCE AUTOMOBILES SARL         "/>
    <s v="                              "/>
    <m/>
    <s v="06202423467"/>
    <s v="528340"/>
    <n v="0"/>
    <x v="38"/>
    <s v="257"/>
    <s v="CLIPRO CMT EQUIPEMENT         "/>
    <n v="36"/>
    <n v="150000000"/>
    <n v="4959845"/>
    <n v="9.99"/>
    <s v="VA"/>
    <x v="39"/>
    <d v="2026-12-29T00:00:00"/>
    <m/>
    <s v="1"/>
    <s v="WRATCHET FOCK TITE            "/>
    <n v="3966666.666666667"/>
    <n v="0"/>
    <n v="0"/>
    <n v="0"/>
    <x v="1"/>
  </r>
  <r>
    <s v="06400"/>
    <s v="55393364       "/>
    <s v="INSTITUT SUPERIEUR DE SANTE DE MBOUR"/>
    <s v="                              "/>
    <m/>
    <s v="05505539333"/>
    <s v="484758"/>
    <n v="0"/>
    <x v="39"/>
    <s v="221"/>
    <s v="CLICOM CMT CONSTRUCTION       "/>
    <n v="78"/>
    <n v="180000000"/>
    <n v="3306066"/>
    <n v="10"/>
    <s v="VA"/>
    <x v="40"/>
    <d v="2028-09-02T00:00:00"/>
    <m/>
    <s v="1"/>
    <s v="SIMON COLY                    "/>
    <n v="3844615.384615385"/>
    <n v="4786153.846153846"/>
    <n v="5727692.307692308"/>
    <n v="0"/>
    <x v="1"/>
  </r>
  <r>
    <s v="11700"/>
    <s v="25951660       "/>
    <s v="CLINIQUE MEDICALE KEUR MARIE-SARL   "/>
    <s v="                              "/>
    <m/>
    <s v="13009516605"/>
    <s v="531732"/>
    <n v="0"/>
    <x v="40"/>
    <s v="221"/>
    <s v="CLICOM CMT CONSTRUCTION       "/>
    <n v="60"/>
    <n v="120000000"/>
    <n v="2622816"/>
    <n v="9"/>
    <s v="VA"/>
    <x v="41"/>
    <d v="2028-12-20T00:00:00"/>
    <m/>
    <s v="1"/>
    <s v="ZAKIA BEYE                    "/>
    <n v="3536000.0000000005"/>
    <n v="0"/>
    <n v="0"/>
    <n v="0"/>
    <x v="1"/>
  </r>
  <r>
    <s v="01500"/>
    <s v="08176615       "/>
    <s v="DELPHINUS IMPORT EXPORT             "/>
    <s v="                              "/>
    <m/>
    <s v="05000817665"/>
    <s v="477886"/>
    <n v="0"/>
    <x v="41"/>
    <s v="221"/>
    <s v="CLICOM CMT CONSTRUCTION       "/>
    <n v="60"/>
    <n v="275000000"/>
    <n v="5576008"/>
    <n v="8"/>
    <s v="VA"/>
    <x v="42"/>
    <d v="2026-04-14T00:00:00"/>
    <m/>
    <s v="1"/>
    <s v="MARIEME SOUGOU                "/>
    <n v="3116666.666666667"/>
    <n v="4986666.666666667"/>
    <n v="6856666.666666667"/>
    <n v="8726666.6666666679"/>
    <x v="0"/>
  </r>
  <r>
    <s v="01100"/>
    <s v="25940540       "/>
    <s v="CABINET DENTAIRE DE LA PLACE OMVS   "/>
    <s v="                              "/>
    <m/>
    <s v="06209405400"/>
    <s v="475151"/>
    <n v="1"/>
    <x v="42"/>
    <s v="221"/>
    <s v="CLICOM CMT CONSTRUCTION       "/>
    <n v="81"/>
    <n v="150000000"/>
    <n v="293237"/>
    <n v="9"/>
    <s v="VA"/>
    <x v="43"/>
    <d v="2028-09-15T00:00:00"/>
    <m/>
    <s v="1"/>
    <s v="WRATCHET FOCK TITE            "/>
    <n v="3085185.1851851852"/>
    <n v="3840740.7407407411"/>
    <n v="4596296.2962962966"/>
    <n v="0"/>
    <x v="1"/>
  </r>
  <r>
    <s v="00500"/>
    <s v="15625005       "/>
    <s v="IDEA MOBILIER                       "/>
    <s v="                              "/>
    <m/>
    <s v="05001562501"/>
    <s v="507861"/>
    <n v="0"/>
    <x v="43"/>
    <s v="222"/>
    <s v="CLICOM CMT TRESORERIE         "/>
    <n v="36"/>
    <n v="196700000"/>
    <n v="6181119"/>
    <n v="7"/>
    <s v="VA"/>
    <x v="44"/>
    <d v="2025-12-15T00:00:00"/>
    <d v="2023-01-15T00:00:00"/>
    <s v="9"/>
    <s v="YAYE FATOU GAYE               "/>
    <n v="2972355.555555556"/>
    <n v="5201622.222222222"/>
    <n v="0"/>
    <n v="0"/>
    <x v="1"/>
  </r>
  <r>
    <s v="00500"/>
    <s v="26079622       "/>
    <s v="AFRICAINE DE PRODUCTION AGRICOLE APA"/>
    <s v="                              "/>
    <m/>
    <s v="05000796225"/>
    <s v="518213"/>
    <n v="1"/>
    <x v="44"/>
    <s v="221"/>
    <s v="CLICOM CMT CONSTRUCTION       "/>
    <n v="48"/>
    <n v="105000000"/>
    <n v="2689877"/>
    <n v="9"/>
    <s v="VA"/>
    <x v="45"/>
    <d v="2027-11-02T00:00:00"/>
    <m/>
    <s v="1"/>
    <s v="SALIOU MBACKE BA              "/>
    <n v="2900625"/>
    <n v="1785000.0000000002"/>
    <n v="0"/>
    <n v="0"/>
    <x v="1"/>
  </r>
  <r>
    <s v="01500"/>
    <s v="08080100       "/>
    <s v="SICAS                               "/>
    <s v="                              "/>
    <m/>
    <s v="05000808011"/>
    <s v="528985"/>
    <n v="0"/>
    <x v="45"/>
    <s v="220"/>
    <s v="CLICOM CMT EQUIPEMENT         "/>
    <n v="48"/>
    <n v="100000000"/>
    <n v="2505633"/>
    <n v="8"/>
    <s v="VA"/>
    <x v="46"/>
    <d v="2027-12-01T00:00:00"/>
    <m/>
    <s v="1"/>
    <s v="CHEIKH TALIBOUYA NDIAYE       "/>
    <n v="2833333.3333333335"/>
    <n v="0"/>
    <n v="0"/>
    <n v="0"/>
    <x v="1"/>
  </r>
  <r>
    <s v="01400"/>
    <s v="56396314       "/>
    <s v="CLINIQUE MAIMOUNA SAS               "/>
    <s v="                              "/>
    <m/>
    <s v="06105639635"/>
    <s v="510394"/>
    <n v="0"/>
    <x v="46"/>
    <s v="221"/>
    <s v="CLICOM CMT CONSTRUCTION       "/>
    <n v="54"/>
    <n v="96200000"/>
    <n v="2244429"/>
    <n v="9"/>
    <s v="VA"/>
    <x v="41"/>
    <d v="2028-06-20T00:00:00"/>
    <m/>
    <s v="1"/>
    <s v="Couro Thiam AGNE              "/>
    <n v="2786237.0370370373"/>
    <n v="0"/>
    <n v="0"/>
    <n v="0"/>
    <x v="1"/>
  </r>
  <r>
    <s v="00500"/>
    <s v="26057913       "/>
    <s v="CLINIQUE DAROU SALAM                "/>
    <s v="                              "/>
    <m/>
    <s v="06200579130"/>
    <s v="505855"/>
    <n v="0"/>
    <x v="47"/>
    <s v="221"/>
    <s v="CLICOM CMT CONSTRUCTION       "/>
    <n v="108"/>
    <n v="88000000"/>
    <n v="1409274"/>
    <n v="10.9"/>
    <s v="VA"/>
    <x v="47"/>
    <d v="2032-11-23T00:00:00"/>
    <d v="2024-02-23T00:00:00"/>
    <s v="9"/>
    <s v="MME DIAGNE MARIE              "/>
    <n v="2742666.666666667"/>
    <n v="1496000"/>
    <n v="0"/>
    <n v="0"/>
    <x v="1"/>
  </r>
  <r>
    <s v="01700"/>
    <s v="26052612       "/>
    <s v="CLINIQUE AL AMINE                   "/>
    <s v="                              "/>
    <m/>
    <s v="13000526126"/>
    <s v="485778"/>
    <n v="0"/>
    <x v="48"/>
    <s v="221"/>
    <s v="CLICOM CMT CONSTRUCTION       "/>
    <n v="54"/>
    <n v="169000000"/>
    <n v="3846874"/>
    <n v="8"/>
    <s v="VA"/>
    <x v="48"/>
    <d v="2026-07-08T00:00:00"/>
    <m/>
    <s v="1"/>
    <s v="FALL CHEIKH TIDIANE JEAN      "/>
    <n v="2447370.3703703703"/>
    <n v="3724259.2592592593"/>
    <n v="5001148.1481481483"/>
    <n v="0"/>
    <x v="1"/>
  </r>
  <r>
    <s v="06000"/>
    <s v="25991790       "/>
    <s v="TOUT FAIRE GEOTECHNIQUE             "/>
    <s v="                              "/>
    <m/>
    <s v="06209917906"/>
    <s v="508104"/>
    <n v="0"/>
    <x v="49"/>
    <s v="257"/>
    <s v="CLIPRO CMT EQUIPEMENT         "/>
    <n v="60"/>
    <n v="102200000"/>
    <n v="2233765"/>
    <n v="9"/>
    <s v="VA"/>
    <x v="49"/>
    <d v="2028-02-22T00:00:00"/>
    <m/>
    <s v="1"/>
    <s v="MOUHAMADOU MOUSTAPHA DIENG    "/>
    <n v="2432360"/>
    <n v="3127320"/>
    <n v="0"/>
    <n v="0"/>
    <x v="1"/>
  </r>
  <r>
    <s v="41200"/>
    <s v="25960489       "/>
    <s v=" DIGRAF                             "/>
    <s v="                              "/>
    <m/>
    <s v="06209604895"/>
    <s v="511924"/>
    <n v="0"/>
    <x v="50"/>
    <s v="257"/>
    <s v="CLIPRO CMT EQUIPEMENT         "/>
    <n v="60"/>
    <n v="96000000"/>
    <n v="2098253"/>
    <n v="9"/>
    <s v="VA"/>
    <x v="50"/>
    <d v="2028-03-22T00:00:00"/>
    <m/>
    <s v="1"/>
    <s v="MOUHAMADOU LAMINE NDIAYE      "/>
    <n v="2339200"/>
    <n v="2992000"/>
    <n v="0"/>
    <n v="0"/>
    <x v="1"/>
  </r>
  <r>
    <s v="26200"/>
    <s v="51617726       "/>
    <s v="DIOP ALIOU                          "/>
    <s v="                              "/>
    <m/>
    <s v="06205161774"/>
    <s v="502380"/>
    <n v="1"/>
    <x v="51"/>
    <s v="221"/>
    <s v="CLICOM CMT CONSTRUCTION       "/>
    <n v="60"/>
    <n v="100000000"/>
    <n v="223872"/>
    <n v="9.9"/>
    <s v="VA"/>
    <x v="51"/>
    <d v="2027-12-27T00:00:00"/>
    <m/>
    <s v="1"/>
    <s v="MBAYE NDIAYE                  "/>
    <n v="2266666.666666667"/>
    <n v="2946666.666666667"/>
    <n v="0"/>
    <n v="0"/>
    <x v="1"/>
  </r>
  <r>
    <s v="01500"/>
    <s v="08141415       "/>
    <s v="SILCAR                              "/>
    <s v="                              "/>
    <m/>
    <s v="05000814142"/>
    <s v="502497"/>
    <n v="0"/>
    <x v="52"/>
    <s v="220"/>
    <s v="CLICOM CMT EQUIPEMENT         "/>
    <n v="36"/>
    <n v="200000000"/>
    <n v="6284818"/>
    <n v="7"/>
    <s v="VA"/>
    <x v="52"/>
    <d v="2025-08-01T00:00:00"/>
    <m/>
    <s v="1"/>
    <s v="MAMADOU DIAGNE                "/>
    <n v="2266666.666666667"/>
    <n v="4533333.333333334"/>
    <n v="3116666.666666667"/>
    <n v="0"/>
    <x v="1"/>
  </r>
  <r>
    <s v="01200"/>
    <s v="39020612       "/>
    <s v="DIA MAMADOU                         "/>
    <s v="                              "/>
    <m/>
    <s v="06203902061"/>
    <s v="476815"/>
    <n v="0"/>
    <x v="53"/>
    <s v="221"/>
    <s v="CLICOM CMT CONSTRUCTION       "/>
    <n v="54"/>
    <n v="178500000"/>
    <n v="4063118"/>
    <n v="8"/>
    <s v="VA"/>
    <x v="53"/>
    <d v="2026-04-09T00:00:00"/>
    <m/>
    <s v="1"/>
    <s v="MOUHAMADOU LAMINE NDIAYE      "/>
    <n v="2247777.777777778"/>
    <n v="3596444.4444444445"/>
    <n v="4945111.1111111119"/>
    <n v="2978305.555555556"/>
    <x v="1"/>
  </r>
  <r>
    <s v="00500"/>
    <s v="15680105       "/>
    <s v="LE ROND POINT SARL                  "/>
    <s v="                              "/>
    <m/>
    <s v="05001568011"/>
    <s v="478120"/>
    <n v="0"/>
    <x v="54"/>
    <s v="221"/>
    <s v="CLICOM CMT CONSTRUCTION       "/>
    <n v="60"/>
    <n v="200000000"/>
    <n v="4301753"/>
    <n v="9"/>
    <s v="VA"/>
    <x v="54"/>
    <d v="2026-03-03T00:00:00"/>
    <m/>
    <s v="1"/>
    <s v="LOUIS SAGNA                   "/>
    <n v="2153333.3333333335"/>
    <n v="3513333.3333333335"/>
    <n v="4873333.333333334"/>
    <n v="6233333.333333334"/>
    <x v="1"/>
  </r>
  <r>
    <s v="21300"/>
    <s v="26037739       "/>
    <s v="CIEM SUARL                          "/>
    <s v="                              "/>
    <m/>
    <s v="06100377395"/>
    <s v="515433"/>
    <n v="0"/>
    <x v="55"/>
    <s v="257"/>
    <s v="CLIPRO CMT EQUIPEMENT         "/>
    <n v="54"/>
    <n v="75500000"/>
    <n v="1718574"/>
    <n v="8"/>
    <s v="VA"/>
    <x v="55"/>
    <d v="2028-05-26T00:00:00"/>
    <m/>
    <s v="1"/>
    <s v=" ALIOUNE BADARA SAKHO         "/>
    <n v="2139166.6666666665"/>
    <n v="1283500"/>
    <n v="0"/>
    <n v="0"/>
    <x v="1"/>
  </r>
  <r>
    <s v="04000"/>
    <s v="09529340       "/>
    <s v="FALL DAME                           "/>
    <s v="                              "/>
    <m/>
    <s v="06200952938"/>
    <s v="486601"/>
    <n v="0"/>
    <x v="56"/>
    <s v="221"/>
    <s v="CLICOM CMT CONSTRUCTION       "/>
    <n v="113"/>
    <n v="81000000"/>
    <n v="1329546"/>
    <n v="12"/>
    <s v="VA"/>
    <x v="56"/>
    <d v="2031-10-29T00:00:00"/>
    <m/>
    <s v="1"/>
    <s v="SIMON COLY                    "/>
    <n v="2095964.6017699116"/>
    <n v="2388424.7787610623"/>
    <n v="2680884.9557522126"/>
    <n v="0"/>
    <x v="1"/>
  </r>
  <r>
    <s v="03500"/>
    <s v="25966049       "/>
    <s v="INSTITUT SUPERIEUR DES ETUDES TECHNO"/>
    <s v="                              "/>
    <m/>
    <s v="06109660491"/>
    <s v="510251"/>
    <n v="0"/>
    <x v="57"/>
    <s v="221"/>
    <s v="CLICOM CMT CONSTRUCTION       "/>
    <n v="78"/>
    <n v="80000000"/>
    <n v="1498878"/>
    <n v="10"/>
    <s v="VA"/>
    <x v="57"/>
    <d v="2029-07-01T00:00:00"/>
    <m/>
    <s v="1"/>
    <s v="SIMON COLY                    "/>
    <n v="2057435.8974358975"/>
    <n v="2475897.435897436"/>
    <n v="0"/>
    <n v="0"/>
    <x v="1"/>
  </r>
  <r>
    <s v="00500"/>
    <s v="15652405       "/>
    <s v="SPEEDY SERVICES SENEGAL SARL        "/>
    <s v="                              "/>
    <m/>
    <s v="05001565249"/>
    <s v="486567"/>
    <n v="0"/>
    <x v="58"/>
    <s v="222"/>
    <s v="CLICOM CMT TRESORERIE         "/>
    <n v="60"/>
    <n v="150000000"/>
    <n v="3140027"/>
    <n v="8"/>
    <s v="VA"/>
    <x v="58"/>
    <d v="2026-08-04T00:00:00"/>
    <m/>
    <s v="1"/>
    <s v="SALIOU MBACKE BA              "/>
    <n v="2040000.0000000002"/>
    <n v="3060000"/>
    <n v="4080000.0000000005"/>
    <n v="2422500"/>
    <x v="1"/>
  </r>
  <r>
    <s v="16100"/>
    <s v="52935516       "/>
    <s v="COURS PRIVES &quot;LES CRACKS&quot;           "/>
    <s v="                              "/>
    <m/>
    <s v="06205293555"/>
    <s v="527505"/>
    <n v="0"/>
    <x v="59"/>
    <s v="221"/>
    <s v="CLICOM CMT CONSTRUCTION       "/>
    <n v="54"/>
    <n v="60000000"/>
    <n v="956296"/>
    <n v="10"/>
    <s v="VA"/>
    <x v="59"/>
    <d v="2028-11-03T00:00:00"/>
    <m/>
    <s v="1"/>
    <s v="ALASSANE DJIGO                "/>
    <n v="1926666.6666666667"/>
    <n v="0"/>
    <n v="0"/>
    <n v="0"/>
    <x v="1"/>
  </r>
  <r>
    <s v="00500"/>
    <s v="26068228       "/>
    <s v="KAAWAR KHALED                       "/>
    <s v="                              "/>
    <m/>
    <s v="05000682284"/>
    <s v="515827"/>
    <n v="0"/>
    <x v="60"/>
    <s v="128"/>
    <s v="CLICOM CCT TRESORERIE         "/>
    <n v="24"/>
    <n v="150000000"/>
    <n v="6837237"/>
    <n v="7.5"/>
    <s v="VA"/>
    <x v="60"/>
    <d v="2025-05-10T00:00:00"/>
    <m/>
    <s v="1"/>
    <s v="ADJA FATOU CISSE EP NIANG     "/>
    <n v="1912500.0000000002"/>
    <n v="4462500"/>
    <n v="0"/>
    <n v="0"/>
    <x v="1"/>
  </r>
  <r>
    <s v="01400"/>
    <s v="26068572       "/>
    <s v="NIANG THIERNO                       "/>
    <s v="                              "/>
    <m/>
    <s v="06200685723"/>
    <s v="513960"/>
    <n v="0"/>
    <x v="34"/>
    <s v="257"/>
    <s v="CLIPRO CMT EQUIPEMENT         "/>
    <n v="57"/>
    <n v="70000000"/>
    <n v="1714942"/>
    <n v="12"/>
    <s v="VA"/>
    <x v="61"/>
    <d v="2028-05-25T00:00:00"/>
    <m/>
    <s v="1"/>
    <s v="Couro Thiam AGNE              "/>
    <n v="1878947.3684210528"/>
    <n v="1127368.4210526317"/>
    <n v="0"/>
    <n v="0"/>
    <x v="1"/>
  </r>
  <r>
    <s v="00500"/>
    <s v="26064944       "/>
    <s v="SCI SONGEK                          "/>
    <s v="                              "/>
    <m/>
    <s v="06100649447"/>
    <s v="487682"/>
    <n v="0"/>
    <x v="61"/>
    <s v="357"/>
    <s v="CLIPRO CLT EQUIPEMENT         "/>
    <n v="78"/>
    <n v="85000000"/>
    <n v="1463667"/>
    <n v="7.5"/>
    <s v="VA"/>
    <x v="62"/>
    <d v="2028-09-23T00:00:00"/>
    <m/>
    <s v="1"/>
    <s v="OMAR DIONE                    "/>
    <n v="1815512.8205128205"/>
    <n v="2260128.2051282055"/>
    <n v="2704743.58974359"/>
    <n v="0"/>
    <x v="1"/>
  </r>
  <r>
    <s v="21300"/>
    <s v="26037739       "/>
    <s v="CIEM SUARL                          "/>
    <s v="                              "/>
    <m/>
    <s v="06100377395"/>
    <s v="510808"/>
    <n v="0"/>
    <x v="62"/>
    <s v="257"/>
    <s v="CLIPRO CMT EQUIPEMENT         "/>
    <n v="60"/>
    <n v="75500000"/>
    <n v="1580480"/>
    <n v="8"/>
    <s v="VA"/>
    <x v="63"/>
    <d v="2028-02-16T00:00:00"/>
    <d v="2023-05-16T00:00:00"/>
    <s v="9"/>
    <s v=" ALIOUNE BADARA SAKHO         "/>
    <n v="1796900.0000000002"/>
    <n v="2310300"/>
    <n v="0"/>
    <n v="0"/>
    <x v="1"/>
  </r>
  <r>
    <s v="00500"/>
    <s v="25988207       "/>
    <s v="MEDICUS                             "/>
    <s v="                              "/>
    <m/>
    <s v="13009882079"/>
    <s v="495600"/>
    <n v="0"/>
    <x v="63"/>
    <s v="221"/>
    <s v="CLICOM CMT CONSTRUCTION       "/>
    <n v="78"/>
    <n v="60000000"/>
    <n v="1124159"/>
    <n v="10"/>
    <s v="VA"/>
    <x v="64"/>
    <d v="2029-12-02T00:00:00"/>
    <m/>
    <s v="1"/>
    <s v="AISSATOU KEBE EPOUSE DIENG    "/>
    <n v="1673846.153846154"/>
    <n v="954615.38461538462"/>
    <n v="0"/>
    <n v="0"/>
    <x v="1"/>
  </r>
  <r>
    <s v="11900"/>
    <s v="25992789       "/>
    <s v="CLINIQUE ABSA GRAND MBAO            "/>
    <s v="                              "/>
    <m/>
    <s v="13009927899"/>
    <s v="507426"/>
    <n v="0"/>
    <x v="64"/>
    <s v="221"/>
    <s v="CLICOM CMT CONSTRUCTION       "/>
    <n v="48"/>
    <n v="86000000"/>
    <n v="2232291"/>
    <n v="9"/>
    <s v="VA"/>
    <x v="65"/>
    <d v="2026-11-17T00:00:00"/>
    <m/>
    <s v="1"/>
    <s v="AIDA ADANGNISSODE             "/>
    <n v="1644750.0000000002"/>
    <n v="2375750"/>
    <n v="1462000"/>
    <n v="0"/>
    <x v="1"/>
  </r>
  <r>
    <s v="01900"/>
    <s v="37720219       "/>
    <s v="BIJOUTERIE CHEZ DIOUF               "/>
    <s v="                              "/>
    <m/>
    <s v="06303772021"/>
    <s v="515164"/>
    <n v="0"/>
    <x v="65"/>
    <s v="221"/>
    <s v="CLICOM CMT CONSTRUCTION       "/>
    <n v="60"/>
    <n v="100000000"/>
    <n v="2365315"/>
    <n v="12"/>
    <s v="VA"/>
    <x v="66"/>
    <d v="2029-09-21T00:00:00"/>
    <m/>
    <s v="1"/>
    <s v="AIDA ADANGNISSODE             "/>
    <n v="1643333.3333333335"/>
    <n v="0"/>
    <n v="0"/>
    <n v="0"/>
    <x v="1"/>
  </r>
  <r>
    <s v="02000"/>
    <s v="15802705       "/>
    <s v="MEDICS SARL                         "/>
    <s v="                              "/>
    <m/>
    <s v="13008027055"/>
    <s v="530667"/>
    <n v="0"/>
    <x v="66"/>
    <s v="157"/>
    <s v="CLIPRO CCT EQUIPEMENT         "/>
    <n v="24"/>
    <n v="69000000"/>
    <n v="3314193"/>
    <n v="12"/>
    <s v="VA"/>
    <x v="67"/>
    <d v="2025-12-15T00:00:00"/>
    <m/>
    <s v="1"/>
    <s v="AMETH NIANG                   "/>
    <n v="1564000"/>
    <n v="0"/>
    <n v="0"/>
    <n v="0"/>
    <x v="1"/>
  </r>
  <r>
    <s v="06400"/>
    <s v="55507564       "/>
    <s v="DJIBY CISS                          "/>
    <s v="                              "/>
    <m/>
    <s v="06205550752"/>
    <s v="488603"/>
    <n v="0"/>
    <x v="67"/>
    <s v="257"/>
    <s v="CLIPRO CMT EQUIPEMENT         "/>
    <n v="60"/>
    <n v="100000000"/>
    <n v="2244066"/>
    <n v="9.99"/>
    <s v="VA"/>
    <x v="68"/>
    <d v="2026-10-25T00:00:00"/>
    <m/>
    <s v="1"/>
    <s v="SIMON COLY                    "/>
    <n v="1473333.3333333335"/>
    <n v="2153333.3333333335"/>
    <n v="2833333.3333333335"/>
    <n v="1671666.6666666667"/>
    <x v="1"/>
  </r>
  <r>
    <s v="01700"/>
    <s v="00768312       "/>
    <s v="BUREAU D'ETUDES TECHNIQUES PLUS S.A "/>
    <s v="                              "/>
    <m/>
    <s v="05000076839"/>
    <s v="487958"/>
    <n v="0"/>
    <x v="61"/>
    <s v="220"/>
    <s v="CLICOM CMT EQUIPEMENT         "/>
    <n v="60"/>
    <n v="97000000"/>
    <n v="2030551"/>
    <n v="8"/>
    <s v="VA"/>
    <x v="69"/>
    <d v="2026-09-23T00:00:00"/>
    <m/>
    <s v="1"/>
    <s v="NDEYE OULIMATA BOYE           "/>
    <n v="1374166.6666666667"/>
    <n v="2033766.6666666667"/>
    <n v="2693366.666666667"/>
    <n v="1594033.3333333335"/>
    <x v="1"/>
  </r>
  <r>
    <s v="00500"/>
    <s v="26032670       "/>
    <s v="MADTRANS                            "/>
    <s v="                              "/>
    <m/>
    <s v="05000326700"/>
    <s v="478445"/>
    <n v="0"/>
    <x v="68"/>
    <s v="220"/>
    <s v="CLICOM CMT EQUIPEMENT         "/>
    <n v="60"/>
    <n v="127000000"/>
    <n v="2731613"/>
    <n v="9"/>
    <s v="VA"/>
    <x v="70"/>
    <d v="2026-03-11T00:00:00"/>
    <m/>
    <s v="1"/>
    <s v="MARIEME SOUGOU                "/>
    <n v="1367366.6666666667"/>
    <n v="2230966.666666667"/>
    <n v="3094566.666666667"/>
    <n v="3958166.666666667"/>
    <x v="1"/>
  </r>
  <r>
    <s v="11700"/>
    <s v="25951660       "/>
    <s v="CLINIQUE MEDICALE KEUR MARIE-SARL   "/>
    <s v="                              "/>
    <m/>
    <s v="13009516605"/>
    <s v="523803"/>
    <n v="0"/>
    <x v="29"/>
    <s v="221"/>
    <s v="CLICOM CMT CONSTRUCTION       "/>
    <n v="60"/>
    <n v="80000000"/>
    <n v="1748544"/>
    <n v="9"/>
    <s v="VA"/>
    <x v="71"/>
    <d v="2029-09-14T00:00:00"/>
    <d v="2023-12-14T00:00:00"/>
    <s v="9"/>
    <s v="ZAKIA BEYE                    "/>
    <n v="1314666.6666666667"/>
    <n v="0"/>
    <n v="0"/>
    <n v="0"/>
    <x v="1"/>
  </r>
  <r>
    <s v="01500"/>
    <s v="08137915       "/>
    <s v="DMO                                 "/>
    <s v="                              "/>
    <m/>
    <s v="05000813797"/>
    <s v="515185"/>
    <n v="0"/>
    <x v="69"/>
    <s v="257"/>
    <s v="CLIPRO CMT EQUIPEMENT         "/>
    <n v="60"/>
    <n v="49230000"/>
    <n v="1047422"/>
    <n v="8"/>
    <s v="VA"/>
    <x v="72"/>
    <d v="2028-06-08T00:00:00"/>
    <m/>
    <s v="1"/>
    <s v=" ALIOUNE BADARA SAKHO         "/>
    <n v="1283262"/>
    <n v="767167.5"/>
    <n v="0"/>
    <n v="0"/>
    <x v="1"/>
  </r>
  <r>
    <s v="00500"/>
    <s v="15466305       "/>
    <s v="BIJOUTERIE PALME D'OR / THIAM MAMADO"/>
    <s v="                              "/>
    <d v="1970-01-09T00:00:00"/>
    <s v="05401546633"/>
    <s v="507118"/>
    <n v="0"/>
    <x v="47"/>
    <s v="257"/>
    <s v="CLIPRO CMT EQUIPEMENT         "/>
    <n v="60"/>
    <n v="57300000"/>
    <n v="1252395"/>
    <n v="9"/>
    <s v="VA"/>
    <x v="73"/>
    <d v="2027-11-23T00:00:00"/>
    <m/>
    <s v="1"/>
    <s v="MME DIAGNE MARIE              "/>
    <n v="1266330"/>
    <n v="1655970.0000000002"/>
    <n v="974100.00000000012"/>
    <n v="0"/>
    <x v="1"/>
  </r>
  <r>
    <s v="03500"/>
    <s v="25966049       "/>
    <s v="INSTITUT SUPERIEUR DES ETUDES TECHNO"/>
    <s v="                              "/>
    <m/>
    <s v="06109660491"/>
    <s v="490305"/>
    <n v="0"/>
    <x v="70"/>
    <s v="221"/>
    <s v="CLICOM CMT CONSTRUCTION       "/>
    <n v="78"/>
    <n v="50000000"/>
    <n v="936799"/>
    <n v="10"/>
    <s v="VA"/>
    <x v="74"/>
    <d v="2029-04-01T00:00:00"/>
    <d v="2023-01-01T00:00:00"/>
    <s v="9"/>
    <s v="SIMON COLY                    "/>
    <n v="1220512.8205128207"/>
    <n v="1482051.282051282"/>
    <n v="839102.56410256412"/>
    <n v="0"/>
    <x v="1"/>
  </r>
  <r>
    <s v="00500"/>
    <s v="26089508       "/>
    <s v="HIPPOCRATE SASU                     "/>
    <s v="                              "/>
    <m/>
    <s v="06100895081"/>
    <s v="519020"/>
    <n v="0"/>
    <x v="71"/>
    <s v="221"/>
    <s v="CLICOM CMT CONSTRUCTION       "/>
    <n v="54"/>
    <n v="40000000"/>
    <n v="946973"/>
    <n v="9"/>
    <s v="VA"/>
    <x v="75"/>
    <d v="2028-07-07T00:00:00"/>
    <m/>
    <s v="1"/>
    <s v=" ALIOUNE BADARA SAKHO         "/>
    <n v="1183703.7037037038"/>
    <n v="0"/>
    <n v="0"/>
    <n v="0"/>
    <x v="1"/>
  </r>
  <r>
    <s v="11200"/>
    <s v="25955248       "/>
    <s v=" NDIAYE  MAMADOU                    "/>
    <s v="                              "/>
    <m/>
    <s v="06209552488"/>
    <s v="518715"/>
    <n v="0"/>
    <x v="72"/>
    <s v="257"/>
    <s v="CLIPRO CMT EQUIPEMENT         "/>
    <n v="60"/>
    <n v="43000000"/>
    <n v="965204"/>
    <n v="10"/>
    <s v="VA"/>
    <x v="76"/>
    <d v="2028-08-29T00:00:00"/>
    <m/>
    <s v="1"/>
    <s v="MOUHAMADOU LAMINE NDIAYE      "/>
    <n v="1169600"/>
    <n v="694450"/>
    <n v="0"/>
    <n v="0"/>
    <x v="1"/>
  </r>
  <r>
    <s v="01500"/>
    <s v="08205115       "/>
    <s v="SITCOM SARL                         "/>
    <s v="                              "/>
    <m/>
    <s v="05000820511"/>
    <s v="508881"/>
    <n v="0"/>
    <x v="73"/>
    <s v="121"/>
    <s v="CLICOM CCT EQUIPEMENT         "/>
    <n v="24"/>
    <n v="196700000"/>
    <n v="9018713"/>
    <n v="8"/>
    <s v="VA"/>
    <x v="77"/>
    <d v="2024-12-21T00:00:00"/>
    <m/>
    <s v="1"/>
    <s v="CHEIKH TALIBOUYA NDIAYE       "/>
    <n v="1114633.3333333335"/>
    <n v="4458533.333333334"/>
    <n v="0"/>
    <n v="0"/>
    <x v="1"/>
  </r>
  <r>
    <s v="02200"/>
    <s v="25976989       "/>
    <s v="BA MANAGEMENT GROUP SARL            "/>
    <s v="                              "/>
    <m/>
    <s v="06109769894"/>
    <s v="477037"/>
    <n v="0"/>
    <x v="74"/>
    <s v="257"/>
    <s v="CLIPRO CMT EQUIPEMENT         "/>
    <n v="60"/>
    <n v="109170000"/>
    <n v="2322710"/>
    <n v="8"/>
    <s v="VA"/>
    <x v="78"/>
    <d v="2026-02-04T00:00:00"/>
    <m/>
    <s v="1"/>
    <s v="MOUHAMADOU LAMINE NDIAYE      "/>
    <n v="1113534"/>
    <n v="1855890.0000000002"/>
    <n v="2598246"/>
    <n v="3340602.0000000005"/>
    <x v="1"/>
  </r>
  <r>
    <s v="00500"/>
    <s v="25927362       "/>
    <s v="OK PECHE SUARL                      "/>
    <s v="                              "/>
    <m/>
    <s v="06109273629"/>
    <s v="525931"/>
    <n v="0"/>
    <x v="75"/>
    <s v="128"/>
    <s v="CLICOM CCT TRESORERIE         "/>
    <n v="24"/>
    <n v="50000000"/>
    <n v="2265700"/>
    <n v="7"/>
    <s v="VA"/>
    <x v="79"/>
    <d v="2025-10-13T00:00:00"/>
    <m/>
    <s v="1"/>
    <s v="MARIEME SOUGOU                "/>
    <n v="991666.66666666674"/>
    <n v="814583.33333333337"/>
    <n v="0"/>
    <n v="0"/>
    <x v="1"/>
  </r>
  <r>
    <s v="06100"/>
    <s v="52217061       "/>
    <s v="GUEYE MADIENE                       "/>
    <s v="                              "/>
    <d v="1979-04-15T00:00:00"/>
    <s v="05405221707"/>
    <s v="491453"/>
    <n v="1"/>
    <x v="76"/>
    <s v="220"/>
    <s v="CLICOM CMT EQUIPEMENT         "/>
    <n v="36"/>
    <n v="250000000"/>
    <n v="3196755"/>
    <n v="8"/>
    <s v="VA"/>
    <x v="80"/>
    <d v="2024-12-14T00:00:00"/>
    <m/>
    <s v="1"/>
    <s v="YAYE FATOU GAYE               "/>
    <n v="944444.4444444445"/>
    <n v="3777777.777777778"/>
    <n v="6611111.1111111119"/>
    <n v="0"/>
    <x v="0"/>
  </r>
  <r>
    <s v="00500"/>
    <s v="15692705       "/>
    <s v="AL AMINE                            "/>
    <s v="                              "/>
    <m/>
    <s v="06201569270"/>
    <s v="475674"/>
    <n v="0"/>
    <x v="77"/>
    <s v="222"/>
    <s v="CLICOM CMT TRESORERIE         "/>
    <n v="96"/>
    <n v="49500000"/>
    <n v="796379"/>
    <n v="10"/>
    <s v="VA"/>
    <x v="81"/>
    <d v="2029-01-14T00:00:00"/>
    <m/>
    <s v="1"/>
    <s v="MME DIAGNE MARIE              "/>
    <n v="929156.25000000012"/>
    <n v="1139531.25"/>
    <n v="1349906.25"/>
    <n v="1560281.25"/>
    <x v="1"/>
  </r>
  <r>
    <s v="02000"/>
    <s v="33096020       "/>
    <s v="SOLEIL VERT                         "/>
    <s v="                              "/>
    <m/>
    <s v="05003309603"/>
    <s v="488213"/>
    <n v="0"/>
    <x v="78"/>
    <s v="220"/>
    <s v="CLICOM CMT EQUIPEMENT         "/>
    <n v="48"/>
    <n v="100000000"/>
    <n v="2477834"/>
    <n v="7.5"/>
    <s v="VA"/>
    <x v="82"/>
    <d v="2025-09-29T00:00:00"/>
    <m/>
    <s v="1"/>
    <s v="MARIEME SOUGOU                "/>
    <n v="920833.33333333337"/>
    <n v="1770833.3333333335"/>
    <n v="2620833.3333333335"/>
    <n v="1629166.6666666667"/>
    <x v="1"/>
  </r>
  <r>
    <s v="01100"/>
    <s v="25949900       "/>
    <s v="AFRIBAT ETUDES ET REALISATION SARL  "/>
    <s v="                              "/>
    <m/>
    <s v="06109499008"/>
    <s v="492859"/>
    <n v="0"/>
    <x v="36"/>
    <s v="257"/>
    <s v="CLIPRO CMT EQUIPEMENT         "/>
    <n v="60"/>
    <n v="53500000"/>
    <n v="1200575"/>
    <n v="9.99"/>
    <s v="VA"/>
    <x v="37"/>
    <d v="2027-02-01T00:00:00"/>
    <m/>
    <s v="1"/>
    <s v="WRATCHET FOCK TITE            "/>
    <n v="909500.00000000012"/>
    <n v="1273300"/>
    <n v="1637100.0000000002"/>
    <n v="0"/>
    <x v="1"/>
  </r>
  <r>
    <s v="21800"/>
    <s v="65274821       "/>
    <s v="BOULANGERIE PATISSERIE NDAMLOR      "/>
    <s v="                              "/>
    <m/>
    <s v="06206527488"/>
    <s v="506928"/>
    <n v="0"/>
    <x v="79"/>
    <s v="257"/>
    <s v="CLIPRO CMT EQUIPEMENT         "/>
    <n v="60"/>
    <n v="40000000"/>
    <n v="874272"/>
    <n v="9"/>
    <s v="VA"/>
    <x v="83"/>
    <d v="2027-11-15T00:00:00"/>
    <m/>
    <s v="1"/>
    <s v="ZAKIA BEYE                    "/>
    <n v="884000.00000000012"/>
    <n v="1156000"/>
    <n v="680000"/>
    <n v="0"/>
    <x v="1"/>
  </r>
  <r>
    <s v="01400"/>
    <s v="56396314       "/>
    <s v="CLINIQUE MAIMOUNA SAS               "/>
    <s v="                              "/>
    <m/>
    <s v="06105639635"/>
    <s v="524807"/>
    <n v="0"/>
    <x v="80"/>
    <s v="257"/>
    <s v="CLIPRO CMT EQUIPEMENT         "/>
    <n v="60"/>
    <n v="31000000"/>
    <n v="677561"/>
    <n v="9"/>
    <s v="VA"/>
    <x v="84"/>
    <d v="2028-10-16T00:00:00"/>
    <m/>
    <s v="1"/>
    <s v="Couro Thiam AGNE              "/>
    <n v="878333.33333333337"/>
    <n v="518216.66666666669"/>
    <n v="0"/>
    <n v="0"/>
    <x v="1"/>
  </r>
  <r>
    <s v="01500"/>
    <s v="08141415       "/>
    <s v="SILCAR                              "/>
    <s v="                              "/>
    <m/>
    <s v="05000814142"/>
    <s v="487460"/>
    <n v="0"/>
    <x v="81"/>
    <s v="220"/>
    <s v="CLICOM CMT EQUIPEMENT         "/>
    <n v="36"/>
    <n v="153550002"/>
    <n v="4825170"/>
    <n v="7"/>
    <s v="VA"/>
    <x v="85"/>
    <d v="2025-02-17T00:00:00"/>
    <d v="2022-07-17T00:00:00"/>
    <s v="9"/>
    <s v="MAMADOU DIAGNE                "/>
    <n v="870116.67800000007"/>
    <n v="2610350.034"/>
    <n v="4350583.3900000006"/>
    <n v="0"/>
    <x v="1"/>
  </r>
  <r>
    <s v="06000"/>
    <s v="27531360       "/>
    <s v="PHARMACIE DES NIAYES                "/>
    <s v="                              "/>
    <m/>
    <s v="13002753132"/>
    <s v="525532"/>
    <n v="0"/>
    <x v="82"/>
    <s v="257"/>
    <s v="CLIPRO CMT EQUIPEMENT         "/>
    <n v="60"/>
    <n v="30000000"/>
    <n v="673398"/>
    <n v="10"/>
    <s v="VA"/>
    <x v="86"/>
    <d v="2028-10-30T00:00:00"/>
    <m/>
    <s v="1"/>
    <s v="MOUHAMADOU MOUSTAPHA DIENG    "/>
    <n v="850000.00000000012"/>
    <n v="501500.00000000006"/>
    <n v="0"/>
    <n v="0"/>
    <x v="1"/>
  </r>
  <r>
    <s v="11700"/>
    <s v="26035062       "/>
    <s v="KANEL SUARL                         "/>
    <s v="                              "/>
    <m/>
    <s v="05000350620"/>
    <s v="516435"/>
    <n v="0"/>
    <x v="55"/>
    <s v="257"/>
    <s v="CLIPRO CMT EQUIPEMENT         "/>
    <n v="48"/>
    <n v="34342036"/>
    <n v="891412"/>
    <n v="9"/>
    <s v="VA"/>
    <x v="87"/>
    <d v="2027-05-26T00:00:00"/>
    <m/>
    <s v="1"/>
    <s v="ZAKIA BEYE                    "/>
    <n v="802745.0915000001"/>
    <n v="1094652.3975"/>
    <n v="0"/>
    <n v="0"/>
    <x v="1"/>
  </r>
  <r>
    <s v="06200"/>
    <s v="26032742       "/>
    <s v="NDIAYE MALICK CHERIF                "/>
    <s v="                              "/>
    <m/>
    <s v="06200327424"/>
    <s v="510252"/>
    <n v="0"/>
    <x v="83"/>
    <s v="257"/>
    <s v="CLIPRO CMT EQUIPEMENT         "/>
    <n v="36"/>
    <n v="44000000"/>
    <n v="1469582"/>
    <n v="9.99"/>
    <s v="VA"/>
    <x v="88"/>
    <d v="2026-03-27T00:00:00"/>
    <m/>
    <s v="1"/>
    <s v="MBAYE NDIAYE                  "/>
    <n v="789555.55555555562"/>
    <n v="1288222.2222222222"/>
    <n v="0"/>
    <n v="0"/>
    <x v="1"/>
  </r>
  <r>
    <s v="02000"/>
    <s v="26071139       "/>
    <s v="URGENCES ET SOLUTIONS MEDICALES SUAR"/>
    <s v="                              "/>
    <m/>
    <s v="06100711394"/>
    <s v="503622"/>
    <n v="0"/>
    <x v="84"/>
    <s v="257"/>
    <s v="CLIPRO CMT EQUIPEMENT         "/>
    <n v="60"/>
    <n v="34000000"/>
    <n v="723387"/>
    <n v="8"/>
    <s v="VA"/>
    <x v="89"/>
    <d v="2027-12-09T00:00:00"/>
    <m/>
    <s v="1"/>
    <s v="AMETH NIANG                   "/>
    <n v="770666.66666666674"/>
    <n v="1001866.6666666667"/>
    <n v="0"/>
    <n v="0"/>
    <x v="1"/>
  </r>
  <r>
    <s v="01600"/>
    <s v="00998200       "/>
    <s v="SARR MOR MATY                       "/>
    <s v="                              "/>
    <d v="1945-05-10T00:00:00"/>
    <s v="05400099821"/>
    <s v="512087"/>
    <n v="0"/>
    <x v="85"/>
    <s v="128"/>
    <s v="CLICOM CCT TRESORERIE         "/>
    <n v="24"/>
    <n v="75000000"/>
    <n v="3414599"/>
    <n v="7.4"/>
    <s v="VA"/>
    <x v="90"/>
    <d v="2025-03-08T00:00:00"/>
    <m/>
    <s v="1"/>
    <s v="ADJA FATOU CISSE EP NIANG     "/>
    <n v="743750"/>
    <n v="2018750.0000000002"/>
    <n v="0"/>
    <n v="0"/>
    <x v="1"/>
  </r>
  <r>
    <s v="06000"/>
    <s v="25972236       "/>
    <s v="FERME PASTORALE NDAME LO            "/>
    <s v="                              "/>
    <m/>
    <s v="06109722364"/>
    <s v="489045"/>
    <n v="0"/>
    <x v="86"/>
    <s v="257"/>
    <s v="CLIPRO CMT EQUIPEMENT         "/>
    <n v="60"/>
    <n v="50000000"/>
    <n v="1122033"/>
    <n v="9.99"/>
    <s v="VA"/>
    <x v="91"/>
    <d v="2026-10-28T00:00:00"/>
    <m/>
    <s v="1"/>
    <s v="MOUHAMADOU MOUSTAPHA DIENG    "/>
    <n v="736666.66666666674"/>
    <n v="1076666.6666666667"/>
    <n v="1416666.6666666667"/>
    <n v="835833.33333333337"/>
    <x v="1"/>
  </r>
  <r>
    <s v="01100"/>
    <s v="25970847       "/>
    <s v="DABAKH IMMOBILER                    "/>
    <s v="                              "/>
    <m/>
    <s v="06209708472"/>
    <s v="525955"/>
    <n v="0"/>
    <x v="87"/>
    <s v="257"/>
    <s v="CLIPRO CMT EQUIPEMENT         "/>
    <n v="60"/>
    <n v="25000000"/>
    <n v="561016"/>
    <n v="9.99"/>
    <s v="VA"/>
    <x v="92"/>
    <d v="2028-10-23T00:00:00"/>
    <m/>
    <s v="1"/>
    <s v="WRATCHET FOCK TITE            "/>
    <n v="708333.33333333337"/>
    <n v="417916.66666666669"/>
    <n v="0"/>
    <n v="0"/>
    <x v="1"/>
  </r>
  <r>
    <s v="00500"/>
    <s v="15510605       "/>
    <s v="GIE GAINDE 2000                     "/>
    <s v="                              "/>
    <m/>
    <s v="05501551061"/>
    <s v="490203"/>
    <n v="0"/>
    <x v="88"/>
    <s v="222"/>
    <s v="CLICOM CMT TRESORERIE         "/>
    <n v="36"/>
    <n v="180000000"/>
    <n v="5705121"/>
    <n v="7.5"/>
    <s v="VA"/>
    <x v="93"/>
    <d v="2024-12-16T00:00:00"/>
    <m/>
    <s v="1"/>
    <s v="MAMADOU DIAGNE                "/>
    <n v="680000"/>
    <n v="2720000"/>
    <n v="4760000"/>
    <n v="0"/>
    <x v="1"/>
  </r>
  <r>
    <s v="03500"/>
    <s v="40781235       "/>
    <s v="PHARMACIE MARIE DIAW                "/>
    <s v="                              "/>
    <m/>
    <s v="06104078129"/>
    <s v="517879"/>
    <n v="0"/>
    <x v="89"/>
    <s v="257"/>
    <s v="CLIPRO CMT EQUIPEMENT         "/>
    <n v="60"/>
    <n v="26000000"/>
    <n v="583457"/>
    <n v="9.99"/>
    <s v="VA"/>
    <x v="94"/>
    <d v="2028-06-16T00:00:00"/>
    <m/>
    <s v="1"/>
    <s v="SIMON COLY                    "/>
    <n v="677733.33333333337"/>
    <n v="405166.66666666669"/>
    <n v="0"/>
    <n v="0"/>
    <x v="1"/>
  </r>
  <r>
    <s v="01700"/>
    <s v="25993201       "/>
    <s v="SENESTUDIO ARCHITECTURE &amp; DESIGN    "/>
    <s v="                              "/>
    <m/>
    <s v="06109932013"/>
    <s v="519479"/>
    <n v="1"/>
    <x v="90"/>
    <s v="221"/>
    <s v="CLICOM CMT CONSTRUCTION       "/>
    <n v="45"/>
    <n v="25000000"/>
    <n v="674846"/>
    <n v="9"/>
    <s v="VA"/>
    <x v="95"/>
    <d v="2027-07-27T00:00:00"/>
    <m/>
    <s v="1"/>
    <s v="ABDOULAYE SIDIBE              "/>
    <n v="661111.11111111112"/>
    <n v="415555.55555555556"/>
    <n v="0"/>
    <n v="0"/>
    <x v="1"/>
  </r>
  <r>
    <s v="01700"/>
    <s v="45534317       "/>
    <s v="DR MAMADOU MOUSTAPHA KINDE          "/>
    <s v="                              "/>
    <d v="1969-02-27T00:00:00"/>
    <s v="13004553431"/>
    <s v="523837"/>
    <n v="0"/>
    <x v="75"/>
    <s v="257"/>
    <s v="CLIPRO CMT EQUIPEMENT         "/>
    <n v="60"/>
    <n v="22500000"/>
    <n v="491778"/>
    <n v="9"/>
    <s v="VA"/>
    <x v="79"/>
    <d v="2028-10-13T00:00:00"/>
    <m/>
    <s v="1"/>
    <s v="ZAKIA BEYE                    "/>
    <n v="637500"/>
    <n v="376125"/>
    <n v="0"/>
    <n v="0"/>
    <x v="1"/>
  </r>
  <r>
    <s v="00500"/>
    <s v="15053900       "/>
    <s v="HOBALLAH NAGI                       "/>
    <s v="                              "/>
    <d v="1961-01-02T00:00:00"/>
    <s v="05001505393"/>
    <s v="527874"/>
    <n v="0"/>
    <x v="91"/>
    <s v="128"/>
    <s v="CLICOM CCT TRESORERIE         "/>
    <n v="12"/>
    <n v="75000000"/>
    <n v="6575358"/>
    <n v="7.5"/>
    <s v="VA"/>
    <x v="96"/>
    <d v="2024-11-13T00:00:00"/>
    <m/>
    <s v="1"/>
    <s v="ADJA FATOU CISSE EP NIANG     "/>
    <n v="637500"/>
    <n v="1275000"/>
    <n v="0"/>
    <n v="0"/>
    <x v="1"/>
  </r>
  <r>
    <s v="11700"/>
    <s v="26037510       "/>
    <s v="CLINIQUE EL HADJI OMAR SUARL        "/>
    <s v="                              "/>
    <m/>
    <s v="13000375100"/>
    <s v="503779"/>
    <n v="0"/>
    <x v="92"/>
    <s v="257"/>
    <s v="CLIPRO CMT EQUIPEMENT         "/>
    <n v="60"/>
    <n v="30000000"/>
    <n v="698670"/>
    <n v="12"/>
    <s v="VA"/>
    <x v="97"/>
    <d v="2027-09-05T00:00:00"/>
    <m/>
    <s v="1"/>
    <s v="ABDOULAYE SIDIBE              "/>
    <n v="629000"/>
    <n v="833000.00000000012"/>
    <n v="493000.00000000006"/>
    <n v="0"/>
    <x v="1"/>
  </r>
  <r>
    <s v="03000"/>
    <s v="00208230       "/>
    <s v="BOUZAID  JACQUELINE                 "/>
    <s v="                              "/>
    <m/>
    <s v="05400020828"/>
    <s v="512302"/>
    <n v="0"/>
    <x v="93"/>
    <s v="221"/>
    <s v="CLICOM CMT CONSTRUCTION       "/>
    <n v="36"/>
    <n v="25000000"/>
    <n v="854927"/>
    <n v="12"/>
    <s v="VA"/>
    <x v="98"/>
    <d v="2026-09-20T00:00:00"/>
    <d v="2023-05-20T00:00:00"/>
    <s v="9"/>
    <s v="MBAYE NDIAYE                  "/>
    <n v="590277.77777777787"/>
    <n v="401388.88888888893"/>
    <n v="0"/>
    <n v="0"/>
    <x v="1"/>
  </r>
  <r>
    <s v="00500"/>
    <s v="15625005       "/>
    <s v="IDEA MOBILIER                       "/>
    <s v="                              "/>
    <m/>
    <s v="05001562501"/>
    <s v="508611"/>
    <n v="0"/>
    <x v="94"/>
    <s v="128"/>
    <s v="CLICOM CCT TRESORERIE         "/>
    <n v="24"/>
    <n v="100000000"/>
    <n v="4531400"/>
    <n v="7"/>
    <s v="VA"/>
    <x v="99"/>
    <d v="2024-12-13T00:00:00"/>
    <m/>
    <s v="1"/>
    <s v="YAYE FATOU GAYE               "/>
    <n v="566666.66666666674"/>
    <n v="2266666.666666667"/>
    <n v="0"/>
    <n v="0"/>
    <x v="1"/>
  </r>
  <r>
    <s v="06100"/>
    <s v="26049326       "/>
    <s v="GIE TRANSPORTEURS COMMU DE DIAMA    "/>
    <s v="                              "/>
    <m/>
    <s v="14000493265"/>
    <s v="497458"/>
    <n v="0"/>
    <x v="95"/>
    <s v="220"/>
    <s v="CLICOM CMT EQUIPEMENT         "/>
    <n v="60"/>
    <n v="27000000"/>
    <n v="605898"/>
    <n v="9.99"/>
    <s v="VA"/>
    <x v="100"/>
    <d v="2027-05-15T00:00:00"/>
    <m/>
    <s v="1"/>
    <s v="ALASSANE DJIGO                "/>
    <n v="504900.00000000006"/>
    <n v="688500"/>
    <n v="872100.00000000012"/>
    <n v="0"/>
    <x v="1"/>
  </r>
  <r>
    <s v="03000"/>
    <s v="00208230       "/>
    <s v="BOUZAID  JACQUELINE                 "/>
    <s v="                              "/>
    <m/>
    <s v="05400020828"/>
    <s v="512302"/>
    <n v="1"/>
    <x v="96"/>
    <s v="221"/>
    <s v="CLICOM CMT CONSTRUCTION       "/>
    <n v="36"/>
    <n v="25000000"/>
    <n v="341971"/>
    <n v="12"/>
    <s v="VA"/>
    <x v="101"/>
    <d v="2026-05-20T00:00:00"/>
    <m/>
    <s v="1"/>
    <s v="MBAYE NDIAYE                  "/>
    <n v="495833.33333333337"/>
    <n v="779166.66666666674"/>
    <n v="0"/>
    <n v="0"/>
    <x v="1"/>
  </r>
  <r>
    <s v="06400"/>
    <s v="26045942       "/>
    <s v="DOCTEUR DIOUMA DIARRA               "/>
    <s v="                              "/>
    <m/>
    <s v="13000459429"/>
    <s v="519956"/>
    <n v="0"/>
    <x v="97"/>
    <s v="221"/>
    <s v="CLICOM CMT CONSTRUCTION       "/>
    <n v="60"/>
    <n v="30000000"/>
    <n v="591329"/>
    <n v="12"/>
    <s v="VA"/>
    <x v="102"/>
    <d v="2029-08-25T00:00:00"/>
    <m/>
    <s v="1"/>
    <s v="SIMON COLY                    "/>
    <n v="484500.00000000006"/>
    <n v="0"/>
    <n v="0"/>
    <n v="0"/>
    <x v="1"/>
  </r>
  <r>
    <s v="21300"/>
    <s v="35953721       "/>
    <s v="ARAIGNEE SAS                        "/>
    <s v="                              "/>
    <m/>
    <s v="06103595373"/>
    <s v="522878"/>
    <n v="0"/>
    <x v="98"/>
    <s v="257"/>
    <s v="CLIPRO CMT EQUIPEMENT         "/>
    <n v="36"/>
    <n v="20208060"/>
    <n v="663780"/>
    <n v="9"/>
    <s v="VA"/>
    <x v="3"/>
    <d v="2026-09-07T00:00:00"/>
    <m/>
    <s v="1"/>
    <s v="FALL CHEIKH TIDIANE JEAN      "/>
    <n v="477134.75000000006"/>
    <n v="324451.63"/>
    <n v="0"/>
    <n v="0"/>
    <x v="1"/>
  </r>
  <r>
    <s v="01700"/>
    <s v="25988518       "/>
    <s v="BIOMEDICAL ENGINEERING              "/>
    <s v="                              "/>
    <m/>
    <s v="06209885186"/>
    <s v="510576"/>
    <n v="0"/>
    <x v="99"/>
    <s v="257"/>
    <s v="CLIPRO CMT EQUIPEMENT         "/>
    <n v="36"/>
    <n v="25000000"/>
    <n v="821182"/>
    <n v="9"/>
    <s v="VA"/>
    <x v="103"/>
    <d v="2026-02-09T00:00:00"/>
    <m/>
    <s v="1"/>
    <s v="ABDOULAYE SIDIBE              "/>
    <n v="425000.00000000006"/>
    <n v="708333.33333333337"/>
    <n v="0"/>
    <n v="0"/>
    <x v="1"/>
  </r>
  <r>
    <s v="03000"/>
    <s v="09834830       "/>
    <s v="SENGHOR SAMBA SARR                  "/>
    <s v="                              "/>
    <d v="1968-12-29T00:00:00"/>
    <s v="05400983488"/>
    <s v="525022"/>
    <n v="0"/>
    <x v="82"/>
    <s v="257"/>
    <s v="CLIPRO CMT EQUIPEMENT         "/>
    <n v="36"/>
    <n v="16000000"/>
    <n v="543499"/>
    <n v="11"/>
    <s v="VA"/>
    <x v="86"/>
    <d v="2026-10-30T00:00:00"/>
    <m/>
    <s v="1"/>
    <s v="MBAYE NDIAYE                  "/>
    <n v="392888.88888888888"/>
    <n v="264444.4444444445"/>
    <n v="0"/>
    <n v="0"/>
    <x v="1"/>
  </r>
  <r>
    <s v="06100"/>
    <s v="52508761       "/>
    <s v="CHEIKH GUEYE                        "/>
    <s v="                              "/>
    <m/>
    <s v="06105250871"/>
    <s v="499889"/>
    <n v="1"/>
    <x v="100"/>
    <s v="221"/>
    <s v="CLICOM CMT CONSTRUCTION       "/>
    <n v="36"/>
    <n v="32000000"/>
    <n v="492709"/>
    <n v="9"/>
    <s v="VA"/>
    <x v="104"/>
    <d v="2025-08-09T00:00:00"/>
    <m/>
    <s v="1"/>
    <s v="ALASSANE DJIGO                "/>
    <n v="362666.66666666669"/>
    <n v="725333.33333333337"/>
    <n v="498666.66666666669"/>
    <n v="0"/>
    <x v="1"/>
  </r>
  <r>
    <s v="06100"/>
    <s v="26100541       "/>
    <s v="POLE MEDICAL MODERNE  DE SAINT LOUI "/>
    <s v="                              "/>
    <m/>
    <s v="06101005410"/>
    <s v="528477"/>
    <n v="0"/>
    <x v="101"/>
    <s v="257"/>
    <s v="CLIPRO CMT EQUIPEMENT         "/>
    <n v="36"/>
    <n v="13000000"/>
    <n v="429926"/>
    <n v="10"/>
    <s v="VA"/>
    <x v="105"/>
    <d v="2026-12-21T00:00:00"/>
    <m/>
    <s v="1"/>
    <s v="ALASSANE DJIGO                "/>
    <n v="343777.77777777781"/>
    <n v="0"/>
    <n v="0"/>
    <n v="0"/>
    <x v="1"/>
  </r>
  <r>
    <s v="00500"/>
    <s v="26092861       "/>
    <s v="GOLDEN AFRIK                        "/>
    <s v="                              "/>
    <m/>
    <s v="06100928619"/>
    <s v="518134"/>
    <n v="0"/>
    <x v="102"/>
    <s v="221"/>
    <s v="CLICOM CMT CONSTRUCTION       "/>
    <n v="36"/>
    <n v="15000000"/>
    <n v="492709"/>
    <n v="9"/>
    <s v="VA"/>
    <x v="106"/>
    <d v="2026-07-26T00:00:00"/>
    <m/>
    <s v="1"/>
    <s v="SALIOU MBACKE BA              "/>
    <n v="325833.33333333337"/>
    <n v="226666.66666666669"/>
    <n v="0"/>
    <n v="0"/>
    <x v="1"/>
  </r>
  <r>
    <s v="06000"/>
    <s v="26092630       "/>
    <s v="CABINET DE RADIOLOGIE ET D'IMAGERIE "/>
    <s v="                              "/>
    <m/>
    <s v="13000926300"/>
    <s v="523871"/>
    <n v="0"/>
    <x v="20"/>
    <s v="257"/>
    <s v="CLIPRO CMT EQUIPEMENT         "/>
    <n v="32"/>
    <n v="14485473"/>
    <n v="529139"/>
    <n v="10"/>
    <s v="VA"/>
    <x v="107"/>
    <d v="2026-05-15T00:00:00"/>
    <m/>
    <s v="1"/>
    <s v="MOUHAMADOU MOUSTAPHA DIENG    "/>
    <n v="323207.11631250003"/>
    <n v="230862.22593750001"/>
    <n v="0"/>
    <n v="0"/>
    <x v="1"/>
  </r>
  <r>
    <s v="01700"/>
    <s v="26044730       "/>
    <s v="CLINIQUE DENTAIRE MAME ABDOU AZIZ SY"/>
    <s v="                              "/>
    <m/>
    <s v="13000447307"/>
    <s v="512423"/>
    <n v="0"/>
    <x v="50"/>
    <s v="257"/>
    <s v="CLIPRO CMT EQUIPEMENT         "/>
    <n v="60"/>
    <n v="13086200"/>
    <n v="286022"/>
    <n v="9"/>
    <s v="VA"/>
    <x v="50"/>
    <d v="2028-03-22T00:00:00"/>
    <m/>
    <s v="1"/>
    <s v="FALL CHEIKH TIDIANE JEAN      "/>
    <n v="318867.07333333336"/>
    <n v="407853.2333333334"/>
    <n v="0"/>
    <n v="0"/>
    <x v="1"/>
  </r>
  <r>
    <s v="00500"/>
    <s v="15668005       "/>
    <s v="SCRUPULDOS SARL                     "/>
    <s v="                              "/>
    <m/>
    <s v="05001566809"/>
    <s v="502050"/>
    <n v="0"/>
    <x v="103"/>
    <s v="128"/>
    <s v="CLICOM CCT TRESORERIE         "/>
    <n v="24"/>
    <n v="150000000"/>
    <n v="6917932"/>
    <n v="8.5"/>
    <s v="VA"/>
    <x v="108"/>
    <d v="2024-08-12T00:00:00"/>
    <m/>
    <s v="1"/>
    <s v="ADJA FATOU CISSE EP NIANG     "/>
    <n v="318750"/>
    <n v="2550000"/>
    <n v="2231250"/>
    <n v="0"/>
    <x v="1"/>
  </r>
  <r>
    <s v="01700"/>
    <s v="26037882       "/>
    <s v="MEDIKA GROUP                        "/>
    <s v="                              "/>
    <m/>
    <s v="06100378828"/>
    <s v="494217"/>
    <n v="0"/>
    <x v="104"/>
    <s v="257"/>
    <s v="CLIPRO CMT EQUIPEMENT         "/>
    <n v="60"/>
    <n v="17927906"/>
    <n v="397113"/>
    <n v="9.5"/>
    <s v="VA"/>
    <x v="109"/>
    <d v="2027-03-03T00:00:00"/>
    <m/>
    <s v="1"/>
    <s v="FALL CHEIKH TIDIANE JEAN      "/>
    <n v="314933.54873333336"/>
    <n v="436843.30953333341"/>
    <n v="558753.07033333334"/>
    <n v="0"/>
    <x v="1"/>
  </r>
  <r>
    <s v="11500"/>
    <s v="25987490       "/>
    <s v="DELICES DE FEMMES                   "/>
    <s v="                              "/>
    <m/>
    <s v="06109874902"/>
    <s v="489522"/>
    <n v="0"/>
    <x v="105"/>
    <s v="257"/>
    <s v="CLIPRO CMT EQUIPEMENT         "/>
    <n v="54"/>
    <n v="17000000"/>
    <n v="396625"/>
    <n v="9"/>
    <s v="VA"/>
    <x v="110"/>
    <d v="2027-01-05T00:00:00"/>
    <m/>
    <s v="1"/>
    <s v="CDL FFD                       "/>
    <n v="310407.40740740747"/>
    <n v="438851.85185185191"/>
    <n v="267592.59259259258"/>
    <n v="0"/>
    <x v="1"/>
  </r>
  <r>
    <s v="11900"/>
    <s v="18641919       "/>
    <s v="NDIAYE MBAYE                        "/>
    <s v="                              "/>
    <m/>
    <s v="06201864191"/>
    <s v="497889"/>
    <n v="0"/>
    <x v="103"/>
    <s v="257"/>
    <s v="CLIPRO CMT EQUIPEMENT         "/>
    <n v="60"/>
    <n v="15000000"/>
    <n v="354797"/>
    <n v="12"/>
    <s v="VA"/>
    <x v="108"/>
    <d v="2027-08-12T00:00:00"/>
    <m/>
    <s v="1"/>
    <s v="AIDA ADANGNISSODE             "/>
    <n v="306000"/>
    <n v="408000.00000000006"/>
    <n v="242250.00000000003"/>
    <n v="0"/>
    <x v="1"/>
  </r>
  <r>
    <s v="01500"/>
    <s v="08176615       "/>
    <s v="DELPHINUS IMPORT EXPORT             "/>
    <s v="                              "/>
    <m/>
    <s v="05000817665"/>
    <s v="480955"/>
    <n v="0"/>
    <x v="106"/>
    <s v="229"/>
    <s v="CLICOM CMT DIVERS             "/>
    <n v="36"/>
    <n v="215000000"/>
    <n v="6638576"/>
    <n v="7"/>
    <s v="VA"/>
    <x v="111"/>
    <d v="2024-08-25T00:00:00"/>
    <m/>
    <s v="1"/>
    <s v="MARIEME SOUGOU                "/>
    <n v="304583.33333333337"/>
    <n v="2436666.666666667"/>
    <n v="4873333.333333334"/>
    <n v="3350416.666666667"/>
    <x v="0"/>
  </r>
  <r>
    <s v="00900"/>
    <s v="25929095       "/>
    <s v="THIAM PAPE MAMADOU PLANETECOM EVENT "/>
    <s v="                              "/>
    <m/>
    <s v="06209290954"/>
    <s v="509057"/>
    <n v="0"/>
    <x v="0"/>
    <s v="257"/>
    <s v="CLIPRO CMT EQUIPEMENT         "/>
    <n v="36"/>
    <n v="20000000"/>
    <n v="667992"/>
    <n v="9.99"/>
    <s v="VA"/>
    <x v="112"/>
    <d v="2025-12-23T00:00:00"/>
    <m/>
    <s v="1"/>
    <s v="FALL CHEIKH TIDIANE JEAN      "/>
    <n v="302222.22222222225"/>
    <n v="528888.88888888899"/>
    <n v="0"/>
    <n v="0"/>
    <x v="1"/>
  </r>
  <r>
    <s v="01300"/>
    <s v="26061228       "/>
    <s v="PHARMACIE YAYE AMINATA              "/>
    <s v="                              "/>
    <m/>
    <s v="06100612282"/>
    <s v="487144"/>
    <n v="0"/>
    <x v="107"/>
    <s v="257"/>
    <s v="CLIPRO CMT EQUIPEMENT         "/>
    <n v="60"/>
    <n v="20000000"/>
    <n v="448813"/>
    <n v="9.99"/>
    <s v="VA"/>
    <x v="113"/>
    <d v="2026-09-20T00:00:00"/>
    <m/>
    <s v="1"/>
    <s v="ABDOULAYE SIDIBE              "/>
    <n v="283333.33333333337"/>
    <n v="419333.33333333337"/>
    <n v="555333.33333333337"/>
    <n v="328666.66666666669"/>
    <x v="1"/>
  </r>
  <r>
    <s v="01700"/>
    <s v="00787917       "/>
    <s v="NDIAYE BADARA &quot;PHARMACIE BOROM DARAD"/>
    <s v="                              "/>
    <d v="1956-02-21T00:00:00"/>
    <s v="05400078799"/>
    <s v="493995"/>
    <n v="0"/>
    <x v="108"/>
    <s v="257"/>
    <s v="CLIPRO CMT EQUIPEMENT         "/>
    <n v="60"/>
    <n v="15587000"/>
    <n v="339794"/>
    <n v="9.5"/>
    <s v="VA"/>
    <x v="114"/>
    <d v="2027-03-09T00:00:00"/>
    <m/>
    <s v="1"/>
    <s v="ZAKIA BEYE                    "/>
    <n v="273811.63333333336"/>
    <n v="379803.2333333334"/>
    <n v="485794.83333333337"/>
    <n v="0"/>
    <x v="1"/>
  </r>
  <r>
    <s v="01100"/>
    <s v="26033356       "/>
    <s v="CAPPUCCINE BUSINESS                 "/>
    <s v="                              "/>
    <m/>
    <s v="06100333560"/>
    <s v="511398"/>
    <n v="0"/>
    <x v="109"/>
    <s v="257"/>
    <s v="CLIPRO CMT EQUIPEMENT         "/>
    <n v="36"/>
    <n v="15000000"/>
    <n v="492709"/>
    <n v="9"/>
    <s v="VA"/>
    <x v="115"/>
    <d v="2026-03-01T00:00:00"/>
    <m/>
    <s v="1"/>
    <s v="MAMADOU GAYE                  "/>
    <n v="269166.66666666669"/>
    <n v="439166.66666666669"/>
    <n v="0"/>
    <n v="0"/>
    <x v="1"/>
  </r>
  <r>
    <s v="03200"/>
    <s v="23363632       "/>
    <s v="ALLIANCE FRANCO SENEGALAISE         "/>
    <s v="                              "/>
    <m/>
    <s v="05502336367"/>
    <s v="488387"/>
    <n v="0"/>
    <x v="110"/>
    <s v="222"/>
    <s v="CLICOM CMT TRESORERIE         "/>
    <n v="60"/>
    <n v="18000815"/>
    <n v="425776"/>
    <n v="12"/>
    <s v="VA"/>
    <x v="116"/>
    <d v="2026-09-30T00:00:00"/>
    <d v="2023-09-30T00:00:00"/>
    <s v="9"/>
    <s v="NDEYE NGALLA SY               "/>
    <n v="255011.54583333337"/>
    <n v="377417.08783333335"/>
    <n v="499822.62983333337"/>
    <n v="295813.39316666668"/>
    <x v="1"/>
  </r>
  <r>
    <s v="03500"/>
    <s v="40780235       "/>
    <s v="CHEIKH NGUER                        "/>
    <s v="                              "/>
    <m/>
    <s v="06204078029"/>
    <s v="476310"/>
    <n v="0"/>
    <x v="111"/>
    <s v="257"/>
    <s v="CLIPRO CMT EQUIPEMENT         "/>
    <n v="60"/>
    <n v="25000000"/>
    <n v="561016"/>
    <n v="9.99"/>
    <s v="VA"/>
    <x v="117"/>
    <d v="2026-02-22T00:00:00"/>
    <m/>
    <s v="1"/>
    <s v="SIMON COLY                    "/>
    <n v="255000.00000000003"/>
    <n v="425000.00000000006"/>
    <n v="595000"/>
    <n v="765000"/>
    <x v="1"/>
  </r>
  <r>
    <s v="02200"/>
    <s v="25974406       "/>
    <s v="ABOU DIAW &quot;AVENIR CONSTRUCTION&quot;     "/>
    <s v="                              "/>
    <m/>
    <s v="06209744060"/>
    <s v="474476"/>
    <n v="0"/>
    <x v="112"/>
    <s v="257"/>
    <s v="CLIPRO CMT EQUIPEMENT         "/>
    <n v="60"/>
    <n v="24800000"/>
    <n v="542049"/>
    <n v="9"/>
    <s v="VA"/>
    <x v="118"/>
    <d v="2026-02-18T00:00:00"/>
    <m/>
    <s v="1"/>
    <s v="MOUHAMADOU LAMINE NDIAYE      "/>
    <n v="252960.00000000003"/>
    <n v="421600.00000000006"/>
    <n v="590240"/>
    <n v="758880"/>
    <x v="1"/>
  </r>
  <r>
    <s v="06000"/>
    <s v="27515460       "/>
    <s v="ABDOULAYE MBODJI                    "/>
    <s v="                              "/>
    <m/>
    <s v="06202751542"/>
    <s v="489761"/>
    <n v="0"/>
    <x v="113"/>
    <s v="257"/>
    <s v="CLIPRO CMT EQUIPEMENT         "/>
    <n v="36"/>
    <n v="88000000"/>
    <n v="2905364"/>
    <n v="9.9"/>
    <s v="VA"/>
    <x v="119"/>
    <d v="2024-11-29T00:00:00"/>
    <m/>
    <s v="1"/>
    <s v="YAYE FATOU GAYE               "/>
    <n v="249333.33333333334"/>
    <n v="1246666.6666666667"/>
    <n v="2244000"/>
    <n v="1496000"/>
    <x v="1"/>
  </r>
  <r>
    <s v="02000"/>
    <s v="25953264       "/>
    <s v="NABI TRAITEUR                       "/>
    <s v="                              "/>
    <m/>
    <s v="06209532642"/>
    <s v="502218"/>
    <n v="0"/>
    <x v="114"/>
    <s v="257"/>
    <s v="CLIPRO CMT EQUIPEMENT         "/>
    <n v="30"/>
    <n v="20000000"/>
    <n v="767708"/>
    <n v="9"/>
    <s v="VA"/>
    <x v="120"/>
    <d v="2025-07-28T00:00:00"/>
    <m/>
    <s v="1"/>
    <s v="Couro Thiam AGNE              "/>
    <n v="249333.33333333334"/>
    <n v="521333.33333333337"/>
    <n v="0"/>
    <n v="0"/>
    <x v="1"/>
  </r>
  <r>
    <s v="02200"/>
    <s v="26063991       "/>
    <s v="AKATECH SERVICES SARL               "/>
    <s v="                              "/>
    <m/>
    <s v="06100639914"/>
    <s v="505916"/>
    <n v="0"/>
    <x v="115"/>
    <s v="257"/>
    <s v="CLIPRO CMT EQUIPEMENT         "/>
    <n v="36"/>
    <n v="16500000"/>
    <n v="551186"/>
    <n v="10"/>
    <s v="VA"/>
    <x v="121"/>
    <d v="2025-11-02T00:00:00"/>
    <m/>
    <s v="1"/>
    <s v="MOUHAMADOU LAMINE NDIAYE      "/>
    <n v="233750.00000000003"/>
    <n v="420750.00000000006"/>
    <n v="280500"/>
    <n v="0"/>
    <x v="1"/>
  </r>
  <r>
    <s v="11700"/>
    <s v="26008174       "/>
    <s v="IPM SOTRAVA                         "/>
    <s v="                              "/>
    <m/>
    <s v="14000081748"/>
    <s v="509357"/>
    <n v="0"/>
    <x v="0"/>
    <s v="220"/>
    <s v="CLICOM CMT EQUIPEMENT         "/>
    <n v="60"/>
    <n v="10009800"/>
    <n v="218782"/>
    <n v="9"/>
    <s v="VA"/>
    <x v="7"/>
    <d v="2027-12-30T00:00:00"/>
    <m/>
    <s v="1"/>
    <s v="ZAKIA BEYE                    "/>
    <n v="226888.80000000002"/>
    <n v="294955.44"/>
    <n v="0"/>
    <n v="0"/>
    <x v="1"/>
  </r>
  <r>
    <s v="11700"/>
    <s v="26008174       "/>
    <s v="IPM SOTRAVA                         "/>
    <s v="                              "/>
    <m/>
    <s v="98209200001"/>
    <s v="505822"/>
    <n v="0"/>
    <x v="0"/>
    <s v="257"/>
    <s v="CLIPRO CMT EQUIPEMENT         "/>
    <n v="60"/>
    <n v="10009800"/>
    <n v="218782"/>
    <n v="9"/>
    <s v="VA"/>
    <x v="7"/>
    <d v="2027-12-30T00:00:00"/>
    <d v="2022-12-30T00:00:00"/>
    <s v="9"/>
    <s v="ZAKIA BEYE                    "/>
    <n v="226888.80000000002"/>
    <n v="294955.44"/>
    <n v="0"/>
    <n v="0"/>
    <x v="1"/>
  </r>
  <r>
    <s v="01700"/>
    <s v="07934717       "/>
    <s v="PHARMACIE NDOSS                     "/>
    <s v="                              "/>
    <m/>
    <s v="05400793470"/>
    <s v="502462"/>
    <n v="0"/>
    <x v="116"/>
    <s v="257"/>
    <s v="CLIPRO CMT EQUIPEMENT         "/>
    <n v="36"/>
    <n v="20000000"/>
    <n v="690753"/>
    <n v="12"/>
    <s v="VA"/>
    <x v="122"/>
    <d v="2025-08-26T00:00:00"/>
    <m/>
    <s v="1"/>
    <s v="ABDOULAYE SIDIBE              "/>
    <n v="226666.66666666669"/>
    <n v="453333.33333333337"/>
    <n v="311666.66666666669"/>
    <n v="0"/>
    <x v="1"/>
  </r>
  <r>
    <s v="11300"/>
    <s v="35192011       "/>
    <s v="LES PETITES MAINS SARL              "/>
    <s v="                              "/>
    <m/>
    <s v="06103519201"/>
    <s v="502947"/>
    <n v="0"/>
    <x v="115"/>
    <s v="257"/>
    <s v="CLIPRO CMT EQUIPEMENT         "/>
    <n v="60"/>
    <n v="10000000"/>
    <n v="224407"/>
    <n v="9.99"/>
    <s v="VA"/>
    <x v="121"/>
    <d v="2027-11-02T00:00:00"/>
    <m/>
    <s v="1"/>
    <s v="MAMADOU GAYE                  "/>
    <n v="221000.00000000003"/>
    <n v="289000"/>
    <n v="170000"/>
    <n v="0"/>
    <x v="1"/>
  </r>
  <r>
    <s v="16100"/>
    <s v="26052440       "/>
    <s v="SAGAYE SERVICES  SUARL              "/>
    <s v="                              "/>
    <m/>
    <s v="06110524409"/>
    <s v="507223"/>
    <n v="0"/>
    <x v="117"/>
    <s v="257"/>
    <s v="CLIPRO CMT EQUIPEMENT         "/>
    <n v="36"/>
    <n v="15000000"/>
    <n v="492709"/>
    <n v="9"/>
    <s v="VA"/>
    <x v="123"/>
    <d v="2025-11-25T00:00:00"/>
    <m/>
    <s v="1"/>
    <s v="ALASSANE DJIGO                "/>
    <n v="212500.00000000003"/>
    <n v="382500"/>
    <n v="255000.00000000003"/>
    <n v="0"/>
    <x v="1"/>
  </r>
  <r>
    <s v="02200"/>
    <s v="26017742       "/>
    <s v="SIDATH DIOP                         "/>
    <s v="                              "/>
    <m/>
    <s v="06200177427"/>
    <s v="517690"/>
    <n v="0"/>
    <x v="118"/>
    <s v="157"/>
    <s v="CLIPRO CCT EQUIPEMENT         "/>
    <n v="24"/>
    <n v="15000000"/>
    <n v="700713"/>
    <n v="9"/>
    <s v="VA"/>
    <x v="124"/>
    <d v="2025-06-23T00:00:00"/>
    <m/>
    <s v="1"/>
    <s v="MOUHAMADOU LAMINE NDIAYE      "/>
    <n v="212500.00000000003"/>
    <n v="201875"/>
    <n v="0"/>
    <n v="0"/>
    <x v="1"/>
  </r>
  <r>
    <s v="01700"/>
    <s v="26087083       "/>
    <s v="CAR PARTS COMMERCIALS               "/>
    <s v="                              "/>
    <m/>
    <s v="06200870831"/>
    <s v="509648"/>
    <n v="0"/>
    <x v="119"/>
    <s v="157"/>
    <s v="CLIPRO CCT EQUIPEMENT         "/>
    <n v="24"/>
    <n v="30000000"/>
    <n v="1401427"/>
    <n v="9"/>
    <s v="VA"/>
    <x v="125"/>
    <d v="2025-01-16T00:00:00"/>
    <m/>
    <s v="1"/>
    <s v="ABDOULAYE SIDIBE              "/>
    <n v="212500.00000000003"/>
    <n v="722500"/>
    <n v="0"/>
    <n v="0"/>
    <x v="1"/>
  </r>
  <r>
    <s v="06400"/>
    <s v="55509964       "/>
    <s v="MANSOUR MARONE                      "/>
    <s v="                              "/>
    <m/>
    <s v="06205550992"/>
    <s v="481916"/>
    <n v="0"/>
    <x v="120"/>
    <s v="257"/>
    <s v="CLIPRO CMT EQUIPEMENT         "/>
    <n v="60"/>
    <n v="17000000"/>
    <n v="381491"/>
    <n v="9.99"/>
    <s v="VA"/>
    <x v="126"/>
    <d v="2026-05-20T00:00:00"/>
    <m/>
    <s v="1"/>
    <s v="SEYNABOU BADIANE              "/>
    <n v="202300"/>
    <n v="317900"/>
    <n v="433500.00000000006"/>
    <n v="549100"/>
    <x v="1"/>
  </r>
  <r>
    <s v="03000"/>
    <s v="26017333       "/>
    <s v="GENIAL INTERIM SECURITE-APPRO SUARL "/>
    <s v="                              "/>
    <m/>
    <s v="06100173339"/>
    <s v="485054"/>
    <n v="0"/>
    <x v="121"/>
    <s v="257"/>
    <s v="CLIPRO CMT EQUIPEMENT         "/>
    <n v="48"/>
    <n v="25000000"/>
    <n v="663110"/>
    <n v="9.99"/>
    <s v="VA"/>
    <x v="127"/>
    <d v="2025-07-06T00:00:00"/>
    <m/>
    <s v="1"/>
    <s v="MBAYE NDIAYE                  "/>
    <n v="194791.66666666669"/>
    <n v="407291.66666666669"/>
    <n v="619791.66666666674"/>
    <n v="389583.33333333337"/>
    <x v="1"/>
  </r>
  <r>
    <s v="06000"/>
    <s v="26067999       "/>
    <s v="DAME FALL /FTC                      "/>
    <s v="                              "/>
    <m/>
    <s v="06200679992"/>
    <s v="509996"/>
    <n v="0"/>
    <x v="122"/>
    <s v="157"/>
    <s v="CLIPRO CCT EQUIPEMENT         "/>
    <n v="24"/>
    <n v="27000000"/>
    <n v="1305794"/>
    <n v="12"/>
    <s v="VA"/>
    <x v="128"/>
    <d v="2025-01-24T00:00:00"/>
    <m/>
    <s v="1"/>
    <s v="MOUHAMADOU MOUSTAPHA DIENG    "/>
    <n v="191250"/>
    <n v="650250"/>
    <n v="0"/>
    <n v="0"/>
    <x v="1"/>
  </r>
  <r>
    <s v="21800"/>
    <s v="65306721       "/>
    <s v="MAR NDEYE NDOUMBE                   "/>
    <s v="                              "/>
    <m/>
    <s v="06206530672"/>
    <s v="514649"/>
    <n v="0"/>
    <x v="93"/>
    <s v="157"/>
    <s v="CLIPRO CCT EQUIPEMENT         "/>
    <n v="18"/>
    <n v="40000000"/>
    <n v="2468536"/>
    <n v="11"/>
    <s v="VA"/>
    <x v="129"/>
    <d v="2024-10-20T00:00:00"/>
    <m/>
    <s v="1"/>
    <s v="ZAKIA BEYE                    "/>
    <n v="188888.88888888891"/>
    <n v="1057777.7777777778"/>
    <n v="0"/>
    <n v="0"/>
    <x v="1"/>
  </r>
  <r>
    <s v="06400"/>
    <s v="26058582       "/>
    <s v="CARDIOLAB SUARL                     "/>
    <s v="                              "/>
    <m/>
    <s v="13000585827"/>
    <s v="483707"/>
    <n v="0"/>
    <x v="28"/>
    <s v="257"/>
    <s v="CLIPRO CMT EQUIPEMENT         "/>
    <n v="60"/>
    <n v="15000000"/>
    <n v="336610"/>
    <n v="9.99"/>
    <s v="VA"/>
    <x v="130"/>
    <d v="2026-06-28T00:00:00"/>
    <m/>
    <s v="1"/>
    <s v="SIMON COLY                    "/>
    <n v="187000"/>
    <n v="289000"/>
    <n v="391000"/>
    <n v="233750.00000000003"/>
    <x v="1"/>
  </r>
  <r>
    <s v="01700"/>
    <s v="26031132       "/>
    <s v="SOYARA MODE SAS                     "/>
    <s v="                              "/>
    <m/>
    <s v="06100311324"/>
    <s v="504583"/>
    <n v="0"/>
    <x v="14"/>
    <s v="257"/>
    <s v="CLIPRO CMT EQUIPEMENT         "/>
    <n v="36"/>
    <n v="15000000"/>
    <n v="492709"/>
    <n v="9"/>
    <s v="VA"/>
    <x v="15"/>
    <d v="2025-09-30T00:00:00"/>
    <m/>
    <s v="1"/>
    <s v="ZAKIA BEYE                    "/>
    <n v="184166.66666666669"/>
    <n v="354166.66666666669"/>
    <n v="240833.33333333334"/>
    <n v="0"/>
    <x v="1"/>
  </r>
  <r>
    <s v="02000"/>
    <s v="26026454       "/>
    <s v="NDIAYE MOUSTAPHA                    "/>
    <s v="                              "/>
    <m/>
    <s v="06200264542"/>
    <s v="528792"/>
    <n v="0"/>
    <x v="123"/>
    <s v="157"/>
    <s v="CLIPRO CCT EQUIPEMENT         "/>
    <n v="12"/>
    <n v="20000000"/>
    <n v="1780711"/>
    <n v="10"/>
    <s v="VA"/>
    <x v="131"/>
    <d v="2024-11-21T00:00:00"/>
    <m/>
    <s v="1"/>
    <s v="CHEIKH DJIBRIL FALL           "/>
    <n v="170000"/>
    <n v="340000"/>
    <n v="0"/>
    <n v="0"/>
    <x v="1"/>
  </r>
  <r>
    <s v="00500"/>
    <s v="71001900       "/>
    <s v="LA DAKAROISE D'EQUIPEMENT           "/>
    <s v="                              "/>
    <m/>
    <s v="05007100199"/>
    <s v="524518"/>
    <n v="0"/>
    <x v="124"/>
    <s v="157"/>
    <s v="CLIPRO CCT EQUIPEMENT         "/>
    <n v="12"/>
    <n v="30000000"/>
    <n v="2694178"/>
    <n v="12"/>
    <s v="VA"/>
    <x v="132"/>
    <d v="2024-09-22T00:00:00"/>
    <m/>
    <s v="1"/>
    <s v="AISSATOU KEBE EPOUSE DIENG    "/>
    <n v="170000"/>
    <n v="425000.00000000006"/>
    <n v="0"/>
    <n v="0"/>
    <x v="1"/>
  </r>
  <r>
    <s v="21300"/>
    <s v="35953721       "/>
    <s v="ARAIGNEE SAS                        "/>
    <s v="                              "/>
    <m/>
    <s v="06103595373"/>
    <s v="502594"/>
    <n v="0"/>
    <x v="125"/>
    <s v="257"/>
    <s v="CLIPRO CMT EQUIPEMENT         "/>
    <n v="36"/>
    <n v="14986000"/>
    <n v="492249"/>
    <n v="9"/>
    <s v="VA"/>
    <x v="133"/>
    <d v="2025-08-23T00:00:00"/>
    <m/>
    <s v="1"/>
    <s v="FALL CHEIKH TIDIANE JEAN      "/>
    <n v="169841.33333333334"/>
    <n v="339682.66666666669"/>
    <n v="233531.83333333334"/>
    <n v="0"/>
    <x v="1"/>
  </r>
  <r>
    <s v="11700"/>
    <s v="26035062       "/>
    <s v="KANEL SUARL                         "/>
    <s v="                              "/>
    <m/>
    <s v="05000350620"/>
    <s v="491211"/>
    <n v="0"/>
    <x v="21"/>
    <s v="257"/>
    <s v="CLIPRO CMT EQUIPEMENT         "/>
    <n v="60"/>
    <n v="10000000"/>
    <n v="218568"/>
    <n v="9"/>
    <s v="VA"/>
    <x v="22"/>
    <d v="2026-12-23T00:00:00"/>
    <m/>
    <s v="1"/>
    <s v="ZAKIA BEYE                    "/>
    <n v="158666.66666666669"/>
    <n v="226666.66666666669"/>
    <n v="294666.66666666669"/>
    <n v="0"/>
    <x v="1"/>
  </r>
  <r>
    <s v="01700"/>
    <s v="25963925       "/>
    <s v="SERHAN FATINE &quot;BOULANGERIE AL NOUR&quot; "/>
    <s v="                              "/>
    <m/>
    <s v="06209639252"/>
    <s v="501860"/>
    <n v="0"/>
    <x v="126"/>
    <s v="257"/>
    <s v="CLIPRO CMT EQUIPEMENT         "/>
    <n v="36"/>
    <n v="14783394"/>
    <n v="485594"/>
    <n v="9"/>
    <s v="VA"/>
    <x v="134"/>
    <d v="2025-07-15T00:00:00"/>
    <m/>
    <s v="1"/>
    <s v="ZAKIA BEYE                    "/>
    <n v="153583.03766666667"/>
    <n v="321128.16966666671"/>
    <n v="223393.50933333335"/>
    <n v="0"/>
    <x v="1"/>
  </r>
  <r>
    <s v="06100"/>
    <s v="26027082       "/>
    <s v="GIE JPA                             "/>
    <s v="                              "/>
    <m/>
    <s v="06100270825"/>
    <s v="526776"/>
    <n v="0"/>
    <x v="82"/>
    <s v="157"/>
    <s v="CLIPRO CCT EQUIPEMENT         "/>
    <n v="18"/>
    <n v="10000000"/>
    <n v="600842"/>
    <n v="8"/>
    <s v="VA"/>
    <x v="86"/>
    <d v="2025-04-30T00:00:00"/>
    <m/>
    <s v="1"/>
    <s v="ALASSANE DJIGO                "/>
    <n v="151111.11111111112"/>
    <n v="160555.55555555556"/>
    <n v="0"/>
    <n v="0"/>
    <x v="1"/>
  </r>
  <r>
    <s v="01700"/>
    <s v="07941317       "/>
    <s v="DIATTA BENOIT ABY TECHNOLOGIES CONS "/>
    <s v="                              "/>
    <m/>
    <s v="05400794130"/>
    <s v="508675"/>
    <n v="0"/>
    <x v="127"/>
    <s v="157"/>
    <s v="CLIPRO CCT EQUIPEMENT         "/>
    <n v="24"/>
    <n v="25000000"/>
    <n v="1167856"/>
    <n v="9"/>
    <s v="VA"/>
    <x v="112"/>
    <d v="2024-12-23T00:00:00"/>
    <m/>
    <s v="1"/>
    <s v="ABDOULAYE SIDIBE              "/>
    <n v="141666.66666666669"/>
    <n v="566666.66666666674"/>
    <n v="0"/>
    <n v="0"/>
    <x v="1"/>
  </r>
  <r>
    <s v="00500"/>
    <s v="15788705       "/>
    <s v="MULTISERVICES                       "/>
    <s v="                              "/>
    <m/>
    <s v="06101578876"/>
    <s v="498618"/>
    <n v="0"/>
    <x v="128"/>
    <s v="257"/>
    <s v="CLIPRO CMT EQUIPEMENT         "/>
    <n v="36"/>
    <n v="16000000"/>
    <n v="525556"/>
    <n v="9"/>
    <s v="VA"/>
    <x v="135"/>
    <d v="2025-05-30T00:00:00"/>
    <m/>
    <s v="1"/>
    <s v="OMAR DIONE                    "/>
    <n v="136000"/>
    <n v="317333.33333333337"/>
    <n v="498666.66666666669"/>
    <n v="0"/>
    <x v="1"/>
  </r>
  <r>
    <s v="01200"/>
    <s v="39004412       "/>
    <s v="PHARMACIE MAME MBOR                 "/>
    <s v="                              "/>
    <d v="1962-07-04T00:00:00"/>
    <s v="13003900444"/>
    <s v="494802"/>
    <n v="0"/>
    <x v="129"/>
    <s v="257"/>
    <s v="CLIPRO CMT EQUIPEMENT         "/>
    <n v="48"/>
    <n v="10000000"/>
    <n v="259569"/>
    <n v="9"/>
    <s v="VA"/>
    <x v="136"/>
    <d v="2026-03-18T00:00:00"/>
    <m/>
    <s v="1"/>
    <s v="MOUHAMADOU LAMINE NDIAYE      "/>
    <n v="134583.33333333334"/>
    <n v="219583.33333333334"/>
    <n v="304583.33333333337"/>
    <n v="0"/>
    <x v="1"/>
  </r>
  <r>
    <s v="04000"/>
    <s v="26065796       "/>
    <s v="ABDOULAYE DIENG                     "/>
    <s v="                              "/>
    <m/>
    <s v="06100657967"/>
    <s v="494747"/>
    <n v="0"/>
    <x v="129"/>
    <s v="257"/>
    <s v="CLIPRO CMT EQUIPEMENT         "/>
    <n v="36"/>
    <n v="20000000"/>
    <n v="656945"/>
    <n v="9"/>
    <s v="VA"/>
    <x v="136"/>
    <d v="2025-03-18T00:00:00"/>
    <m/>
    <s v="1"/>
    <s v="SIMON COLY                    "/>
    <n v="132222.22222222225"/>
    <n v="358888.88888888888"/>
    <n v="585555.55555555562"/>
    <n v="0"/>
    <x v="1"/>
  </r>
  <r>
    <s v="01700"/>
    <s v="26040053       "/>
    <s v="N2M DKR TRANSPORT                   "/>
    <s v="                              "/>
    <m/>
    <s v="05000400534"/>
    <s v="497706"/>
    <n v="0"/>
    <x v="130"/>
    <s v="257"/>
    <s v="CLIPRO CMT EQUIPEMENT         "/>
    <n v="36"/>
    <n v="15000000"/>
    <n v="492709"/>
    <n v="9"/>
    <s v="VA"/>
    <x v="137"/>
    <d v="2025-05-05T00:00:00"/>
    <m/>
    <s v="1"/>
    <s v="ABDOULAYE SIDIBE              "/>
    <n v="127500.00000000001"/>
    <n v="297500"/>
    <n v="467500.00000000006"/>
    <n v="0"/>
    <x v="1"/>
  </r>
  <r>
    <s v="01700"/>
    <s v="26040053       "/>
    <s v="N2M DKR TRANSPORT                   "/>
    <s v="                              "/>
    <m/>
    <s v="05000400534"/>
    <s v="515388"/>
    <n v="0"/>
    <x v="131"/>
    <s v="157"/>
    <s v="CLIPRO CCT EQUIPEMENT         "/>
    <n v="24"/>
    <n v="10000000"/>
    <n v="478099"/>
    <n v="11"/>
    <s v="VA"/>
    <x v="138"/>
    <d v="2025-05-05T00:00:00"/>
    <m/>
    <s v="1"/>
    <s v="ABDOULAYE SIDIBE              "/>
    <n v="127500.00000000001"/>
    <n v="297500"/>
    <n v="0"/>
    <n v="0"/>
    <x v="1"/>
  </r>
  <r>
    <s v="03000"/>
    <s v="26078918       "/>
    <s v="ENTREPRISES DE DISTRIBUTION ET SERVI"/>
    <s v="                              "/>
    <m/>
    <s v="06100789183"/>
    <s v="520381"/>
    <n v="0"/>
    <x v="132"/>
    <s v="157"/>
    <s v="CLIPRO CCT EQUIPEMENT         "/>
    <n v="12"/>
    <n v="30000000"/>
    <n v="2704056"/>
    <n v="12"/>
    <s v="VA"/>
    <x v="139"/>
    <d v="2024-08-08T00:00:00"/>
    <m/>
    <s v="1"/>
    <s v="MBAYE NDIAYE                  "/>
    <n v="127500.00000000001"/>
    <n v="382500"/>
    <n v="0"/>
    <n v="0"/>
    <x v="1"/>
  </r>
  <r>
    <s v="06400"/>
    <s v="55491464       "/>
    <s v="AMADOU NIANG                        "/>
    <s v="                              "/>
    <m/>
    <s v="06205549143"/>
    <s v="502286"/>
    <n v="0"/>
    <x v="133"/>
    <s v="257"/>
    <s v="CLIPRO CMT EQUIPEMENT         "/>
    <n v="36"/>
    <n v="7500000"/>
    <n v="250497"/>
    <n v="9.99"/>
    <s v="VA"/>
    <x v="140"/>
    <d v="2025-11-27T00:00:00"/>
    <m/>
    <s v="1"/>
    <s v="SIMON COLY                    "/>
    <n v="106250.00000000001"/>
    <n v="191250"/>
    <n v="127500.00000000001"/>
    <n v="0"/>
    <x v="1"/>
  </r>
  <r>
    <s v="04000"/>
    <s v="26028591       "/>
    <s v="PHARMACIE KENIA FIRDAWS             "/>
    <s v="                              "/>
    <m/>
    <s v="13000285915"/>
    <s v="499746"/>
    <n v="0"/>
    <x v="134"/>
    <s v="257"/>
    <s v="CLIPRO CMT EQUIPEMENT         "/>
    <n v="60"/>
    <n v="5000000"/>
    <n v="109284"/>
    <n v="9"/>
    <s v="VA"/>
    <x v="141"/>
    <d v="2027-07-01T00:00:00"/>
    <m/>
    <s v="1"/>
    <s v="SIMON COLY                    "/>
    <n v="99166.666666666672"/>
    <n v="133166.66666666666"/>
    <n v="79333.333333333343"/>
    <n v="0"/>
    <x v="1"/>
  </r>
  <r>
    <s v="01700"/>
    <s v="26053762       "/>
    <s v="HIJAB MASTOUR                       "/>
    <s v="                              "/>
    <m/>
    <s v="06100537621"/>
    <s v="507042"/>
    <n v="0"/>
    <x v="133"/>
    <s v="257"/>
    <s v="CLIPRO CMT EQUIPEMENT         "/>
    <n v="36"/>
    <n v="7000000"/>
    <n v="229931"/>
    <n v="9"/>
    <s v="VA"/>
    <x v="142"/>
    <d v="2025-11-10T00:00:00"/>
    <m/>
    <s v="1"/>
    <s v="ZAKIA BEYE                    "/>
    <n v="99166.666666666672"/>
    <n v="178500"/>
    <n v="119000.00000000001"/>
    <n v="0"/>
    <x v="1"/>
  </r>
  <r>
    <s v="01700"/>
    <s v="07943217       "/>
    <s v="GAUDEL JOHAN RENE &quot;L'ORTOLAN&quot;       "/>
    <s v="                              "/>
    <m/>
    <s v="05400794320"/>
    <s v="530861"/>
    <n v="0"/>
    <x v="135"/>
    <s v="157"/>
    <s v="CLIPRO CCT EQUIPEMENT         "/>
    <n v="24"/>
    <n v="4000000"/>
    <n v="189018"/>
    <n v="9.99"/>
    <s v="VA"/>
    <x v="143"/>
    <d v="2025-12-11T00:00:00"/>
    <m/>
    <s v="1"/>
    <s v="FALL CHEIKH TIDIANE JEAN      "/>
    <n v="90666.666666666672"/>
    <n v="0"/>
    <n v="0"/>
    <n v="0"/>
    <x v="1"/>
  </r>
  <r>
    <s v="00500"/>
    <s v="25964877       "/>
    <s v="IFANGMONDY CONSULTING               "/>
    <s v="                              "/>
    <m/>
    <s v="06109648770"/>
    <s v="508572"/>
    <n v="0"/>
    <x v="2"/>
    <s v="157"/>
    <s v="CLIPRO CCT EQUIPEMENT         "/>
    <n v="24"/>
    <n v="15000000"/>
    <n v="725441"/>
    <n v="12"/>
    <s v="VA"/>
    <x v="144"/>
    <d v="2024-12-16T00:00:00"/>
    <m/>
    <s v="1"/>
    <s v="AISSATOU KEBE EPOUSE DIENG    "/>
    <n v="85000"/>
    <n v="340000"/>
    <n v="0"/>
    <n v="0"/>
    <x v="1"/>
  </r>
  <r>
    <s v="01900"/>
    <s v="25928939       "/>
    <s v="FAYE SOUKAYE                        "/>
    <s v="                              "/>
    <m/>
    <s v="06209289393"/>
    <s v="507423"/>
    <n v="0"/>
    <x v="136"/>
    <s v="157"/>
    <s v="CLIPRO CCT EQUIPEMENT         "/>
    <n v="36"/>
    <n v="5000000"/>
    <n v="164236"/>
    <n v="9"/>
    <s v="VA"/>
    <x v="145"/>
    <d v="2025-12-28T00:00:00"/>
    <m/>
    <s v="1"/>
    <s v="AIDA ADANGNISSODE             "/>
    <n v="75555.555555555562"/>
    <n v="132222.22222222225"/>
    <n v="0"/>
    <n v="0"/>
    <x v="1"/>
  </r>
  <r>
    <s v="21300"/>
    <s v="26065346       "/>
    <s v="BODY MEDICAL REPAIR                 "/>
    <s v="                              "/>
    <m/>
    <s v="06200653463"/>
    <s v="501466"/>
    <n v="0"/>
    <x v="137"/>
    <s v="257"/>
    <s v="CLIPRO CMT EQUIPEMENT         "/>
    <n v="36"/>
    <n v="7000000"/>
    <n v="229931"/>
    <n v="9"/>
    <s v="VA"/>
    <x v="146"/>
    <d v="2025-07-06T00:00:00"/>
    <m/>
    <s v="1"/>
    <s v="ABDOULAYE SIDIBE              "/>
    <n v="72722.222222222219"/>
    <n v="152055.55555555556"/>
    <n v="105777.77777777778"/>
    <n v="0"/>
    <x v="1"/>
  </r>
  <r>
    <s v="00500"/>
    <s v="15429505       "/>
    <s v="NGOM AMAR                           "/>
    <s v="                              "/>
    <d v="1948-03-09T00:00:00"/>
    <s v="05401542954"/>
    <s v="516628"/>
    <n v="0"/>
    <x v="25"/>
    <s v="257"/>
    <s v="CLIPRO CMT EQUIPEMENT         "/>
    <n v="12"/>
    <n v="25500000"/>
    <n v="2549881"/>
    <n v="9.99"/>
    <s v="VA"/>
    <x v="147"/>
    <d v="2026-05-23T00:00:00"/>
    <m/>
    <s v="1"/>
    <s v="MME DIAGNE MARIE              "/>
    <n v="72250"/>
    <n v="289000"/>
    <n v="0"/>
    <n v="0"/>
    <x v="1"/>
  </r>
  <r>
    <s v="00500"/>
    <s v="15819505       "/>
    <s v="SPEEDEX SARL                        "/>
    <s v="                              "/>
    <m/>
    <s v="06101581953"/>
    <s v="491529"/>
    <n v="0"/>
    <x v="81"/>
    <s v="257"/>
    <s v="CLIPRO CMT EQUIPEMENT         "/>
    <n v="36"/>
    <n v="15000000"/>
    <n v="500994"/>
    <n v="9.99"/>
    <s v="VA"/>
    <x v="23"/>
    <d v="2024-12-17T00:00:00"/>
    <m/>
    <s v="1"/>
    <s v="OMAR DIONE                    "/>
    <n v="56666.666666666672"/>
    <n v="226666.66666666669"/>
    <n v="396666.66666666669"/>
    <n v="0"/>
    <x v="1"/>
  </r>
  <r>
    <s v="41100"/>
    <s v="26081818       "/>
    <s v="GAYE ABDOU                          "/>
    <s v="                              "/>
    <m/>
    <s v="06200818181"/>
    <s v="503713"/>
    <n v="0"/>
    <x v="138"/>
    <s v="157"/>
    <s v="CLIPRO CCT EQUIPEMENT         "/>
    <n v="18"/>
    <n v="30000000"/>
    <n v="1826708"/>
    <n v="9.49"/>
    <s v="VA"/>
    <x v="120"/>
    <d v="2024-07-28T00:00:00"/>
    <m/>
    <s v="1"/>
    <s v="MAMADOU GAYE                  "/>
    <n v="56666.666666666672"/>
    <n v="623333.33333333337"/>
    <n v="0"/>
    <n v="0"/>
    <x v="1"/>
  </r>
  <r>
    <s v="01700"/>
    <s v="07960217       "/>
    <s v="CABINET MEDICAL CHAMS               "/>
    <s v="                              "/>
    <m/>
    <s v="13000796026"/>
    <s v="493468"/>
    <n v="0"/>
    <x v="139"/>
    <s v="257"/>
    <s v="CLIPRO CMT EQUIPEMENT         "/>
    <n v="36"/>
    <n v="8642768"/>
    <n v="283891"/>
    <n v="9"/>
    <s v="VA"/>
    <x v="148"/>
    <d v="2025-02-23T00:00:00"/>
    <m/>
    <s v="1"/>
    <s v="ZAKIA BEYE                    "/>
    <n v="48975.685333333335"/>
    <n v="146927.05600000001"/>
    <n v="244878.42666666667"/>
    <n v="0"/>
    <x v="1"/>
  </r>
  <r>
    <s v="41200"/>
    <s v="26009371       "/>
    <s v="CABINET MEDICAL YAYE ARAME NDIAYE   "/>
    <s v="                              "/>
    <m/>
    <s v="06200093718"/>
    <s v="487795"/>
    <n v="0"/>
    <x v="140"/>
    <s v="257"/>
    <s v="CLIPRO CMT EQUIPEMENT         "/>
    <n v="36"/>
    <n v="22400000"/>
    <n v="735779"/>
    <n v="9"/>
    <s v="VA"/>
    <x v="149"/>
    <d v="2024-09-10T00:00:00"/>
    <d v="2023-11-30T00:00:00"/>
    <s v="9"/>
    <s v="MOUHAMADOU LAMINE NDIAYE      "/>
    <n v="42311.111111111117"/>
    <n v="275022.22222222225"/>
    <n v="528888.88888888899"/>
    <n v="359644.4444444445"/>
    <x v="1"/>
  </r>
  <r>
    <s v="01100"/>
    <s v="28725311       "/>
    <s v="THIAW HAMIDOU                       "/>
    <s v="                              "/>
    <d v="1966-01-10T00:00:00"/>
    <s v="05402872531"/>
    <s v="508439"/>
    <n v="0"/>
    <x v="84"/>
    <s v="157"/>
    <s v="CLIPRO CCT EQUIPEMENT         "/>
    <n v="18"/>
    <n v="40000000"/>
    <n v="2490481"/>
    <n v="12"/>
    <s v="VA"/>
    <x v="89"/>
    <d v="2024-06-09T00:00:00"/>
    <d v="2023-10-24T00:00:00"/>
    <s v="9"/>
    <s v="WRATCHET FOCK TITE            "/>
    <n v="37777.777777777774"/>
    <n v="755555.55555555562"/>
    <n v="0"/>
    <n v="0"/>
    <x v="1"/>
  </r>
  <r>
    <s v="01900"/>
    <s v="37665219       "/>
    <s v="PHARMACIE DU STADE  MOHAMED BA      "/>
    <s v="                              "/>
    <m/>
    <s v="13003766527"/>
    <s v="531511"/>
    <n v="0"/>
    <x v="40"/>
    <s v="157"/>
    <s v="CLIPRO CCT EQUIPEMENT         "/>
    <n v="6"/>
    <n v="10000000"/>
    <n v="1718789"/>
    <n v="8.5"/>
    <s v="VA"/>
    <x v="41"/>
    <d v="2024-06-20T00:00:00"/>
    <m/>
    <s v="1"/>
    <s v="AIDA ADANGNISSODE             "/>
    <n v="28333.333333333336"/>
    <n v="0"/>
    <n v="0"/>
    <n v="0"/>
    <x v="1"/>
  </r>
  <r>
    <s v="01900"/>
    <s v="25977080       "/>
    <s v="DIENG BINETA                        "/>
    <s v="                              "/>
    <m/>
    <s v="06209770806"/>
    <s v="491454"/>
    <n v="0"/>
    <x v="88"/>
    <s v="257"/>
    <s v="CLIPRO CMT EQUIPEMENT         "/>
    <n v="36"/>
    <n v="7000000"/>
    <n v="237781"/>
    <n v="11"/>
    <s v="VA"/>
    <x v="93"/>
    <d v="2024-12-16T00:00:00"/>
    <d v="2024-03-20T00:00:00"/>
    <s v="9"/>
    <s v="AIDA ADANGNISSODE             "/>
    <n v="26444.444444444445"/>
    <n v="105777.7777777778"/>
    <n v="185111.11111111112"/>
    <n v="0"/>
    <x v="1"/>
  </r>
  <r>
    <s v="06000"/>
    <s v="25938948       "/>
    <s v="JOSEPHINE I DIOGOBE NDIAYE          "/>
    <s v="                              "/>
    <m/>
    <s v="06209389486"/>
    <s v="528764"/>
    <n v="0"/>
    <x v="24"/>
    <s v="157"/>
    <s v="CLIPRO CCT EQUIPEMENT         "/>
    <n v="18"/>
    <n v="1500000"/>
    <n v="90126"/>
    <n v="8"/>
    <s v="VA"/>
    <x v="47"/>
    <d v="2025-05-23T00:00:00"/>
    <m/>
    <s v="1"/>
    <s v="MOUHAMADOU MOUSTAPHA DIENG    "/>
    <n v="25500.000000000004"/>
    <n v="25500.000000000004"/>
    <n v="0"/>
    <n v="0"/>
    <x v="1"/>
  </r>
  <r>
    <s v="16000"/>
    <s v="26036134       "/>
    <s v="ENTREPRISE MALICK MBENGUE           "/>
    <s v="                              "/>
    <m/>
    <s v="06200361342"/>
    <s v="500560"/>
    <n v="0"/>
    <x v="141"/>
    <s v="157"/>
    <s v="CLIPRO CCT EQUIPEMENT         "/>
    <n v="24"/>
    <n v="33600000"/>
    <n v="1586097"/>
    <n v="9.9"/>
    <s v="VA"/>
    <x v="150"/>
    <d v="2024-06-21T00:00:00"/>
    <m/>
    <s v="1"/>
    <s v="MOUHAMADOU MOUSTAPHA DIENG    "/>
    <n v="23800"/>
    <n v="476000.00000000006"/>
    <n v="452200.00000000006"/>
    <n v="0"/>
    <x v="1"/>
  </r>
  <r>
    <s v="02200"/>
    <s v="54825322       "/>
    <s v="NOUDJI LEYE                         "/>
    <s v="                              "/>
    <m/>
    <s v="06205482533"/>
    <s v="508408"/>
    <n v="0"/>
    <x v="73"/>
    <s v="157"/>
    <s v="CLIPRO CCT EQUIPEMENT         "/>
    <n v="18"/>
    <n v="25000000"/>
    <n v="1529189"/>
    <n v="10"/>
    <s v="VA"/>
    <x v="77"/>
    <d v="2024-06-21T00:00:00"/>
    <m/>
    <s v="1"/>
    <s v="MOUHAMADOU LAMINE NDIAYE      "/>
    <n v="23611.111111111113"/>
    <n v="472222.22222222225"/>
    <n v="0"/>
    <n v="0"/>
    <x v="1"/>
  </r>
  <r>
    <s v="04000"/>
    <s v="26063956       "/>
    <s v="ALAIN MENDY                         "/>
    <s v="                              "/>
    <m/>
    <s v="06100639569"/>
    <s v="487719"/>
    <n v="0"/>
    <x v="142"/>
    <s v="257"/>
    <s v="CLIPRO CMT EQUIPEMENT         "/>
    <n v="33"/>
    <n v="8000000"/>
    <n v="282901"/>
    <n v="9"/>
    <s v="VA"/>
    <x v="151"/>
    <d v="2024-09-21T00:00:00"/>
    <m/>
    <s v="1"/>
    <s v="SIMON COLY                    "/>
    <n v="16484.848484848488"/>
    <n v="107151.51515151517"/>
    <n v="206060.60606060608"/>
    <n v="0"/>
    <x v="1"/>
  </r>
  <r>
    <s v="01900"/>
    <s v="37738419       "/>
    <s v="SOW ABDOULAYE                       "/>
    <s v="                              "/>
    <m/>
    <s v="06203773848"/>
    <s v="498683"/>
    <n v="0"/>
    <x v="143"/>
    <s v="157"/>
    <s v="CLIPRO CCT EQUIPEMENT         "/>
    <n v="24"/>
    <n v="10000000"/>
    <n v="467142"/>
    <n v="9"/>
    <s v="VA"/>
    <x v="152"/>
    <d v="2024-06-17T00:00:00"/>
    <m/>
    <s v="1"/>
    <s v="AIDA ADANGNISSODE             "/>
    <n v="7083.3333333333339"/>
    <n v="141666.66666666669"/>
    <n v="134583.33333333334"/>
    <n v="0"/>
    <x v="1"/>
  </r>
  <r>
    <s v="04000"/>
    <s v="26063993       "/>
    <s v="CLINIQUE DENTAIRE DE LA CASAMANCE   "/>
    <s v="                              "/>
    <m/>
    <s v="13000639939"/>
    <s v="482313"/>
    <n v="0"/>
    <x v="144"/>
    <s v="257"/>
    <s v="CLIPRO CMT EQUIPEMENT         "/>
    <n v="36"/>
    <n v="10000000"/>
    <n v="334052"/>
    <n v="10"/>
    <s v="VA"/>
    <x v="153"/>
    <d v="2024-06-07T00:00:00"/>
    <m/>
    <s v="1"/>
    <s v="SIMON COLY                    "/>
    <n v="4722.2222222222217"/>
    <n v="94444.444444444453"/>
    <n v="207777.77777777778"/>
    <n v="146388.88888888891"/>
    <x v="1"/>
  </r>
  <r>
    <s v="00500"/>
    <s v="26087571       "/>
    <s v="MUTUELLE DES AGENTS DE LA DIRECTION "/>
    <s v="                              "/>
    <m/>
    <s v="14700875719"/>
    <s v="510044"/>
    <n v="0"/>
    <x v="145"/>
    <s v="241"/>
    <s v="C.M.T. CONSTRUCTION ADMINIST. "/>
    <n v="96"/>
    <n v="2000000000"/>
    <n v="18910013"/>
    <n v="7"/>
    <s v="VA"/>
    <x v="154"/>
    <d v="2033-01-18T00:00:00"/>
    <m/>
    <s v="1"/>
    <s v="FATIMA CHAOUI                 "/>
    <n v="0"/>
    <n v="0"/>
    <n v="0"/>
    <n v="0"/>
    <x v="0"/>
  </r>
  <r>
    <s v="01500"/>
    <s v="08186915       "/>
    <s v="SOGEPAL                             "/>
    <s v="                              "/>
    <m/>
    <s v="05000818697"/>
    <s v="525039"/>
    <n v="0"/>
    <x v="18"/>
    <s v="220"/>
    <s v="CLICOM CMT EQUIPEMENT         "/>
    <n v="72"/>
    <n v="1350000000"/>
    <n v="7463304"/>
    <n v="7.25"/>
    <s v="VA"/>
    <x v="155"/>
    <d v="2030-12-14T00:00:00"/>
    <m/>
    <s v="1"/>
    <s v="MAME NGONE GAYE               "/>
    <n v="0"/>
    <n v="0"/>
    <n v="0"/>
    <n v="0"/>
    <x v="0"/>
  </r>
  <r>
    <s v="00500"/>
    <s v="15053900       "/>
    <s v="HOBALLAH NAGI                       "/>
    <s v="                              "/>
    <d v="1961-01-02T00:00:00"/>
    <s v="05001505393"/>
    <s v="481108"/>
    <n v="0"/>
    <x v="146"/>
    <s v="128"/>
    <s v="CLICOM CCT TRESORERIE         "/>
    <n v="12"/>
    <n v="75000000"/>
    <n v="6551038"/>
    <n v="7.5"/>
    <s v="VA"/>
    <x v="156"/>
    <d v="2022-05-03T00:00:00"/>
    <m/>
    <s v="9"/>
    <s v="ADJA FATOU CISSE EP NIANG     "/>
    <n v="0"/>
    <n v="0"/>
    <n v="0"/>
    <n v="1912500.0000000002"/>
    <x v="1"/>
  </r>
  <r>
    <s v="00500"/>
    <s v="15053900       "/>
    <s v="HOBALLAH NAGI                       "/>
    <s v="                              "/>
    <d v="1961-01-02T00:00:00"/>
    <s v="05001505393"/>
    <s v="497036"/>
    <n v="0"/>
    <x v="147"/>
    <s v="128"/>
    <s v="CLICOM CCT TRESORERIE         "/>
    <n v="12"/>
    <n v="75000000"/>
    <n v="6551038"/>
    <n v="7.5"/>
    <s v="VA"/>
    <x v="157"/>
    <d v="2023-06-02T00:00:00"/>
    <m/>
    <s v="9"/>
    <s v="ADJA FATOU CISSE EP NIANG     "/>
    <n v="0"/>
    <n v="106250.00000000001"/>
    <n v="743750"/>
    <n v="0"/>
    <x v="1"/>
  </r>
  <r>
    <s v="00500"/>
    <s v="15187000       "/>
    <s v="SYBEL COSMETIC                      "/>
    <s v="                              "/>
    <m/>
    <s v="05001518701"/>
    <s v="492396"/>
    <n v="0"/>
    <x v="148"/>
    <s v="128"/>
    <s v="CLICOM CCT TRESORERIE         "/>
    <n v="12"/>
    <n v="144000000"/>
    <n v="12577993"/>
    <n v="7.5"/>
    <s v="VA"/>
    <x v="158"/>
    <d v="2023-02-18T00:00:00"/>
    <m/>
    <s v="9"/>
    <s v="KHADIDIATOU MBENGUE           "/>
    <n v="0"/>
    <n v="0"/>
    <n v="2448000"/>
    <n v="0"/>
    <x v="1"/>
  </r>
  <r>
    <s v="00500"/>
    <s v="15625005       "/>
    <s v="IDEA MOBILIER                       "/>
    <s v="                              "/>
    <m/>
    <s v="05001562501"/>
    <s v="481703"/>
    <n v="0"/>
    <x v="149"/>
    <s v="128"/>
    <s v="CLICOM CCT TRESORERIE         "/>
    <n v="12"/>
    <n v="100000000"/>
    <n v="8707630"/>
    <n v="7"/>
    <s v="VA"/>
    <x v="159"/>
    <d v="2022-06-14T00:00:00"/>
    <m/>
    <s v="9"/>
    <s v="YAYE FATOU GAYE               "/>
    <n v="0"/>
    <n v="0"/>
    <n v="141666.66666666669"/>
    <n v="991666.66666666674"/>
    <x v="1"/>
  </r>
  <r>
    <s v="00500"/>
    <s v="15668005       "/>
    <s v="SCRUPULDOS SARL                     "/>
    <s v="                              "/>
    <m/>
    <s v="05001566809"/>
    <s v="484766"/>
    <n v="0"/>
    <x v="150"/>
    <s v="128"/>
    <s v="CLICOM CCT TRESORERIE         "/>
    <n v="24"/>
    <n v="150000000"/>
    <n v="6917932"/>
    <n v="8.5"/>
    <s v="VA"/>
    <x v="160"/>
    <d v="2023-06-25T00:00:00"/>
    <m/>
    <s v="9"/>
    <s v="ADJA FATOU CISSE EP NIANG     "/>
    <n v="0"/>
    <n v="106250.00000000001"/>
    <n v="2125000"/>
    <n v="2018750.0000000002"/>
    <x v="1"/>
  </r>
  <r>
    <s v="00500"/>
    <s v="15725805       "/>
    <s v="BASSI SUARL                         "/>
    <s v="                              "/>
    <m/>
    <s v="06101572580"/>
    <s v="477186"/>
    <n v="0"/>
    <x v="151"/>
    <s v="157"/>
    <s v="CLIPRO CCT EQUIPEMENT         "/>
    <n v="24"/>
    <n v="34850000"/>
    <n v="1647012"/>
    <n v="10"/>
    <s v="VA"/>
    <x v="161"/>
    <d v="2023-04-22T00:00:00"/>
    <m/>
    <s v="9"/>
    <s v="MME DIAGNE MARIE              "/>
    <n v="0"/>
    <n v="0"/>
    <n v="394966.66666666669"/>
    <n v="987416.66666666674"/>
    <x v="1"/>
  </r>
  <r>
    <s v="00500"/>
    <s v="15763005       "/>
    <s v="UNITE INDUSTRIELLE DE PLASTIQUES    "/>
    <s v="                              "/>
    <m/>
    <s v="05001576303"/>
    <s v="492337"/>
    <n v="0"/>
    <x v="152"/>
    <s v="128"/>
    <s v="CLICOM CCT TRESORERIE         "/>
    <n v="12"/>
    <n v="132000000"/>
    <n v="11529827"/>
    <n v="7.5"/>
    <s v="VA"/>
    <x v="85"/>
    <d v="2023-02-17T00:00:00"/>
    <m/>
    <s v="9"/>
    <s v="KHADIDIATOU MBENGUE           "/>
    <n v="0"/>
    <n v="0"/>
    <n v="2244000"/>
    <n v="0"/>
    <x v="1"/>
  </r>
  <r>
    <s v="00500"/>
    <s v="15819505       "/>
    <s v="SPEEDEX SARL                        "/>
    <s v="                              "/>
    <m/>
    <s v="06101581953"/>
    <s v="480497"/>
    <n v="0"/>
    <x v="151"/>
    <s v="257"/>
    <s v="CLIPRO CMT EQUIPEMENT         "/>
    <n v="36"/>
    <n v="5000000"/>
    <n v="166998"/>
    <n v="9.99"/>
    <s v="VA"/>
    <x v="161"/>
    <d v="2024-04-22T00:00:00"/>
    <m/>
    <s v="1"/>
    <s v="OMAR DIONE                    "/>
    <n v="0"/>
    <n v="37777.777777777781"/>
    <n v="94444.444444444453"/>
    <n v="151111.11111111112"/>
    <x v="1"/>
  </r>
  <r>
    <s v="00500"/>
    <s v="26015351       "/>
    <s v="SOCIETE DE DISTRIBUTION ET DE COMMER"/>
    <s v="                              "/>
    <m/>
    <s v="05000153518"/>
    <s v="485164"/>
    <n v="0"/>
    <x v="48"/>
    <s v="128"/>
    <s v="CLICOM CCT TRESORERIE         "/>
    <n v="24"/>
    <n v="350000000"/>
    <n v="15766573"/>
    <n v="6.5"/>
    <s v="VA"/>
    <x v="162"/>
    <d v="2023-07-08T00:00:00"/>
    <m/>
    <s v="9"/>
    <s v="MARIEME SOUGOU                "/>
    <n v="0"/>
    <n v="495833.33333333337"/>
    <n v="5454166.666666667"/>
    <n v="4958333.333333334"/>
    <x v="0"/>
  </r>
  <r>
    <s v="00500"/>
    <s v="26042525       "/>
    <s v="OSMOSE AUDIT ET CONSEILS SARL       "/>
    <s v="                              "/>
    <m/>
    <s v="06100425251"/>
    <s v="476921"/>
    <n v="0"/>
    <x v="153"/>
    <s v="257"/>
    <s v="CLIPRO CMT EQUIPEMENT         "/>
    <n v="36"/>
    <n v="30000000"/>
    <n v="1001988"/>
    <n v="9.99"/>
    <s v="VA"/>
    <x v="163"/>
    <d v="2024-02-03T00:00:00"/>
    <m/>
    <s v="9"/>
    <s v="OMAR DIONE                    "/>
    <n v="0"/>
    <n v="170000"/>
    <n v="510000.00000000006"/>
    <n v="850000.00000000012"/>
    <x v="1"/>
  </r>
  <r>
    <s v="00500"/>
    <s v="26058887       "/>
    <s v="EAGLE DSS SAU                       "/>
    <s v="                              "/>
    <m/>
    <s v="05010588877"/>
    <s v="476178"/>
    <n v="0"/>
    <x v="77"/>
    <s v="128"/>
    <s v="CLICOM CCT TRESORERIE         "/>
    <n v="1"/>
    <n v="4919677500"/>
    <n v="5142723379"/>
    <n v="7.75"/>
    <s v="VA"/>
    <x v="159"/>
    <d v="2021-07-14T00:00:00"/>
    <d v="2021-07-13T00:00:00"/>
    <s v="9"/>
    <s v="HABY THIOUB                   "/>
    <n v="0"/>
    <n v="0"/>
    <n v="0"/>
    <n v="0"/>
    <x v="0"/>
  </r>
  <r>
    <s v="00500"/>
    <s v="26059270       "/>
    <s v="FALCON KITE DSS SAU                 "/>
    <s v="                              "/>
    <m/>
    <s v="05020592703"/>
    <s v="476177"/>
    <n v="0"/>
    <x v="77"/>
    <s v="128"/>
    <s v="CLICOM CCT TRESORERIE         "/>
    <n v="1"/>
    <n v="3279785000"/>
    <n v="3502830879"/>
    <n v="7.75"/>
    <s v="VA"/>
    <x v="164"/>
    <d v="2021-10-14T00:00:00"/>
    <d v="2021-07-13T00:00:00"/>
    <s v="9"/>
    <s v="HABY THIOUB                   "/>
    <n v="0"/>
    <n v="0"/>
    <n v="0"/>
    <n v="0"/>
    <x v="0"/>
  </r>
  <r>
    <s v="00500"/>
    <s v="26067241       "/>
    <s v="SWAMI AGRI SAU                      "/>
    <s v="                              "/>
    <m/>
    <s v="05000672418"/>
    <s v="500003"/>
    <n v="0"/>
    <x v="37"/>
    <s v="220"/>
    <s v="CLICOM CMT EQUIPEMENT         "/>
    <n v="4"/>
    <n v="2000000000"/>
    <n v="552214205"/>
    <n v="7"/>
    <s v="VA"/>
    <x v="67"/>
    <d v="2025-07-15T00:00:00"/>
    <m/>
    <s v="1"/>
    <s v="MARIEME SOUGOU                "/>
    <n v="0"/>
    <n v="0"/>
    <n v="0"/>
    <n v="0"/>
    <x v="0"/>
  </r>
  <r>
    <s v="00500"/>
    <s v="26068228       "/>
    <s v="KAAWAR KHALED                       "/>
    <s v="                              "/>
    <m/>
    <s v="05000682284"/>
    <s v="491479"/>
    <n v="0"/>
    <x v="154"/>
    <s v="128"/>
    <s v="CLICOM CCT TRESORERIE         "/>
    <n v="12"/>
    <n v="100000000"/>
    <n v="8734717"/>
    <n v="7.5"/>
    <s v="VA"/>
    <x v="165"/>
    <d v="2022-12-24T00:00:00"/>
    <m/>
    <s v="9"/>
    <s v="ADJA FATOU CISSE EP NIANG     "/>
    <n v="0"/>
    <n v="0"/>
    <n v="1133333.3333333335"/>
    <n v="0"/>
    <x v="1"/>
  </r>
  <r>
    <s v="00500"/>
    <s v="71001900       "/>
    <s v="LA DAKAROISE D'EQUIPEMENT           "/>
    <s v="                              "/>
    <m/>
    <s v="05007100199"/>
    <s v="487336"/>
    <n v="0"/>
    <x v="155"/>
    <s v="157"/>
    <s v="CLIPRO CCT EQUIPEMENT         "/>
    <n v="12"/>
    <n v="40000000"/>
    <n v="3537194"/>
    <n v="9.49"/>
    <s v="VA"/>
    <x v="166"/>
    <d v="2022-09-08T00:00:00"/>
    <m/>
    <s v="9"/>
    <s v="AISSATOU KEBE EPOUSE DIENG    "/>
    <n v="0"/>
    <n v="0"/>
    <n v="226666.66666666669"/>
    <n v="566666.66666666674"/>
    <x v="1"/>
  </r>
  <r>
    <s v="00500"/>
    <s v="71001900       "/>
    <s v="LA DAKAROISE D'EQUIPEMENT           "/>
    <s v="                              "/>
    <m/>
    <s v="05007100199"/>
    <s v="502299"/>
    <n v="0"/>
    <x v="156"/>
    <s v="157"/>
    <s v="CLIPRO CCT EQUIPEMENT         "/>
    <n v="12"/>
    <n v="30000000"/>
    <n v="2694178"/>
    <n v="12"/>
    <s v="VA"/>
    <x v="167"/>
    <d v="2023-08-02T00:00:00"/>
    <m/>
    <s v="9"/>
    <s v="AISSATOU KEBE EPOUSE DIENG    "/>
    <n v="0"/>
    <n v="127500.00000000001"/>
    <n v="382500"/>
    <n v="0"/>
    <x v="1"/>
  </r>
  <r>
    <s v="00500"/>
    <s v="71093505       "/>
    <s v="COURS SAINTE MARIE DE HANN          "/>
    <s v="                              "/>
    <m/>
    <s v="05007109356"/>
    <s v="491458"/>
    <n v="0"/>
    <x v="21"/>
    <s v="128"/>
    <s v="CLICOM CCT TRESORERIE         "/>
    <n v="24"/>
    <n v="150000000"/>
    <n v="6917932"/>
    <n v="8.5"/>
    <s v="VA"/>
    <x v="22"/>
    <d v="2023-12-23T00:00:00"/>
    <m/>
    <s v="9"/>
    <s v="PIERRE NDAW                   "/>
    <n v="0"/>
    <n v="850000.00000000012"/>
    <n v="3400000.0000000005"/>
    <n v="0"/>
    <x v="1"/>
  </r>
  <r>
    <s v="01100"/>
    <s v="28725311       "/>
    <s v="THIAW HAMIDOU                       "/>
    <s v="                              "/>
    <d v="1966-01-10T00:00:00"/>
    <s v="05402872531"/>
    <s v="493204"/>
    <n v="0"/>
    <x v="157"/>
    <s v="157"/>
    <s v="CLIPRO CCT EQUIPEMENT         "/>
    <n v="19"/>
    <n v="50000000"/>
    <n v="3085670"/>
    <n v="11"/>
    <s v="VA"/>
    <x v="168"/>
    <d v="2023-08-14T00:00:00"/>
    <d v="2023-10-24T00:00:00"/>
    <s v="9"/>
    <s v="WRATCHET FOCK TITE            "/>
    <n v="0"/>
    <n v="178947.36842105264"/>
    <n v="1163157.8947368423"/>
    <n v="0"/>
    <x v="1"/>
  </r>
  <r>
    <s v="01300"/>
    <s v="26053536       "/>
    <s v="TRAVAUX DU SAHEL SUARL              "/>
    <s v="                              "/>
    <m/>
    <s v="06110535366"/>
    <s v="481928"/>
    <n v="0"/>
    <x v="158"/>
    <s v="157"/>
    <s v="CLIPRO CCT EQUIPEMENT         "/>
    <n v="24"/>
    <n v="27000000"/>
    <n v="1281981"/>
    <n v="11"/>
    <s v="VA"/>
    <x v="169"/>
    <d v="2023-05-25T00:00:00"/>
    <d v="2022-12-22T00:00:00"/>
    <s v="9"/>
    <s v="ABDOULAYE SIDIBE              "/>
    <n v="0"/>
    <n v="0"/>
    <n v="344250"/>
    <n v="803250"/>
    <x v="1"/>
  </r>
  <r>
    <s v="01400"/>
    <s v="26063206       "/>
    <s v="DIJA AND AISHA'S BEAUTY             "/>
    <s v="                              "/>
    <m/>
    <s v="06200632063"/>
    <s v="486753"/>
    <n v="0"/>
    <x v="159"/>
    <s v="157"/>
    <s v="CLIPRO CCT EQUIPEMENT         "/>
    <n v="12"/>
    <n v="2000000"/>
    <n v="177524"/>
    <n v="9.5"/>
    <s v="VA"/>
    <x v="170"/>
    <d v="2022-08-16T00:00:00"/>
    <m/>
    <s v="9"/>
    <s v="Couro Thiam AGNE              "/>
    <n v="0"/>
    <n v="0"/>
    <n v="8500"/>
    <n v="25500.000000000004"/>
    <x v="1"/>
  </r>
  <r>
    <s v="01500"/>
    <s v="08080100       "/>
    <s v="SICAS                               "/>
    <s v="                              "/>
    <m/>
    <s v="05000808011"/>
    <s v="488251"/>
    <n v="0"/>
    <x v="110"/>
    <s v="128"/>
    <s v="CLICOM CCT TRESORERIE         "/>
    <n v="12"/>
    <n v="100000000"/>
    <n v="8707630"/>
    <n v="7"/>
    <s v="VA"/>
    <x v="116"/>
    <d v="2022-09-30T00:00:00"/>
    <m/>
    <s v="9"/>
    <s v="CHEIKH TALIBOUYA NDIAYE       "/>
    <n v="0"/>
    <n v="0"/>
    <n v="566666.66666666674"/>
    <n v="1416666.6666666667"/>
    <x v="1"/>
  </r>
  <r>
    <s v="01500"/>
    <s v="08080100       "/>
    <s v="SICAS                               "/>
    <s v="                              "/>
    <m/>
    <s v="05000808011"/>
    <s v="509151"/>
    <n v="0"/>
    <x v="160"/>
    <s v="128"/>
    <s v="CLICOM CCT TRESORERIE         "/>
    <n v="12"/>
    <n v="100000000"/>
    <n v="8707630"/>
    <n v="7"/>
    <s v="VA"/>
    <x v="171"/>
    <d v="2024-01-06T00:00:00"/>
    <m/>
    <s v="9"/>
    <s v="CHEIKH TALIBOUYA NDIAYE       "/>
    <n v="0"/>
    <n v="1416666.6666666667"/>
    <n v="0"/>
    <n v="0"/>
    <x v="1"/>
  </r>
  <r>
    <s v="01500"/>
    <s v="08116000       "/>
    <s v="D.H.F.                              "/>
    <s v="                              "/>
    <m/>
    <s v="05000811601"/>
    <s v="481157"/>
    <n v="0"/>
    <x v="161"/>
    <s v="220"/>
    <s v="CLICOM CMT EQUIPEMENT         "/>
    <n v="36"/>
    <n v="793000000"/>
    <n v="24705490"/>
    <n v="6.5"/>
    <s v="VA"/>
    <x v="172"/>
    <d v="2024-05-05T00:00:00"/>
    <m/>
    <s v="1"/>
    <s v="CHEIKH TALIBOUYA NDIAYE       "/>
    <n v="0"/>
    <n v="6740500.0000000009"/>
    <n v="15727833.333333334"/>
    <n v="24715166.666666668"/>
    <x v="0"/>
  </r>
  <r>
    <s v="01500"/>
    <s v="08152115       "/>
    <s v="SEN INTERIM                         "/>
    <s v="                              "/>
    <m/>
    <s v="05000815214"/>
    <s v="485093"/>
    <n v="0"/>
    <x v="162"/>
    <s v="128"/>
    <s v="CLICOM CCT TRESORERIE         "/>
    <n v="6"/>
    <n v="60000000"/>
    <n v="10274768"/>
    <n v="8"/>
    <s v="VA"/>
    <x v="173"/>
    <d v="2022-01-13T00:00:00"/>
    <m/>
    <s v="9"/>
    <s v="MAMADOU DIAGNE                "/>
    <n v="0"/>
    <n v="0"/>
    <n v="0"/>
    <n v="340000"/>
    <x v="1"/>
  </r>
  <r>
    <s v="01500"/>
    <s v="08152115       "/>
    <s v="SEN INTERIM                         "/>
    <s v="                              "/>
    <m/>
    <s v="05000815214"/>
    <s v="499091"/>
    <n v="0"/>
    <x v="163"/>
    <s v="128"/>
    <s v="CLICOM CCT TRESORERIE         "/>
    <n v="6"/>
    <n v="60000000"/>
    <n v="10274768"/>
    <n v="8"/>
    <s v="VA"/>
    <x v="174"/>
    <d v="2022-12-10T00:00:00"/>
    <m/>
    <s v="9"/>
    <s v="MAMADOU DIAGNE                "/>
    <n v="0"/>
    <n v="0"/>
    <n v="170000"/>
    <n v="0"/>
    <x v="1"/>
  </r>
  <r>
    <s v="01500"/>
    <s v="08152115       "/>
    <s v="SEN INTERIM                         "/>
    <s v="                              "/>
    <m/>
    <s v="05000815214"/>
    <s v="519308"/>
    <n v="0"/>
    <x v="164"/>
    <s v="128"/>
    <s v="CLICOM CCT TRESORERIE         "/>
    <n v="6"/>
    <n v="60000000"/>
    <n v="10240229"/>
    <n v="7"/>
    <s v="VA"/>
    <x v="175"/>
    <d v="2024-01-17T00:00:00"/>
    <m/>
    <s v="9"/>
    <s v="MAMADOU DIAGNE                "/>
    <n v="0"/>
    <n v="340000"/>
    <n v="0"/>
    <n v="0"/>
    <x v="1"/>
  </r>
  <r>
    <s v="01500"/>
    <s v="08205115       "/>
    <s v="SITCOM SARL                         "/>
    <s v="                              "/>
    <m/>
    <s v="05000820511"/>
    <s v="486029"/>
    <n v="0"/>
    <x v="165"/>
    <s v="128"/>
    <s v="CLICOM CCT TRESORERIE         "/>
    <n v="24"/>
    <n v="300000000"/>
    <n v="13755028"/>
    <n v="8"/>
    <s v="VA"/>
    <x v="176"/>
    <d v="2023-08-05T00:00:00"/>
    <m/>
    <s v="9"/>
    <s v="CHEIKH TALIBOUYA NDIAYE       "/>
    <n v="0"/>
    <n v="637500"/>
    <n v="5100000"/>
    <n v="4462500"/>
    <x v="0"/>
  </r>
  <r>
    <s v="01600"/>
    <s v="00998200       "/>
    <s v="SARR MOR MATY                       "/>
    <s v="                              "/>
    <d v="1945-05-10T00:00:00"/>
    <s v="05400099821"/>
    <s v="490893"/>
    <n v="0"/>
    <x v="166"/>
    <s v="121"/>
    <s v="CLICOM CCT EQUIPEMENT         "/>
    <n v="24"/>
    <n v="75000000"/>
    <n v="3414599"/>
    <n v="7.4"/>
    <s v="VA"/>
    <x v="177"/>
    <d v="2023-11-30T00:00:00"/>
    <m/>
    <s v="1"/>
    <s v="ADJA FATOU CISSE EP NIANG     "/>
    <n v="0"/>
    <n v="318750"/>
    <n v="1593750"/>
    <n v="1275000"/>
    <x v="1"/>
  </r>
  <r>
    <s v="01700"/>
    <s v="07959517       "/>
    <s v="ALLO DENTISTE SOS DENTAIRE          "/>
    <s v="                              "/>
    <m/>
    <s v="13000795952"/>
    <s v="475903"/>
    <n v="0"/>
    <x v="167"/>
    <s v="257"/>
    <s v="CLIPRO CMT EQUIPEMENT         "/>
    <n v="36"/>
    <n v="13000000"/>
    <n v="434195"/>
    <n v="9.99"/>
    <s v="VA"/>
    <x v="81"/>
    <d v="2024-01-14T00:00:00"/>
    <m/>
    <s v="9"/>
    <s v="ZAKIA BEYE                    "/>
    <n v="0"/>
    <n v="61388.888888888898"/>
    <n v="208722.22222222225"/>
    <n v="356055.55555555556"/>
    <x v="1"/>
  </r>
  <r>
    <s v="01700"/>
    <s v="25963925       "/>
    <s v="SERHAN FATINE &quot;BOULANGERIE AL NOUR&quot; "/>
    <s v="                              "/>
    <m/>
    <s v="06209639252"/>
    <s v="484598"/>
    <n v="0"/>
    <x v="28"/>
    <s v="157"/>
    <s v="CLIPRO CCT EQUIPEMENT         "/>
    <n v="18"/>
    <n v="12000000"/>
    <n v="740561"/>
    <n v="11"/>
    <s v="VA"/>
    <x v="130"/>
    <d v="2022-12-28T00:00:00"/>
    <m/>
    <s v="9"/>
    <s v="ZAKIA BEYE                    "/>
    <n v="0"/>
    <n v="0"/>
    <n v="90666.666666666672"/>
    <n v="147333.33333333334"/>
    <x v="1"/>
  </r>
  <r>
    <s v="01700"/>
    <s v="26024232       "/>
    <s v="YEEG SAS                            "/>
    <s v="                              "/>
    <m/>
    <s v="06100242321"/>
    <s v="511833"/>
    <n v="0"/>
    <x v="168"/>
    <s v="128"/>
    <s v="CLICOM CCT TRESORERIE         "/>
    <n v="12"/>
    <n v="50000000"/>
    <n v="4326798"/>
    <n v="6"/>
    <s v="VA"/>
    <x v="178"/>
    <d v="2024-03-06T00:00:00"/>
    <m/>
    <s v="9"/>
    <s v="CHEIKH TALIBOUYA NDIAYE       "/>
    <n v="0"/>
    <n v="991666.66666666663"/>
    <n v="0"/>
    <n v="0"/>
    <x v="1"/>
  </r>
  <r>
    <s v="01700"/>
    <s v="26031132       "/>
    <s v="SOYARA MODE SAS                     "/>
    <s v="                              "/>
    <m/>
    <s v="06100311324"/>
    <s v="484996"/>
    <n v="0"/>
    <x v="169"/>
    <s v="157"/>
    <s v="CLIPRO CCT EQUIPEMENT         "/>
    <n v="12"/>
    <n v="7000000"/>
    <n v="621333"/>
    <n v="9.5"/>
    <s v="VA"/>
    <x v="179"/>
    <d v="2022-06-30T00:00:00"/>
    <m/>
    <s v="9"/>
    <s v="ZAKIA BEYE                    "/>
    <n v="0"/>
    <n v="0"/>
    <n v="9916.6666666666679"/>
    <n v="69416.666666666672"/>
    <x v="1"/>
  </r>
  <r>
    <s v="01700"/>
    <s v="26071847       "/>
    <s v="CLEANIC SARL                        "/>
    <s v="                              "/>
    <m/>
    <s v="06100718478"/>
    <s v="511056"/>
    <n v="0"/>
    <x v="170"/>
    <s v="157"/>
    <s v="CLIPRO CCT EQUIPEMENT         "/>
    <n v="12"/>
    <n v="20000000"/>
    <n v="1791689"/>
    <n v="11"/>
    <s v="VA"/>
    <x v="180"/>
    <d v="2024-02-13T00:00:00"/>
    <m/>
    <s v="9"/>
    <s v="ZAKIA BEYE                    "/>
    <n v="0"/>
    <n v="340000"/>
    <n v="0"/>
    <n v="0"/>
    <x v="1"/>
  </r>
  <r>
    <s v="01800"/>
    <s v="60423303       "/>
    <s v="SAHEL BATISSE ET EQUIPEMENT DIVERS  "/>
    <s v="                              "/>
    <d v="1971-10-27T00:00:00"/>
    <s v="05406042334"/>
    <s v="515651"/>
    <n v="0"/>
    <x v="55"/>
    <s v="157"/>
    <s v="CLIPRO CCT EQUIPEMENT         "/>
    <n v="12"/>
    <n v="25000000"/>
    <n v="2239611"/>
    <n v="11"/>
    <s v="VA"/>
    <x v="87"/>
    <d v="2024-05-26T00:00:00"/>
    <m/>
    <s v="1"/>
    <s v="AMETH NIANG                   "/>
    <n v="0"/>
    <n v="637500"/>
    <n v="0"/>
    <n v="0"/>
    <x v="1"/>
  </r>
  <r>
    <s v="01900"/>
    <s v="25977080       "/>
    <s v="DIENG BINETA                        "/>
    <s v="                              "/>
    <m/>
    <s v="06209770806"/>
    <s v="515381"/>
    <n v="0"/>
    <x v="171"/>
    <s v="157"/>
    <s v="CLIPRO CCT EQUIPEMENT         "/>
    <n v="12"/>
    <n v="20000000"/>
    <n v="1791689"/>
    <n v="11"/>
    <s v="VA"/>
    <x v="181"/>
    <d v="2024-05-04T00:00:00"/>
    <d v="2024-03-19T00:00:00"/>
    <s v="9"/>
    <s v="AIDA ADANGNISSODE             "/>
    <n v="0"/>
    <n v="510000.00000000006"/>
    <n v="0"/>
    <n v="0"/>
    <x v="1"/>
  </r>
  <r>
    <s v="01900"/>
    <s v="37716719       "/>
    <s v="DIOP MAMADOU                        "/>
    <s v="                              "/>
    <m/>
    <s v="06203771677"/>
    <s v="505156"/>
    <n v="0"/>
    <x v="13"/>
    <s v="157"/>
    <s v="CLIPRO CCT EQUIPEMENT         "/>
    <n v="18"/>
    <n v="3000000"/>
    <n v="183503"/>
    <n v="10"/>
    <s v="VA"/>
    <x v="14"/>
    <d v="2024-05-08T00:00:00"/>
    <d v="2023-10-05T00:00:00"/>
    <s v="9"/>
    <s v="AIDA ADANGNISSODE             "/>
    <n v="0"/>
    <n v="51000.000000000007"/>
    <n v="51000.000000000007"/>
    <n v="0"/>
    <x v="1"/>
  </r>
  <r>
    <s v="01900"/>
    <s v="37738419       "/>
    <s v="SOW ABDOULAYE                       "/>
    <s v="                              "/>
    <m/>
    <s v="06203773848"/>
    <s v="476007"/>
    <n v="0"/>
    <x v="172"/>
    <s v="157"/>
    <s v="CLIPRO CCT EQUIPEMENT         "/>
    <n v="12"/>
    <n v="6000000"/>
    <n v="537507"/>
    <n v="11"/>
    <s v="VA"/>
    <x v="182"/>
    <d v="2022-01-19T00:00:00"/>
    <m/>
    <s v="9"/>
    <s v="AIDA ADANGNISSODE             "/>
    <n v="0"/>
    <n v="0"/>
    <n v="0"/>
    <n v="85000"/>
    <x v="1"/>
  </r>
  <r>
    <s v="02000"/>
    <s v="25948803       "/>
    <s v=" MAMATH GAYE-SUARL                  "/>
    <s v="                              "/>
    <m/>
    <s v="06209488035"/>
    <s v="516229"/>
    <n v="0"/>
    <x v="34"/>
    <s v="157"/>
    <s v="CLIPRO CCT EQUIPEMENT         "/>
    <n v="12"/>
    <n v="20000000"/>
    <n v="1758867"/>
    <n v="8"/>
    <s v="VA"/>
    <x v="35"/>
    <d v="2024-05-25T00:00:00"/>
    <m/>
    <s v="1"/>
    <s v="AMETH NIANG                   "/>
    <n v="0"/>
    <n v="510000.00000000006"/>
    <n v="0"/>
    <n v="0"/>
    <x v="1"/>
  </r>
  <r>
    <s v="02000"/>
    <s v="26001179       "/>
    <s v="LABOTECH SUARL                      "/>
    <s v="                              "/>
    <m/>
    <s v="06100011795"/>
    <s v="489470"/>
    <n v="0"/>
    <x v="173"/>
    <s v="157"/>
    <s v="CLIPRO CCT EQUIPEMENT         "/>
    <n v="18"/>
    <n v="30000000"/>
    <n v="1858018"/>
    <n v="12"/>
    <s v="VA"/>
    <x v="183"/>
    <d v="2023-05-02T00:00:00"/>
    <d v="2023-04-06T00:00:00"/>
    <s v="9"/>
    <s v="AMETH NIANG                   "/>
    <n v="0"/>
    <n v="0"/>
    <n v="510000.00000000006"/>
    <n v="510000.00000000006"/>
    <x v="1"/>
  </r>
  <r>
    <s v="02000"/>
    <s v="26057248       "/>
    <s v="RADIOLOGIE MOBILE ZATIFA            "/>
    <s v="                              "/>
    <m/>
    <s v="13000572488"/>
    <s v="478966"/>
    <n v="0"/>
    <x v="174"/>
    <s v="257"/>
    <s v="CLIPRO CMT EQUIPEMENT         "/>
    <n v="36"/>
    <n v="30000000"/>
    <n v="985418"/>
    <n v="9"/>
    <s v="VA"/>
    <x v="184"/>
    <d v="2024-04-07T00:00:00"/>
    <m/>
    <s v="1"/>
    <s v="CHEIKH DJIBRIL FALL           "/>
    <n v="0"/>
    <n v="226666.66666666666"/>
    <n v="566666.66666666674"/>
    <n v="906666.66666666674"/>
    <x v="1"/>
  </r>
  <r>
    <s v="02000"/>
    <s v="33089720       "/>
    <s v="GROUPE SCOLAIRE LES PEDAGOGUES      "/>
    <s v="                              "/>
    <m/>
    <s v="05003308977"/>
    <s v="521043"/>
    <n v="0"/>
    <x v="175"/>
    <s v="121"/>
    <s v="CLICOM CCT EQUIPEMENT         "/>
    <n v="4"/>
    <n v="115000000"/>
    <n v="30343864"/>
    <n v="7.5"/>
    <s v="VA"/>
    <x v="185"/>
    <d v="2024-08-09T00:00:00"/>
    <m/>
    <s v="1"/>
    <s v="PIERRE NDAW                   "/>
    <n v="0"/>
    <n v="1466250"/>
    <n v="0"/>
    <n v="0"/>
    <x v="1"/>
  </r>
  <r>
    <s v="02200"/>
    <s v="26017742       "/>
    <s v="SIDATH DIOP                         "/>
    <s v="                              "/>
    <m/>
    <s v="06200177427"/>
    <s v="476224"/>
    <n v="0"/>
    <x v="167"/>
    <s v="157"/>
    <s v="CLIPRO CCT EQUIPEMENT         "/>
    <n v="24"/>
    <n v="10000000"/>
    <n v="467142"/>
    <n v="9"/>
    <s v="VA"/>
    <x v="186"/>
    <d v="2023-01-15T00:00:00"/>
    <m/>
    <s v="9"/>
    <s v="MOUHAMADOU LAMINE NDIAYE      "/>
    <n v="0"/>
    <n v="0"/>
    <n v="70833.333333333343"/>
    <n v="240833.33333333334"/>
    <x v="1"/>
  </r>
  <r>
    <s v="02200"/>
    <s v="54825322       "/>
    <s v="NOUDJI LEYE                         "/>
    <s v="                              "/>
    <m/>
    <s v="06205482533"/>
    <s v="488007"/>
    <n v="0"/>
    <x v="176"/>
    <s v="157"/>
    <s v="CLIPRO CCT EQUIPEMENT         "/>
    <n v="12"/>
    <n v="20000000"/>
    <n v="1769770"/>
    <n v="9"/>
    <s v="VA"/>
    <x v="187"/>
    <d v="2022-09-16T00:00:00"/>
    <m/>
    <s v="9"/>
    <s v="MOUHAMADOU LAMINE NDIAYE      "/>
    <n v="0"/>
    <n v="0"/>
    <n v="113333.33333333334"/>
    <n v="283333.33333333337"/>
    <x v="1"/>
  </r>
  <r>
    <s v="03000"/>
    <s v="25980887       "/>
    <s v="ETS LO ET FRERES PIECES AUTO        "/>
    <s v="                              "/>
    <m/>
    <s v="06209808876"/>
    <s v="492814"/>
    <n v="0"/>
    <x v="177"/>
    <s v="157"/>
    <s v="CLIPRO CCT EQUIPEMENT         "/>
    <n v="12"/>
    <n v="10000000"/>
    <n v="901352"/>
    <n v="12"/>
    <s v="VA"/>
    <x v="188"/>
    <d v="2023-01-27T00:00:00"/>
    <m/>
    <s v="9"/>
    <s v="MBAYE NDIAYE                  "/>
    <n v="0"/>
    <n v="0"/>
    <n v="141666.66666666669"/>
    <n v="0"/>
    <x v="1"/>
  </r>
  <r>
    <s v="03000"/>
    <s v="26004285       "/>
    <s v="CLINIQUE SARR                       "/>
    <s v="                              "/>
    <m/>
    <s v="13000042853"/>
    <s v="497115"/>
    <n v="0"/>
    <x v="178"/>
    <s v="157"/>
    <s v="CLIPRO CCT EQUIPEMENT         "/>
    <n v="24"/>
    <n v="45000000"/>
    <n v="2077747"/>
    <n v="8"/>
    <s v="VA"/>
    <x v="189"/>
    <d v="2024-05-20T00:00:00"/>
    <m/>
    <s v="1"/>
    <s v="MBAYE NDIAYE                  "/>
    <n v="0"/>
    <n v="573750"/>
    <n v="1338750"/>
    <n v="0"/>
    <x v="1"/>
  </r>
  <r>
    <s v="03000"/>
    <s v="26035494       "/>
    <s v="ETABLISSEMENT KILIFEU SUARL         "/>
    <s v="                              "/>
    <m/>
    <s v="06100354947"/>
    <s v="477718"/>
    <n v="0"/>
    <x v="179"/>
    <s v="128"/>
    <s v="CLICOM CCT TRESORERIE         "/>
    <n v="12"/>
    <n v="300000000"/>
    <n v="26041770"/>
    <n v="6.5"/>
    <s v="VA"/>
    <x v="190"/>
    <d v="2022-03-23T00:00:00"/>
    <m/>
    <s v="9"/>
    <s v="CDL FBG                       "/>
    <n v="0"/>
    <n v="0"/>
    <n v="0"/>
    <n v="5950000"/>
    <x v="0"/>
  </r>
  <r>
    <s v="03000"/>
    <s v="26078918       "/>
    <s v="ENTREPRISES DE DISTRIBUTION ET SERVI"/>
    <s v="                              "/>
    <m/>
    <s v="06100789183"/>
    <s v="495579"/>
    <n v="0"/>
    <x v="180"/>
    <s v="157"/>
    <s v="CLIPRO CCT EQUIPEMENT         "/>
    <n v="12"/>
    <n v="15000000"/>
    <n v="1352028"/>
    <n v="12"/>
    <s v="VA"/>
    <x v="191"/>
    <d v="2023-03-30T00:00:00"/>
    <m/>
    <s v="9"/>
    <s v="MBAYE NDIAYE                  "/>
    <n v="0"/>
    <n v="0"/>
    <n v="297500"/>
    <n v="0"/>
    <x v="1"/>
  </r>
  <r>
    <s v="03000"/>
    <s v="26078918       "/>
    <s v="ENTREPRISES DE DISTRIBUTION ET SERVI"/>
    <s v="                              "/>
    <m/>
    <s v="06100789183"/>
    <s v="509159"/>
    <n v="0"/>
    <x v="51"/>
    <s v="157"/>
    <s v="CLIPRO CCT EQUIPEMENT         "/>
    <n v="12"/>
    <n v="25000000"/>
    <n v="2253380"/>
    <n v="12"/>
    <s v="VA"/>
    <x v="51"/>
    <d v="2023-12-27T00:00:00"/>
    <m/>
    <s v="9"/>
    <s v="MBAYE NDIAYE                  "/>
    <n v="0"/>
    <n v="283333.33333333337"/>
    <n v="0"/>
    <n v="0"/>
    <x v="1"/>
  </r>
  <r>
    <s v="03200"/>
    <s v="26039620       "/>
    <s v="DIADAME PHARMA SARL                 "/>
    <s v="                              "/>
    <m/>
    <s v="06100396209"/>
    <s v="481225"/>
    <n v="0"/>
    <x v="150"/>
    <s v="257"/>
    <s v="CLIPRO CMT EQUIPEMENT         "/>
    <n v="30"/>
    <n v="16000000"/>
    <n v="617620"/>
    <n v="9.99"/>
    <s v="VA"/>
    <x v="160"/>
    <d v="2023-12-25T00:00:00"/>
    <m/>
    <s v="9"/>
    <s v="NDEYE NGALLA SY               "/>
    <n v="0"/>
    <n v="72533.333333333343"/>
    <n v="290133.33333333337"/>
    <n v="226666.66666666669"/>
    <x v="1"/>
  </r>
  <r>
    <s v="03500"/>
    <s v="40762935       "/>
    <s v="KHADIM THIANE                       "/>
    <s v="                              "/>
    <d v="1961-02-10T00:00:00"/>
    <s v="05404076296"/>
    <s v="485884"/>
    <n v="0"/>
    <x v="181"/>
    <s v="128"/>
    <s v="CLICOM CCT TRESORERIE         "/>
    <n v="24"/>
    <n v="200000000"/>
    <n v="9116315"/>
    <n v="7.5"/>
    <s v="VA"/>
    <x v="192"/>
    <d v="2023-07-16T00:00:00"/>
    <m/>
    <s v="9"/>
    <s v="MARIEME SOUGOU                "/>
    <n v="0"/>
    <n v="283333.33333333337"/>
    <n v="3116666.666666667"/>
    <n v="2833333.3333333335"/>
    <x v="1"/>
  </r>
  <r>
    <s v="03500"/>
    <s v="40781235       "/>
    <s v="PHARMACIE MARIE DIAW                "/>
    <s v="                              "/>
    <m/>
    <s v="06104078129"/>
    <s v="525433"/>
    <n v="0"/>
    <x v="182"/>
    <s v="157"/>
    <s v="CLIPRO CCT EQUIPEMENT         "/>
    <n v="6"/>
    <n v="20000000"/>
    <n v="3466490"/>
    <n v="11"/>
    <s v="VA"/>
    <x v="193"/>
    <d v="2024-05-16T00:00:00"/>
    <m/>
    <s v="1"/>
    <s v="SIMON COLY                    "/>
    <n v="0"/>
    <n v="340000"/>
    <n v="0"/>
    <n v="0"/>
    <x v="1"/>
  </r>
  <r>
    <s v="04000"/>
    <s v="00084840       "/>
    <s v="BARRY MAMADOU                       "/>
    <s v="                              "/>
    <m/>
    <s v="05400008483"/>
    <s v="501637"/>
    <n v="0"/>
    <x v="183"/>
    <s v="128"/>
    <s v="CLICOM CCT TRESORERIE         "/>
    <n v="2"/>
    <n v="600000000"/>
    <n v="307258631"/>
    <n v="5.5"/>
    <s v="VA"/>
    <x v="194"/>
    <d v="2023-01-14T00:00:00"/>
    <m/>
    <s v="9"/>
    <s v="MARIEME SOUGOU                "/>
    <n v="0"/>
    <n v="0"/>
    <n v="0"/>
    <n v="0"/>
    <x v="0"/>
  </r>
  <r>
    <s v="04000"/>
    <s v="26032623       "/>
    <s v="BILI KWIN                           "/>
    <s v="                              "/>
    <m/>
    <s v="06200326232"/>
    <s v="478609"/>
    <n v="0"/>
    <x v="184"/>
    <s v="157"/>
    <s v="CLIPRO CCT EQUIPEMENT         "/>
    <n v="12"/>
    <n v="1500000"/>
    <n v="132733"/>
    <n v="9"/>
    <s v="VA"/>
    <x v="195"/>
    <d v="2022-03-17T00:00:00"/>
    <m/>
    <s v="9"/>
    <s v="SIMON COLY                    "/>
    <n v="0"/>
    <n v="0"/>
    <n v="0"/>
    <n v="29750.000000000004"/>
    <x v="1"/>
  </r>
  <r>
    <s v="04600"/>
    <s v="14516746       "/>
    <s v="BARRY MAMADOU BARKINDO              "/>
    <s v="                              "/>
    <d v="1971-06-10T00:00:00"/>
    <s v="05401451671"/>
    <s v="482940"/>
    <n v="0"/>
    <x v="185"/>
    <s v="157"/>
    <s v="CLIPRO CCT EQUIPEMENT         "/>
    <n v="18"/>
    <n v="15000000"/>
    <n v="933930"/>
    <n v="12"/>
    <s v="VA"/>
    <x v="196"/>
    <d v="2022-12-08T00:00:00"/>
    <m/>
    <s v="9"/>
    <s v="MBAYE NDIAYE                  "/>
    <n v="0"/>
    <n v="0"/>
    <n v="113333.33333333334"/>
    <n v="184166.66666666669"/>
    <x v="1"/>
  </r>
  <r>
    <s v="04600"/>
    <s v="14536846       "/>
    <s v="PHARMACIE SIKILO                    "/>
    <s v="                              "/>
    <m/>
    <s v="13001453683"/>
    <s v="485965"/>
    <n v="0"/>
    <x v="186"/>
    <s v="157"/>
    <s v="CLIPRO CCT EQUIPEMENT         "/>
    <n v="18"/>
    <n v="7000000"/>
    <n v="435834"/>
    <n v="12"/>
    <s v="VA"/>
    <x v="197"/>
    <d v="2023-01-20T00:00:00"/>
    <m/>
    <s v="9"/>
    <s v="MBAYE NDIAYE                  "/>
    <n v="0"/>
    <n v="0"/>
    <n v="66111.111111111109"/>
    <n v="92555.555555555562"/>
    <x v="1"/>
  </r>
  <r>
    <s v="06000"/>
    <s v="25938948       "/>
    <s v="JOSEPHINE I DIOGOBE NDIAYE          "/>
    <s v="                              "/>
    <m/>
    <s v="06209389486"/>
    <s v="488773"/>
    <n v="0"/>
    <x v="187"/>
    <s v="157"/>
    <s v="CLIPRO CCT EQUIPEMENT         "/>
    <n v="12"/>
    <n v="2000000"/>
    <n v="179169"/>
    <n v="11"/>
    <s v="VA"/>
    <x v="198"/>
    <d v="2022-10-15T00:00:00"/>
    <m/>
    <s v="9"/>
    <s v="MOUHAMADOU MOUSTAPHA DIENG    "/>
    <n v="0"/>
    <n v="0"/>
    <n v="14166.666666666668"/>
    <n v="31166.666666666668"/>
    <x v="1"/>
  </r>
  <r>
    <s v="06000"/>
    <s v="25938948       "/>
    <s v="JOSEPHINE I DIOGOBE NDIAYE          "/>
    <s v="                              "/>
    <m/>
    <s v="06209389486"/>
    <s v="508134"/>
    <n v="0"/>
    <x v="94"/>
    <s v="157"/>
    <s v="CLIPRO CCT EQUIPEMENT         "/>
    <n v="12"/>
    <n v="1000000"/>
    <n v="89584"/>
    <n v="11"/>
    <s v="VA"/>
    <x v="99"/>
    <d v="2023-12-13T00:00:00"/>
    <m/>
    <s v="9"/>
    <s v="MOUHAMADOU MOUSTAPHA DIENG    "/>
    <n v="0"/>
    <n v="11333.333333333334"/>
    <n v="0"/>
    <n v="0"/>
    <x v="1"/>
  </r>
  <r>
    <s v="06000"/>
    <s v="25963870       "/>
    <s v="ETUDE MAITRE OUMAR FATY             "/>
    <s v="                              "/>
    <m/>
    <s v="13009638708"/>
    <s v="479922"/>
    <n v="0"/>
    <x v="188"/>
    <s v="157"/>
    <s v="CLIPRO CCT EQUIPEMENT         "/>
    <n v="18"/>
    <n v="3000000"/>
    <n v="185140"/>
    <n v="11"/>
    <s v="VA"/>
    <x v="199"/>
    <d v="2022-10-16T00:00:00"/>
    <m/>
    <s v="9"/>
    <s v="MOUHAMADOU MOUSTAPHA DIENG    "/>
    <n v="0"/>
    <n v="0"/>
    <n v="14166.666666666668"/>
    <n v="79333.333333333343"/>
    <x v="1"/>
  </r>
  <r>
    <s v="06000"/>
    <s v="26001200       "/>
    <s v="DEX DESIGN SARL                     "/>
    <s v="                              "/>
    <m/>
    <s v="06100012005"/>
    <s v="478911"/>
    <n v="0"/>
    <x v="189"/>
    <s v="157"/>
    <s v="CLIPRO CCT EQUIPEMENT         "/>
    <n v="6"/>
    <n v="1000000"/>
    <n v="172746"/>
    <n v="10"/>
    <s v="VA"/>
    <x v="200"/>
    <d v="2021-09-26T00:00:00"/>
    <m/>
    <s v="9"/>
    <s v="MOUHAMADOU MOUSTAPHA DIENG    "/>
    <n v="0"/>
    <n v="0"/>
    <n v="0"/>
    <n v="11333.333333333334"/>
    <x v="1"/>
  </r>
  <r>
    <s v="06000"/>
    <s v="27530860       "/>
    <s v="MASSAR DIOP                         "/>
    <s v="                              "/>
    <m/>
    <s v="06202753084"/>
    <s v="511540"/>
    <n v="0"/>
    <x v="190"/>
    <s v="157"/>
    <s v="CLIPRO CCT EQUIPEMENT         "/>
    <n v="12"/>
    <n v="2000000"/>
    <n v="180270"/>
    <n v="12"/>
    <s v="VA"/>
    <x v="201"/>
    <d v="2024-03-07T00:00:00"/>
    <m/>
    <s v="9"/>
    <s v="MOUHAMADOU MOUSTAPHA DIENG    "/>
    <n v="0"/>
    <n v="39666.666666666672"/>
    <n v="0"/>
    <n v="0"/>
    <x v="1"/>
  </r>
  <r>
    <s v="06100"/>
    <s v="25938728       "/>
    <s v="ABDOU SOW                           "/>
    <s v="                              "/>
    <m/>
    <s v="06209387280"/>
    <s v="477624"/>
    <n v="0"/>
    <x v="191"/>
    <s v="157"/>
    <s v="CLIPRO CCT EQUIPEMENT         "/>
    <n v="12"/>
    <n v="7000000"/>
    <n v="615603"/>
    <n v="8"/>
    <s v="VA"/>
    <x v="202"/>
    <d v="2022-03-10T00:00:00"/>
    <m/>
    <s v="9"/>
    <s v="ALASSANE DJIGO                "/>
    <n v="0"/>
    <n v="0"/>
    <n v="0"/>
    <n v="138833.33333333334"/>
    <x v="1"/>
  </r>
  <r>
    <s v="06100"/>
    <s v="25938728       "/>
    <s v="ABDOU SOW                           "/>
    <s v="                              "/>
    <m/>
    <s v="06209387280"/>
    <s v="505915"/>
    <n v="0"/>
    <x v="192"/>
    <s v="157"/>
    <s v="CLIPRO CCT EQUIPEMENT         "/>
    <n v="18"/>
    <n v="10000000"/>
    <n v="606245"/>
    <n v="9"/>
    <s v="VA"/>
    <x v="203"/>
    <d v="2024-04-19T00:00:00"/>
    <m/>
    <s v="1"/>
    <s v="ALASSANE DJIGO                "/>
    <n v="0"/>
    <n v="151111.11111111112"/>
    <n v="160555.55555555556"/>
    <n v="0"/>
    <x v="1"/>
  </r>
  <r>
    <s v="06100"/>
    <s v="52427161       "/>
    <s v="LABM BIO NDAR SARL                  "/>
    <s v="                              "/>
    <m/>
    <s v="13005242719"/>
    <s v="483325"/>
    <n v="0"/>
    <x v="193"/>
    <s v="157"/>
    <s v="CLIPRO CCT EQUIPEMENT         "/>
    <n v="24"/>
    <n v="9000000"/>
    <n v="420428"/>
    <n v="9"/>
    <s v="VA"/>
    <x v="204"/>
    <d v="2023-06-18T00:00:00"/>
    <m/>
    <s v="9"/>
    <s v="ALASSANE DJIGO                "/>
    <n v="0"/>
    <n v="6375.0000000000009"/>
    <n v="127500.00000000001"/>
    <n v="121125.00000000001"/>
    <x v="1"/>
  </r>
  <r>
    <s v="06200"/>
    <s v="26032742       "/>
    <s v="NDIAYE MALICK CHERIF                "/>
    <s v="                              "/>
    <m/>
    <s v="06200327424"/>
    <s v="477503"/>
    <n v="0"/>
    <x v="111"/>
    <s v="157"/>
    <s v="CLIPRO CCT EQUIPEMENT         "/>
    <n v="24"/>
    <n v="28000000"/>
    <n v="1354157"/>
    <n v="12"/>
    <s v="VA"/>
    <x v="117"/>
    <d v="2023-02-22T00:00:00"/>
    <m/>
    <s v="9"/>
    <s v="MBAYE NDIAYE                  "/>
    <n v="0"/>
    <n v="0"/>
    <n v="238000.00000000003"/>
    <n v="714000"/>
    <x v="1"/>
  </r>
  <r>
    <s v="06200"/>
    <s v="26056540       "/>
    <s v="GESTE                               "/>
    <s v="                              "/>
    <m/>
    <s v="06200565403"/>
    <s v="493949"/>
    <n v="0"/>
    <x v="194"/>
    <s v="157"/>
    <s v="CLIPRO CCT EQUIPEMENT         "/>
    <n v="24"/>
    <n v="10000000"/>
    <n v="483627"/>
    <n v="12"/>
    <s v="VA"/>
    <x v="205"/>
    <d v="2024-03-04T00:00:00"/>
    <m/>
    <s v="9"/>
    <s v="MBAYE NDIAYE                  "/>
    <n v="0"/>
    <n v="99166.666666666672"/>
    <n v="269166.66666666669"/>
    <n v="0"/>
    <x v="1"/>
  </r>
  <r>
    <s v="06400"/>
    <s v="25926941       "/>
    <s v="WADE MAMADOU                        "/>
    <s v="                              "/>
    <m/>
    <s v="06209269417"/>
    <s v="485003"/>
    <n v="0"/>
    <x v="195"/>
    <s v="157"/>
    <s v="CLIPRO CCT EQUIPEMENT         "/>
    <n v="12"/>
    <n v="2000000"/>
    <n v="178071"/>
    <n v="10"/>
    <s v="VA"/>
    <x v="206"/>
    <d v="2022-07-05T00:00:00"/>
    <m/>
    <s v="9"/>
    <s v="SIMON COLY                    "/>
    <n v="0"/>
    <n v="0"/>
    <n v="5666.666666666667"/>
    <n v="22666.666666666668"/>
    <x v="1"/>
  </r>
  <r>
    <s v="11200"/>
    <s v="32560711       "/>
    <s v="PHARMACIE YEUMBEULOISE              "/>
    <s v="                              "/>
    <m/>
    <s v="13003256076"/>
    <s v="491833"/>
    <n v="0"/>
    <x v="196"/>
    <s v="157"/>
    <s v="CLIPRO CCT EQUIPEMENT         "/>
    <n v="24"/>
    <n v="6000000"/>
    <n v="280285"/>
    <n v="9"/>
    <s v="VA"/>
    <x v="207"/>
    <d v="2024-03-14T00:00:00"/>
    <m/>
    <s v="9"/>
    <s v="MOUHAMADOU LAMINE NDIAYE      "/>
    <n v="0"/>
    <n v="59500.000000000007"/>
    <n v="161500"/>
    <n v="0"/>
    <x v="1"/>
  </r>
  <r>
    <s v="11300"/>
    <s v="25950322       "/>
    <s v="BUSINESS UNIT                       "/>
    <s v="                              "/>
    <m/>
    <s v="06209503224"/>
    <s v="497781"/>
    <n v="0"/>
    <x v="197"/>
    <s v="157"/>
    <s v="CLIPRO CCT EQUIPEMENT         "/>
    <n v="18"/>
    <n v="5000000"/>
    <n v="305838"/>
    <n v="10"/>
    <s v="VA"/>
    <x v="208"/>
    <d v="2023-11-06T00:00:00"/>
    <m/>
    <s v="9"/>
    <s v="MAMADOU GAYE                  "/>
    <n v="0"/>
    <n v="28333.333333333336"/>
    <n v="141666.66666666669"/>
    <n v="0"/>
    <x v="1"/>
  </r>
  <r>
    <s v="11300"/>
    <s v="25960704       "/>
    <s v="SENETT SARL                         "/>
    <s v="                              "/>
    <m/>
    <s v="06109607042"/>
    <s v="477465"/>
    <n v="0"/>
    <x v="198"/>
    <s v="257"/>
    <s v="CLIPRO CMT EQUIPEMENT         "/>
    <n v="36"/>
    <n v="25000000"/>
    <n v="834990"/>
    <n v="9.99"/>
    <s v="VA"/>
    <x v="209"/>
    <d v="2024-02-26T00:00:00"/>
    <m/>
    <s v="9"/>
    <s v="MAMADOU GAYE                  "/>
    <n v="0"/>
    <n v="141666.66666666669"/>
    <n v="425000.00000000006"/>
    <n v="708333.33333333337"/>
    <x v="1"/>
  </r>
  <r>
    <s v="11800"/>
    <s v="26017788       "/>
    <s v="AGENCE VITAMINES SENEGAL SARL       "/>
    <s v="                              "/>
    <m/>
    <s v="06100177887"/>
    <s v="494434"/>
    <n v="0"/>
    <x v="199"/>
    <s v="157"/>
    <s v="CLIPRO CCT EQUIPEMENT         "/>
    <n v="24"/>
    <n v="15000000"/>
    <n v="700713"/>
    <n v="9"/>
    <s v="VA"/>
    <x v="210"/>
    <d v="2024-03-08T00:00:00"/>
    <m/>
    <s v="1"/>
    <s v="ABDOULAYE SIDIBE              "/>
    <n v="0"/>
    <n v="148750"/>
    <n v="403750"/>
    <n v="0"/>
    <x v="1"/>
  </r>
  <r>
    <s v="11900"/>
    <s v="26028413       "/>
    <s v="BOUBACAR DIALLO                     "/>
    <s v="                              "/>
    <m/>
    <s v="06200284136"/>
    <s v="480372"/>
    <n v="0"/>
    <x v="200"/>
    <s v="257"/>
    <s v="CLIPRO CMT EQUIPEMENT         "/>
    <n v="36"/>
    <n v="30000000"/>
    <n v="1001988"/>
    <n v="9.99"/>
    <s v="VA"/>
    <x v="211"/>
    <d v="2024-04-19T00:00:00"/>
    <m/>
    <s v="1"/>
    <s v="AIDA ADANGNISSODE             "/>
    <n v="0"/>
    <n v="226666.66666666666"/>
    <n v="566666.66666666674"/>
    <n v="906666.66666666674"/>
    <x v="1"/>
  </r>
  <r>
    <s v="21800"/>
    <s v="26010818       "/>
    <s v="BARRY ISMAILA PHARMACIE RAYHANA     "/>
    <s v="                              "/>
    <m/>
    <s v="13000108184"/>
    <s v="477887"/>
    <n v="0"/>
    <x v="198"/>
    <s v="257"/>
    <s v="CLIPRO CMT EQUIPEMENT         "/>
    <n v="36"/>
    <n v="15000000"/>
    <n v="496883"/>
    <n v="9.5"/>
    <s v="VA"/>
    <x v="209"/>
    <d v="2024-02-26T00:00:00"/>
    <m/>
    <s v="9"/>
    <s v="ZAKIA BEYE                    "/>
    <n v="0"/>
    <n v="85000"/>
    <n v="255000.00000000003"/>
    <n v="425000.00000000006"/>
    <x v="1"/>
  </r>
  <r>
    <s v="21800"/>
    <s v="65306721       "/>
    <s v="MAR NDEYE NDOUMBE                   "/>
    <s v="                              "/>
    <m/>
    <s v="06206530672"/>
    <s v="498158"/>
    <n v="0"/>
    <x v="201"/>
    <s v="157"/>
    <s v="CLIPRO CCT EQUIPEMENT         "/>
    <n v="12"/>
    <n v="29000000"/>
    <n v="2597949"/>
    <n v="11"/>
    <s v="VA"/>
    <x v="212"/>
    <d v="2023-05-13T00:00:00"/>
    <m/>
    <s v="9"/>
    <s v="ZAKIA BEYE                    "/>
    <n v="0"/>
    <n v="0"/>
    <n v="739500"/>
    <n v="0"/>
    <x v="1"/>
  </r>
  <r>
    <s v="26200"/>
    <s v="25926442       "/>
    <s v="IDRISSA  DIOKHANE                   "/>
    <s v="                              "/>
    <m/>
    <s v="06209264426"/>
    <s v="483533"/>
    <n v="0"/>
    <x v="202"/>
    <s v="157"/>
    <s v="CLIPRO CCT EQUIPEMENT         "/>
    <n v="12"/>
    <n v="3000000"/>
    <n v="268753"/>
    <n v="11"/>
    <s v="VA"/>
    <x v="213"/>
    <d v="2022-06-16T00:00:00"/>
    <m/>
    <s v="9"/>
    <s v="MBAYE NDIAYE                  "/>
    <n v="0"/>
    <n v="0"/>
    <n v="4250"/>
    <n v="29750.000000000004"/>
    <x v="1"/>
  </r>
  <r>
    <s v="26200"/>
    <s v="25961812       "/>
    <s v="ABDOU FALL                          "/>
    <s v="                              "/>
    <m/>
    <s v="06209618126"/>
    <s v="500106"/>
    <n v="0"/>
    <x v="143"/>
    <s v="157"/>
    <s v="CLIPRO CCT EQUIPEMENT         "/>
    <n v="18"/>
    <n v="7548021"/>
    <n v="465814"/>
    <n v="11"/>
    <s v="VA"/>
    <x v="152"/>
    <d v="2023-12-17T00:00:00"/>
    <m/>
    <s v="9"/>
    <s v="MBAYE NDIAYE                  "/>
    <n v="0"/>
    <n v="57029.492000000006"/>
    <n v="92672.924500000008"/>
    <n v="0"/>
    <x v="1"/>
  </r>
  <r>
    <s v="26200"/>
    <s v="26050936       "/>
    <s v="MBAYE MOUSTAPHA                     "/>
    <s v="                              "/>
    <m/>
    <s v="06200509365"/>
    <s v="480928"/>
    <n v="0"/>
    <x v="203"/>
    <s v="157"/>
    <s v="CLIPRO CCT EQUIPEMENT         "/>
    <n v="12"/>
    <n v="4000000"/>
    <n v="358338"/>
    <n v="11"/>
    <s v="VA"/>
    <x v="214"/>
    <d v="2022-05-06T00:00:00"/>
    <m/>
    <s v="9"/>
    <s v="MBAYE NDIAYE                  "/>
    <n v="0"/>
    <n v="0"/>
    <n v="0"/>
    <n v="102000.00000000001"/>
    <x v="1"/>
  </r>
  <r>
    <s v="41100"/>
    <s v="25969692       "/>
    <s v="ADAMA AICHA THIOYE SALL             "/>
    <s v="                              "/>
    <m/>
    <s v="06209696927"/>
    <s v="515377"/>
    <n v="0"/>
    <x v="204"/>
    <s v="157"/>
    <s v="CLIPRO CCT EQUIPEMENT         "/>
    <n v="12"/>
    <n v="30000000"/>
    <n v="2671067"/>
    <n v="10"/>
    <s v="VA"/>
    <x v="215"/>
    <d v="2024-04-28T00:00:00"/>
    <m/>
    <s v="1"/>
    <s v="MAMADOU GAYE                  "/>
    <n v="0"/>
    <n v="680000"/>
    <n v="0"/>
    <n v="0"/>
    <x v="1"/>
  </r>
  <r>
    <s v="41100"/>
    <s v="26058001       "/>
    <s v="DAKAR SEA FOOD                      "/>
    <s v="                              "/>
    <m/>
    <s v="06100580014"/>
    <s v="515346"/>
    <n v="0"/>
    <x v="171"/>
    <s v="157"/>
    <s v="CLIPRO CCT EQUIPEMENT         "/>
    <n v="12"/>
    <n v="20000000"/>
    <n v="1780711"/>
    <n v="10"/>
    <s v="VA"/>
    <x v="181"/>
    <d v="2024-05-04T00:00:00"/>
    <m/>
    <s v="1"/>
    <s v="MOUHAMADOU LAMINE NDIAYE      "/>
    <n v="0"/>
    <n v="510000.00000000006"/>
    <n v="0"/>
    <n v="0"/>
    <x v="1"/>
  </r>
  <r>
    <s v="41200"/>
    <s v="26069913       "/>
    <s v="MISSIRA DIADIE DIOP &amp; FRERES SUARL  "/>
    <s v="                              "/>
    <m/>
    <s v="06200699134"/>
    <s v="518706"/>
    <n v="0"/>
    <x v="205"/>
    <s v="157"/>
    <s v="CLIPRO CCT EQUIPEMENT         "/>
    <n v="10"/>
    <n v="30000000"/>
    <n v="3156556"/>
    <n v="9"/>
    <s v="VA"/>
    <x v="216"/>
    <d v="2024-05-13T00:00:00"/>
    <m/>
    <s v="1"/>
    <s v="MOUHAMADOU LAMINE NDIAYE      "/>
    <n v="0"/>
    <n v="306000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968CE-9E5E-4126-B078-379C6B79B7D5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Clients Embarques PME &amp; PRO">
  <location ref="A2:G11" firstHeaderRow="0" firstDataRow="1" firstDataCol="1"/>
  <pivotFields count="32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numFmtId="164" showAll="0">
      <items count="207">
        <item x="35"/>
        <item x="77"/>
        <item x="167"/>
        <item x="172"/>
        <item x="153"/>
        <item x="74"/>
        <item x="112"/>
        <item x="111"/>
        <item x="198"/>
        <item x="54"/>
        <item x="191"/>
        <item x="68"/>
        <item x="184"/>
        <item x="179"/>
        <item x="189"/>
        <item x="174"/>
        <item x="53"/>
        <item x="41"/>
        <item x="188"/>
        <item x="200"/>
        <item x="151"/>
        <item x="31"/>
        <item x="146"/>
        <item x="161"/>
        <item x="203"/>
        <item x="23"/>
        <item x="27"/>
        <item x="120"/>
        <item x="158"/>
        <item x="144"/>
        <item x="185"/>
        <item x="149"/>
        <item x="202"/>
        <item x="193"/>
        <item x="150"/>
        <item x="28"/>
        <item x="169"/>
        <item x="195"/>
        <item x="121"/>
        <item x="48"/>
        <item x="162"/>
        <item x="181"/>
        <item x="186"/>
        <item x="58"/>
        <item x="165"/>
        <item x="159"/>
        <item x="106"/>
        <item x="39"/>
        <item x="155"/>
        <item x="140"/>
        <item x="176"/>
        <item x="22"/>
        <item x="107"/>
        <item x="142"/>
        <item x="61"/>
        <item x="78"/>
        <item x="110"/>
        <item x="15"/>
        <item x="187"/>
        <item x="67"/>
        <item x="86"/>
        <item x="56"/>
        <item x="173"/>
        <item x="113"/>
        <item x="166"/>
        <item x="76"/>
        <item x="42"/>
        <item x="88"/>
        <item x="81"/>
        <item x="21"/>
        <item x="154"/>
        <item x="105"/>
        <item x="30"/>
        <item x="177"/>
        <item x="36"/>
        <item x="157"/>
        <item x="152"/>
        <item x="148"/>
        <item x="139"/>
        <item x="104"/>
        <item x="194"/>
        <item x="199"/>
        <item x="108"/>
        <item x="19"/>
        <item x="196"/>
        <item x="129"/>
        <item x="180"/>
        <item x="70"/>
        <item x="5"/>
        <item x="95"/>
        <item x="130"/>
        <item x="197"/>
        <item x="201"/>
        <item x="178"/>
        <item x="128"/>
        <item x="147"/>
        <item x="163"/>
        <item x="37"/>
        <item x="143"/>
        <item x="141"/>
        <item x="7"/>
        <item x="134"/>
        <item x="137"/>
        <item x="183"/>
        <item x="126"/>
        <item x="114"/>
        <item x="52"/>
        <item x="156"/>
        <item x="100"/>
        <item x="103"/>
        <item x="125"/>
        <item x="116"/>
        <item x="92"/>
        <item x="1"/>
        <item x="14"/>
        <item x="3"/>
        <item x="192"/>
        <item x="115"/>
        <item x="13"/>
        <item x="133"/>
        <item x="79"/>
        <item x="64"/>
        <item x="47"/>
        <item x="6"/>
        <item x="117"/>
        <item x="63"/>
        <item x="33"/>
        <item x="43"/>
        <item x="84"/>
        <item x="94"/>
        <item x="2"/>
        <item x="73"/>
        <item x="127"/>
        <item x="51"/>
        <item x="136"/>
        <item x="0"/>
        <item x="160"/>
        <item x="119"/>
        <item x="145"/>
        <item x="57"/>
        <item x="122"/>
        <item x="138"/>
        <item x="99"/>
        <item x="170"/>
        <item x="62"/>
        <item x="26"/>
        <item x="49"/>
        <item x="109"/>
        <item x="168"/>
        <item x="190"/>
        <item x="85"/>
        <item x="17"/>
        <item x="50"/>
        <item x="83"/>
        <item x="8"/>
        <item x="93"/>
        <item x="32"/>
        <item x="204"/>
        <item x="171"/>
        <item x="131"/>
        <item x="60"/>
        <item x="11"/>
        <item x="96"/>
        <item x="25"/>
        <item x="34"/>
        <item x="55"/>
        <item x="10"/>
        <item x="69"/>
        <item x="89"/>
        <item x="46"/>
        <item x="118"/>
        <item x="4"/>
        <item x="71"/>
        <item x="205"/>
        <item x="164"/>
        <item x="102"/>
        <item x="90"/>
        <item x="132"/>
        <item x="175"/>
        <item x="72"/>
        <item x="97"/>
        <item x="98"/>
        <item x="29"/>
        <item x="20"/>
        <item x="65"/>
        <item x="124"/>
        <item x="75"/>
        <item x="80"/>
        <item x="16"/>
        <item x="87"/>
        <item x="82"/>
        <item x="44"/>
        <item x="59"/>
        <item x="91"/>
        <item x="182"/>
        <item x="123"/>
        <item x="24"/>
        <item x="9"/>
        <item x="45"/>
        <item x="12"/>
        <item x="135"/>
        <item x="18"/>
        <item x="66"/>
        <item x="40"/>
        <item x="101"/>
        <item x="38"/>
        <item t="default"/>
      </items>
    </pivotField>
    <pivotField showAll="0"/>
    <pivotField showAll="0"/>
    <pivotField showAll="0"/>
    <pivotField dataField="1" numFmtId="43" showAll="0"/>
    <pivotField showAll="0"/>
    <pivotField showAll="0"/>
    <pivotField showAll="0"/>
    <pivotField numFmtId="164" showAll="0">
      <items count="218">
        <item x="81"/>
        <item x="186"/>
        <item x="182"/>
        <item x="163"/>
        <item x="78"/>
        <item x="118"/>
        <item x="117"/>
        <item x="209"/>
        <item x="54"/>
        <item x="202"/>
        <item x="70"/>
        <item x="195"/>
        <item x="190"/>
        <item x="200"/>
        <item x="184"/>
        <item x="42"/>
        <item x="199"/>
        <item x="211"/>
        <item x="161"/>
        <item x="32"/>
        <item x="156"/>
        <item x="172"/>
        <item x="214"/>
        <item x="24"/>
        <item x="126"/>
        <item x="169"/>
        <item x="153"/>
        <item x="196"/>
        <item x="159"/>
        <item x="213"/>
        <item x="204"/>
        <item x="160"/>
        <item x="130"/>
        <item x="179"/>
        <item x="206"/>
        <item x="127"/>
        <item x="162"/>
        <item x="173"/>
        <item x="192"/>
        <item x="197"/>
        <item x="29"/>
        <item x="58"/>
        <item x="176"/>
        <item x="170"/>
        <item x="111"/>
        <item x="166"/>
        <item x="149"/>
        <item x="164"/>
        <item x="187"/>
        <item x="113"/>
        <item x="69"/>
        <item x="82"/>
        <item x="116"/>
        <item x="53"/>
        <item x="198"/>
        <item x="68"/>
        <item x="91"/>
        <item x="183"/>
        <item x="119"/>
        <item x="177"/>
        <item x="36"/>
        <item x="80"/>
        <item x="43"/>
        <item x="93"/>
        <item x="23"/>
        <item x="151"/>
        <item x="22"/>
        <item x="165"/>
        <item x="48"/>
        <item x="31"/>
        <item x="188"/>
        <item x="37"/>
        <item x="168"/>
        <item x="85"/>
        <item x="158"/>
        <item x="148"/>
        <item x="40"/>
        <item x="109"/>
        <item x="205"/>
        <item x="210"/>
        <item x="114"/>
        <item x="20"/>
        <item x="207"/>
        <item x="136"/>
        <item x="62"/>
        <item x="191"/>
        <item x="137"/>
        <item x="208"/>
        <item x="28"/>
        <item x="212"/>
        <item x="100"/>
        <item x="189"/>
        <item x="56"/>
        <item x="135"/>
        <item x="157"/>
        <item x="174"/>
        <item x="38"/>
        <item x="152"/>
        <item x="150"/>
        <item x="12"/>
        <item x="141"/>
        <item x="110"/>
        <item x="146"/>
        <item x="134"/>
        <item x="52"/>
        <item x="167"/>
        <item x="104"/>
        <item x="108"/>
        <item x="133"/>
        <item x="122"/>
        <item x="97"/>
        <item x="194"/>
        <item x="1"/>
        <item x="15"/>
        <item x="74"/>
        <item x="16"/>
        <item x="203"/>
        <item x="121"/>
        <item x="14"/>
        <item x="142"/>
        <item x="83"/>
        <item x="65"/>
        <item x="73"/>
        <item x="6"/>
        <item x="123"/>
        <item x="140"/>
        <item x="34"/>
        <item x="89"/>
        <item x="99"/>
        <item x="44"/>
        <item x="144"/>
        <item x="77"/>
        <item x="112"/>
        <item x="51"/>
        <item x="145"/>
        <item x="7"/>
        <item x="57"/>
        <item x="171"/>
        <item x="125"/>
        <item x="128"/>
        <item x="120"/>
        <item x="103"/>
        <item x="180"/>
        <item x="63"/>
        <item x="27"/>
        <item x="49"/>
        <item x="115"/>
        <item x="178"/>
        <item x="201"/>
        <item x="90"/>
        <item x="18"/>
        <item x="50"/>
        <item x="88"/>
        <item x="129"/>
        <item x="5"/>
        <item x="33"/>
        <item x="215"/>
        <item x="181"/>
        <item x="138"/>
        <item x="60"/>
        <item x="2"/>
        <item x="11"/>
        <item x="101"/>
        <item x="26"/>
        <item x="35"/>
        <item x="87"/>
        <item x="64"/>
        <item x="10"/>
        <item x="72"/>
        <item x="94"/>
        <item x="124"/>
        <item x="4"/>
        <item x="216"/>
        <item x="175"/>
        <item x="147"/>
        <item x="106"/>
        <item x="139"/>
        <item x="61"/>
        <item x="76"/>
        <item x="3"/>
        <item x="30"/>
        <item x="107"/>
        <item x="98"/>
        <item x="132"/>
        <item x="185"/>
        <item x="79"/>
        <item x="84"/>
        <item x="17"/>
        <item x="8"/>
        <item x="92"/>
        <item x="95"/>
        <item x="86"/>
        <item x="45"/>
        <item x="96"/>
        <item x="193"/>
        <item x="131"/>
        <item x="47"/>
        <item x="9"/>
        <item x="55"/>
        <item x="46"/>
        <item x="143"/>
        <item x="67"/>
        <item x="41"/>
        <item x="105"/>
        <item x="39"/>
        <item x="75"/>
        <item x="0"/>
        <item x="59"/>
        <item x="19"/>
        <item x="102"/>
        <item x="71"/>
        <item x="21"/>
        <item x="66"/>
        <item x="13"/>
        <item x="25"/>
        <item x="155"/>
        <item x="154"/>
        <item t="default"/>
      </items>
    </pivotField>
    <pivotField numFmtId="164" showAll="0"/>
    <pivotField showAll="0"/>
    <pivotField showAll="0"/>
    <pivotField showAll="0"/>
    <pivotField dataField="1" numFmtId="43" showAll="0"/>
    <pivotField dataField="1" numFmtId="43" showAll="0"/>
    <pivotField dataField="1" numFmtId="43" showAll="0"/>
    <pivotField dataField="1" numFmtId="43" showAll="0"/>
    <pivotField axis="axisRow" showAll="0">
      <items count="3">
        <item x="0"/>
        <item x="1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5">
    <field x="25"/>
    <field x="31"/>
    <field x="30"/>
    <field x="29"/>
    <field x="8"/>
  </rowFields>
  <rowItems count="9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Nombre de  Client" fld="1" subtotal="count" baseField="0" baseItem="0"/>
    <dataField name="  Montant du pret" fld="12" baseField="25" baseItem="0" numFmtId="165"/>
    <dataField name="Commisions  de 2021" fld="24" baseField="25" baseItem="0" numFmtId="165"/>
    <dataField name="Commissions de 2022" fld="23" baseField="25" baseItem="0" numFmtId="165"/>
    <dataField name="Commissions de 2023" fld="22" baseField="31" baseItem="2" numFmtId="165"/>
    <dataField name="Commissions de 2024" fld="21" baseField="31" baseItem="2" numFmtId="165"/>
  </dataField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A09B65-3444-40B3-A6C5-02D443DAA725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Clients Non Embarques PME">
  <location ref="A16:G28" firstHeaderRow="0" firstDataRow="1" firstDataCol="1"/>
  <pivotFields count="29"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14" showAll="0">
      <items count="33">
        <item x="4"/>
        <item x="9"/>
        <item x="10"/>
        <item x="3"/>
        <item x="6"/>
        <item x="13"/>
        <item x="11"/>
        <item x="5"/>
        <item x="7"/>
        <item x="8"/>
        <item x="0"/>
        <item x="12"/>
        <item x="2"/>
        <item x="14"/>
        <item m="1" x="24"/>
        <item m="1" x="22"/>
        <item m="1" x="25"/>
        <item m="1" x="27"/>
        <item m="1" x="26"/>
        <item m="1" x="20"/>
        <item m="1" x="30"/>
        <item m="1" x="21"/>
        <item x="1"/>
        <item m="1" x="15"/>
        <item m="1" x="16"/>
        <item m="1" x="28"/>
        <item m="1" x="19"/>
        <item m="1" x="29"/>
        <item m="1" x="17"/>
        <item m="1" x="31"/>
        <item m="1" x="23"/>
        <item m="1" x="18"/>
        <item t="default"/>
      </items>
    </pivotField>
    <pivotField showAll="0"/>
    <pivotField showAll="0"/>
    <pivotField showAll="0"/>
    <pivotField dataField="1" numFmtId="43"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dataField="1" numFmtId="43" showAll="0"/>
    <pivotField dataField="1" numFmtId="43" showAll="0"/>
    <pivotField dataField="1" numFmtId="43" showAll="0"/>
    <pivotField dataField="1" numFmtId="43" showAll="0"/>
    <pivotField axis="axisRow" showAll="0">
      <items count="3">
        <item x="0"/>
        <item x="1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0">
        <item sd="0" x="0"/>
        <item sd="0" x="1"/>
        <item sd="0" x="2"/>
        <item sd="0" x="3"/>
        <item sd="0" x="4"/>
        <item sd="0" x="5"/>
        <item sd="0" x="6"/>
        <item sd="0" x="7"/>
        <item x="8"/>
        <item t="default"/>
      </items>
    </pivotField>
  </pivotFields>
  <rowFields count="3">
    <field x="25"/>
    <field x="28"/>
    <field x="27"/>
  </rowFields>
  <rowItems count="12">
    <i>
      <x/>
    </i>
    <i r="1">
      <x v="1"/>
    </i>
    <i r="1">
      <x v="2"/>
    </i>
    <i r="1">
      <x v="3"/>
    </i>
    <i r="1">
      <x v="4"/>
    </i>
    <i r="1">
      <x v="6"/>
    </i>
    <i r="1">
      <x v="7"/>
    </i>
    <i>
      <x v="1"/>
    </i>
    <i r="1">
      <x v="4"/>
    </i>
    <i r="1">
      <x v="6"/>
    </i>
    <i r="1">
      <x v="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Nombre de  Client" fld="1" subtotal="count" baseField="28" baseItem="2"/>
    <dataField name=" Montant du pret" fld="12" baseField="25" baseItem="0" numFmtId="165"/>
    <dataField name="Commission de 2021" fld="24" baseField="28" baseItem="4" numFmtId="165"/>
    <dataField name="Commissions de 2022" fld="23" baseField="28" baseItem="4" numFmtId="165"/>
    <dataField name="Commissions de 2023" fld="22" baseField="28" baseItem="4" numFmtId="165"/>
    <dataField name="Commissions de 2024" fld="21" baseField="28" baseItem="4" numFmtId="165"/>
  </dataFields>
  <pivotTableStyleInfo name="PivotStyleMedium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CE6A78F-D2A8-4D51-8B66-336AD9015166}">
  <we:reference id="wa200005271" version="2.4.3.0" store="en-US" storeType="OMEX"/>
  <we:alternateReferences>
    <we:reference id="WA200005271" version="2.4.3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6F031-C845-4CCB-BD62-90CB06A16826}">
  <sheetPr codeName="Feuil2"/>
  <dimension ref="A2:G28"/>
  <sheetViews>
    <sheetView showGridLines="0" workbookViewId="0">
      <selection activeCell="A24" sqref="A24:G27"/>
    </sheetView>
  </sheetViews>
  <sheetFormatPr baseColWidth="10" defaultRowHeight="12.5" x14ac:dyDescent="0.25"/>
  <cols>
    <col min="1" max="1" width="30.26953125" bestFit="1" customWidth="1"/>
    <col min="2" max="2" width="16.7265625" bestFit="1" customWidth="1"/>
    <col min="3" max="3" width="17.6328125" bestFit="1" customWidth="1"/>
    <col min="4" max="4" width="19.1796875" bestFit="1" customWidth="1"/>
    <col min="5" max="7" width="19.6328125" bestFit="1" customWidth="1"/>
    <col min="8" max="20" width="10.1796875" bestFit="1" customWidth="1"/>
    <col min="21" max="88" width="11.1796875" bestFit="1" customWidth="1"/>
    <col min="89" max="147" width="12.7265625" bestFit="1" customWidth="1"/>
    <col min="148" max="162" width="13.7265625" bestFit="1" customWidth="1"/>
    <col min="163" max="163" width="14.7265625" bestFit="1" customWidth="1"/>
    <col min="164" max="164" width="13.6328125" bestFit="1" customWidth="1"/>
  </cols>
  <sheetData>
    <row r="2" spans="1:7" x14ac:dyDescent="0.25">
      <c r="A2" s="24" t="s">
        <v>1057</v>
      </c>
      <c r="B2" t="s">
        <v>1050</v>
      </c>
      <c r="C2" t="s">
        <v>1059</v>
      </c>
      <c r="D2" t="s">
        <v>1046</v>
      </c>
      <c r="E2" t="s">
        <v>1047</v>
      </c>
      <c r="F2" t="s">
        <v>1056</v>
      </c>
      <c r="G2" t="s">
        <v>1049</v>
      </c>
    </row>
    <row r="3" spans="1:7" x14ac:dyDescent="0.25">
      <c r="A3" s="25" t="s">
        <v>1039</v>
      </c>
      <c r="B3">
        <v>51</v>
      </c>
      <c r="C3" s="26">
        <v>58781725113</v>
      </c>
      <c r="D3" s="26">
        <v>90563995.6140351</v>
      </c>
      <c r="E3" s="26">
        <v>290590909.6348595</v>
      </c>
      <c r="F3" s="26">
        <v>776548779.88288462</v>
      </c>
      <c r="G3" s="26">
        <v>771449369.77896893</v>
      </c>
    </row>
    <row r="4" spans="1:7" x14ac:dyDescent="0.25">
      <c r="A4" s="27" t="s">
        <v>1043</v>
      </c>
      <c r="B4">
        <v>16</v>
      </c>
      <c r="C4" s="26">
        <v>13747462500</v>
      </c>
      <c r="D4" s="26">
        <v>90563995.6140351</v>
      </c>
      <c r="E4" s="26">
        <v>125627290.93567251</v>
      </c>
      <c r="F4" s="26">
        <v>88978347.953216374</v>
      </c>
      <c r="G4" s="26">
        <v>54604571.637426905</v>
      </c>
    </row>
    <row r="5" spans="1:7" x14ac:dyDescent="0.25">
      <c r="A5" s="27" t="s">
        <v>1044</v>
      </c>
      <c r="B5">
        <v>19</v>
      </c>
      <c r="C5" s="26">
        <v>25038262613</v>
      </c>
      <c r="D5" s="26">
        <v>0</v>
      </c>
      <c r="E5" s="26">
        <v>164963618.69918701</v>
      </c>
      <c r="F5" s="26">
        <v>421194598.59633493</v>
      </c>
      <c r="G5" s="26">
        <v>495374464.80820864</v>
      </c>
    </row>
    <row r="6" spans="1:7" x14ac:dyDescent="0.25">
      <c r="A6" s="27" t="s">
        <v>1045</v>
      </c>
      <c r="B6">
        <v>16</v>
      </c>
      <c r="C6" s="26">
        <v>19996000000</v>
      </c>
      <c r="D6" s="26">
        <v>0</v>
      </c>
      <c r="E6" s="26">
        <v>0</v>
      </c>
      <c r="F6" s="26">
        <v>266375833.33333334</v>
      </c>
      <c r="G6" s="26">
        <v>221470333.33333331</v>
      </c>
    </row>
    <row r="7" spans="1:7" x14ac:dyDescent="0.25">
      <c r="A7" s="25" t="s">
        <v>1040</v>
      </c>
      <c r="B7">
        <v>208</v>
      </c>
      <c r="C7" s="26">
        <v>10245817275</v>
      </c>
      <c r="D7" s="26">
        <v>52140562.754277766</v>
      </c>
      <c r="E7" s="26">
        <v>121084232.3780141</v>
      </c>
      <c r="F7" s="26">
        <v>162185561.20726928</v>
      </c>
      <c r="G7" s="26">
        <v>128552854.75220555</v>
      </c>
    </row>
    <row r="8" spans="1:7" x14ac:dyDescent="0.25">
      <c r="A8" s="27" t="s">
        <v>1043</v>
      </c>
      <c r="B8">
        <v>71</v>
      </c>
      <c r="C8" s="26">
        <v>4084270817</v>
      </c>
      <c r="D8" s="26">
        <v>52140562.754277766</v>
      </c>
      <c r="E8" s="26">
        <v>90942215.840193227</v>
      </c>
      <c r="F8" s="26">
        <v>57217168.939250171</v>
      </c>
      <c r="G8" s="26">
        <v>35718358.906994082</v>
      </c>
    </row>
    <row r="9" spans="1:7" x14ac:dyDescent="0.25">
      <c r="A9" s="27" t="s">
        <v>1044</v>
      </c>
      <c r="B9">
        <v>67</v>
      </c>
      <c r="C9" s="26">
        <v>2655294689</v>
      </c>
      <c r="D9" s="26">
        <v>0</v>
      </c>
      <c r="E9" s="26">
        <v>30142016.537820887</v>
      </c>
      <c r="F9" s="26">
        <v>48218944.027472913</v>
      </c>
      <c r="G9" s="26">
        <v>27077652.553499728</v>
      </c>
    </row>
    <row r="10" spans="1:7" x14ac:dyDescent="0.25">
      <c r="A10" s="27" t="s">
        <v>1045</v>
      </c>
      <c r="B10">
        <v>70</v>
      </c>
      <c r="C10" s="26">
        <v>3506251769</v>
      </c>
      <c r="D10" s="26">
        <v>0</v>
      </c>
      <c r="E10" s="26">
        <v>0</v>
      </c>
      <c r="F10" s="26">
        <v>56749448.240546286</v>
      </c>
      <c r="G10" s="26">
        <v>65756843.29171177</v>
      </c>
    </row>
    <row r="11" spans="1:7" x14ac:dyDescent="0.25">
      <c r="A11" s="25" t="s">
        <v>1042</v>
      </c>
      <c r="B11">
        <v>259</v>
      </c>
      <c r="C11" s="26">
        <v>69027542388</v>
      </c>
      <c r="D11" s="26">
        <v>142704558.3683129</v>
      </c>
      <c r="E11" s="26">
        <v>411675142.01287377</v>
      </c>
      <c r="F11" s="26">
        <v>938734341.09015369</v>
      </c>
      <c r="G11" s="26">
        <v>900002224.53117454</v>
      </c>
    </row>
    <row r="16" spans="1:7" x14ac:dyDescent="0.25">
      <c r="A16" s="24" t="s">
        <v>1058</v>
      </c>
      <c r="B16" t="s">
        <v>1050</v>
      </c>
      <c r="C16" t="s">
        <v>1060</v>
      </c>
      <c r="D16" t="s">
        <v>1055</v>
      </c>
      <c r="E16" t="s">
        <v>1047</v>
      </c>
      <c r="F16" t="s">
        <v>1056</v>
      </c>
      <c r="G16" t="s">
        <v>1049</v>
      </c>
    </row>
    <row r="17" spans="1:7" x14ac:dyDescent="0.25">
      <c r="A17" s="25" t="s">
        <v>1039</v>
      </c>
      <c r="B17">
        <v>12</v>
      </c>
      <c r="C17" s="26">
        <v>11750762636</v>
      </c>
      <c r="D17" s="26">
        <v>138414006.31147283</v>
      </c>
      <c r="E17" s="26">
        <v>159028396.2327784</v>
      </c>
      <c r="F17" s="26">
        <v>187007706.92873186</v>
      </c>
      <c r="G17" s="26">
        <v>142878850.11381447</v>
      </c>
    </row>
    <row r="18" spans="1:7" x14ac:dyDescent="0.25">
      <c r="A18" s="27" t="s">
        <v>1051</v>
      </c>
      <c r="B18">
        <v>1</v>
      </c>
      <c r="C18" s="26">
        <v>1300000000</v>
      </c>
      <c r="D18" s="26">
        <v>17364285.714285716</v>
      </c>
      <c r="E18" s="26">
        <v>11050000</v>
      </c>
      <c r="F18" s="26">
        <v>4735714.2857142854</v>
      </c>
      <c r="G18" s="26">
        <v>0</v>
      </c>
    </row>
    <row r="19" spans="1:7" x14ac:dyDescent="0.25">
      <c r="A19" s="27" t="s">
        <v>1052</v>
      </c>
      <c r="B19">
        <v>4</v>
      </c>
      <c r="C19" s="26">
        <v>2622095968</v>
      </c>
      <c r="D19" s="26">
        <v>49331728.257379584</v>
      </c>
      <c r="E19" s="26">
        <v>36912136.451721616</v>
      </c>
      <c r="F19" s="26">
        <v>24492544.646063648</v>
      </c>
      <c r="G19" s="26">
        <v>12072952.840405684</v>
      </c>
    </row>
    <row r="20" spans="1:7" x14ac:dyDescent="0.25">
      <c r="A20" s="27" t="s">
        <v>1053</v>
      </c>
      <c r="B20">
        <v>1</v>
      </c>
      <c r="C20" s="26">
        <v>736666668</v>
      </c>
      <c r="D20" s="26">
        <v>14193111.136800002</v>
      </c>
      <c r="E20" s="26">
        <v>9183777.7944000009</v>
      </c>
      <c r="F20" s="26">
        <v>4174444.4520000005</v>
      </c>
      <c r="G20" s="26">
        <v>208722.22260000004</v>
      </c>
    </row>
    <row r="21" spans="1:7" x14ac:dyDescent="0.25">
      <c r="A21" s="27" t="s">
        <v>1054</v>
      </c>
      <c r="B21">
        <v>3</v>
      </c>
      <c r="C21" s="26">
        <v>2067000000</v>
      </c>
      <c r="D21" s="26">
        <v>57524881.203007519</v>
      </c>
      <c r="E21" s="26">
        <v>42963115.789473683</v>
      </c>
      <c r="F21" s="26">
        <v>28401350.37593985</v>
      </c>
      <c r="G21" s="26">
        <v>13839584.962406017</v>
      </c>
    </row>
    <row r="22" spans="1:7" x14ac:dyDescent="0.25">
      <c r="A22" s="27" t="s">
        <v>1044</v>
      </c>
      <c r="B22">
        <v>2</v>
      </c>
      <c r="C22" s="26">
        <v>3525000000</v>
      </c>
      <c r="D22" s="26">
        <v>0</v>
      </c>
      <c r="E22" s="26">
        <v>58919366.197183102</v>
      </c>
      <c r="F22" s="26">
        <v>99703653.169014096</v>
      </c>
      <c r="G22" s="26">
        <v>75523547.53521128</v>
      </c>
    </row>
    <row r="23" spans="1:7" x14ac:dyDescent="0.25">
      <c r="A23" s="27" t="s">
        <v>1045</v>
      </c>
      <c r="B23">
        <v>1</v>
      </c>
      <c r="C23" s="26">
        <v>1500000000</v>
      </c>
      <c r="D23" s="26">
        <v>0</v>
      </c>
      <c r="E23" s="26">
        <v>0</v>
      </c>
      <c r="F23" s="26">
        <v>25500000</v>
      </c>
      <c r="G23" s="26">
        <v>41234042.55319149</v>
      </c>
    </row>
    <row r="24" spans="1:7" x14ac:dyDescent="0.25">
      <c r="A24" s="25" t="s">
        <v>1040</v>
      </c>
      <c r="B24">
        <v>5</v>
      </c>
      <c r="C24" s="26">
        <v>738361359</v>
      </c>
      <c r="D24" s="26">
        <v>8641666.6666666679</v>
      </c>
      <c r="E24" s="26">
        <v>9353309.769666668</v>
      </c>
      <c r="F24" s="26">
        <v>14360756.321166668</v>
      </c>
      <c r="G24" s="26">
        <v>8179994.2525000013</v>
      </c>
    </row>
    <row r="25" spans="1:7" x14ac:dyDescent="0.25">
      <c r="A25" s="27" t="s">
        <v>1054</v>
      </c>
      <c r="B25">
        <v>2</v>
      </c>
      <c r="C25" s="26">
        <v>350000000</v>
      </c>
      <c r="D25" s="26">
        <v>8641666.6666666679</v>
      </c>
      <c r="E25" s="26">
        <v>6091666.666666667</v>
      </c>
      <c r="F25" s="26">
        <v>3541666.666666667</v>
      </c>
      <c r="G25" s="26">
        <v>1345833.3333333333</v>
      </c>
    </row>
    <row r="26" spans="1:7" x14ac:dyDescent="0.25">
      <c r="A26" s="27" t="s">
        <v>1044</v>
      </c>
      <c r="B26">
        <v>1</v>
      </c>
      <c r="C26" s="26">
        <v>191861359</v>
      </c>
      <c r="D26" s="26">
        <v>0</v>
      </c>
      <c r="E26" s="26">
        <v>3261643.1030000001</v>
      </c>
      <c r="F26" s="26">
        <v>4892464.6545000002</v>
      </c>
      <c r="G26" s="26">
        <v>2718035.9191666669</v>
      </c>
    </row>
    <row r="27" spans="1:7" x14ac:dyDescent="0.25">
      <c r="A27" s="27" t="s">
        <v>1045</v>
      </c>
      <c r="B27">
        <v>2</v>
      </c>
      <c r="C27" s="26">
        <v>196500000</v>
      </c>
      <c r="D27" s="26">
        <v>0</v>
      </c>
      <c r="E27" s="26">
        <v>0</v>
      </c>
      <c r="F27" s="26">
        <v>5926625</v>
      </c>
      <c r="G27" s="26">
        <v>4116125.0000000005</v>
      </c>
    </row>
    <row r="28" spans="1:7" x14ac:dyDescent="0.25">
      <c r="A28" s="25" t="s">
        <v>1042</v>
      </c>
      <c r="B28">
        <v>17</v>
      </c>
      <c r="C28" s="26">
        <v>12489123995</v>
      </c>
      <c r="D28" s="26">
        <v>147055672.97813949</v>
      </c>
      <c r="E28" s="26">
        <v>168381706.00244504</v>
      </c>
      <c r="F28" s="26">
        <v>201368463.24989852</v>
      </c>
      <c r="G28" s="26">
        <v>151058844.36631447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Z261"/>
  <sheetViews>
    <sheetView workbookViewId="0"/>
  </sheetViews>
  <sheetFormatPr baseColWidth="10" defaultRowHeight="12.5" x14ac:dyDescent="0.25"/>
  <cols>
    <col min="1" max="1" width="13.54296875" bestFit="1" customWidth="1"/>
    <col min="2" max="2" width="14.54296875" bestFit="1" customWidth="1"/>
    <col min="3" max="3" width="39.36328125" bestFit="1" customWidth="1"/>
    <col min="4" max="4" width="14.453125" bestFit="1" customWidth="1"/>
    <col min="5" max="5" width="17.7265625" bestFit="1" customWidth="1"/>
    <col min="6" max="6" width="25.26953125" bestFit="1" customWidth="1"/>
    <col min="7" max="7" width="11.6328125" bestFit="1" customWidth="1"/>
    <col min="8" max="8" width="13.453125" bestFit="1" customWidth="1"/>
    <col min="9" max="9" width="20.81640625" style="18" customWidth="1"/>
    <col min="10" max="10" width="13.1796875" bestFit="1" customWidth="1"/>
    <col min="11" max="11" width="28.81640625" bestFit="1" customWidth="1"/>
    <col min="12" max="12" width="25.26953125" bestFit="1" customWidth="1"/>
    <col min="13" max="13" width="16.6328125" style="13" bestFit="1" customWidth="1"/>
    <col min="14" max="14" width="29.453125" bestFit="1" customWidth="1"/>
    <col min="15" max="15" width="14" bestFit="1" customWidth="1"/>
    <col min="16" max="16" width="15" bestFit="1" customWidth="1"/>
    <col min="17" max="17" width="19" bestFit="1" customWidth="1"/>
    <col min="18" max="18" width="24.7265625" bestFit="1" customWidth="1"/>
    <col min="19" max="19" width="21.90625" bestFit="1" customWidth="1"/>
    <col min="20" max="20" width="15.90625" bestFit="1" customWidth="1"/>
    <col min="21" max="21" width="31.26953125" bestFit="1" customWidth="1"/>
    <col min="22" max="25" width="13.7265625" style="14" bestFit="1" customWidth="1"/>
    <col min="26" max="26" width="18.08984375" style="14" bestFit="1" customWidth="1"/>
  </cols>
  <sheetData>
    <row r="1" spans="1:26" s="1" customFormat="1" ht="18.149999999999999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0">
        <v>2024</v>
      </c>
      <c r="W1" s="20">
        <v>2023</v>
      </c>
      <c r="X1" s="20">
        <v>2022</v>
      </c>
      <c r="Y1" s="20">
        <v>2021</v>
      </c>
      <c r="Z1" s="20" t="s">
        <v>986</v>
      </c>
    </row>
    <row r="2" spans="1:26" s="1" customFormat="1" ht="18.149999999999999" customHeight="1" x14ac:dyDescent="0.25">
      <c r="A2" s="3" t="s">
        <v>26</v>
      </c>
      <c r="B2" s="3" t="s">
        <v>171</v>
      </c>
      <c r="C2" s="3" t="s">
        <v>172</v>
      </c>
      <c r="D2" s="3" t="s">
        <v>21</v>
      </c>
      <c r="E2" s="4"/>
      <c r="F2" s="3" t="s">
        <v>173</v>
      </c>
      <c r="G2" s="3" t="s">
        <v>174</v>
      </c>
      <c r="H2" s="5">
        <v>0</v>
      </c>
      <c r="I2" s="4">
        <v>44925</v>
      </c>
      <c r="J2" s="3" t="s">
        <v>29</v>
      </c>
      <c r="K2" s="3" t="s">
        <v>30</v>
      </c>
      <c r="L2" s="5">
        <v>20</v>
      </c>
      <c r="M2" s="10">
        <v>6739000000</v>
      </c>
      <c r="N2" s="5">
        <v>405617238</v>
      </c>
      <c r="O2" s="5">
        <v>6.65</v>
      </c>
      <c r="P2" s="3" t="s">
        <v>24</v>
      </c>
      <c r="Q2" s="4">
        <v>45381</v>
      </c>
      <c r="R2" s="4">
        <v>47117</v>
      </c>
      <c r="S2" s="4"/>
      <c r="T2" s="3" t="s">
        <v>28</v>
      </c>
      <c r="U2" s="3" t="s">
        <v>54</v>
      </c>
      <c r="V2" s="14" cm="1">
        <f t="array" ref="V2">CalculerCommissionAnnuelle(M2,Q2,L2,1.7%,2024)</f>
        <v>160388200</v>
      </c>
      <c r="W2" s="14" cm="1">
        <f t="array" ref="W2">CalculerCommissionAnnuelle(M2,Q2,L2,1.7%,2023)</f>
        <v>0</v>
      </c>
      <c r="X2" s="14" cm="1">
        <f t="array" ref="X2">CalculerCommissionAnnuelle(M2,Q2,L2,1.7%,2022)</f>
        <v>0</v>
      </c>
      <c r="Y2" s="14" cm="1">
        <f t="array" ref="Y2">CalculerCommissionAnnuelle(M2,Q2,L2,1.7%,2021)</f>
        <v>0</v>
      </c>
      <c r="Z2" s="19" t="str">
        <f t="shared" ref="Z2:Z65" si="0">IF(M2&lt;=200000000,"GP","GI")</f>
        <v>GI</v>
      </c>
    </row>
    <row r="3" spans="1:26" s="1" customFormat="1" ht="18.149999999999999" customHeight="1" x14ac:dyDescent="0.25">
      <c r="A3" s="6" t="s">
        <v>26</v>
      </c>
      <c r="B3" s="6" t="s">
        <v>175</v>
      </c>
      <c r="C3" s="6" t="s">
        <v>176</v>
      </c>
      <c r="D3" s="6" t="s">
        <v>21</v>
      </c>
      <c r="E3" s="7"/>
      <c r="F3" s="6" t="s">
        <v>177</v>
      </c>
      <c r="G3" s="6" t="s">
        <v>178</v>
      </c>
      <c r="H3" s="8">
        <v>0</v>
      </c>
      <c r="I3" s="16">
        <v>44826</v>
      </c>
      <c r="J3" s="6" t="s">
        <v>29</v>
      </c>
      <c r="K3" s="6" t="s">
        <v>30</v>
      </c>
      <c r="L3" s="8">
        <v>60</v>
      </c>
      <c r="M3" s="11">
        <v>2437000000</v>
      </c>
      <c r="N3" s="8">
        <v>49635469</v>
      </c>
      <c r="O3" s="8">
        <v>7</v>
      </c>
      <c r="P3" s="6" t="s">
        <v>24</v>
      </c>
      <c r="Q3" s="7">
        <v>44856</v>
      </c>
      <c r="R3" s="7">
        <v>46652</v>
      </c>
      <c r="S3" s="7"/>
      <c r="T3" s="6" t="s">
        <v>28</v>
      </c>
      <c r="U3" s="6" t="s">
        <v>47</v>
      </c>
      <c r="V3" s="14" cm="1">
        <f t="array" ref="V3">CalculerCommissionAnnuelle(M3,Q3,L3,1.7%,2024)</f>
        <v>51095766.666666672</v>
      </c>
      <c r="W3" s="14" cm="1">
        <f t="array" ref="W3">CalculerCommissionAnnuelle(M3,Q3,L3,1.7%,2023)</f>
        <v>67667366.666666672</v>
      </c>
      <c r="X3" s="14" cm="1">
        <f t="array" ref="X3">CalculerCommissionAnnuelle(M3,Q3,L3,1.7%,2022)</f>
        <v>40048033.333333336</v>
      </c>
      <c r="Y3" s="14" cm="1">
        <f t="array" ref="Y3">CalculerCommissionAnnuelle(M3,Q3,L3,1.7%,2021)</f>
        <v>0</v>
      </c>
      <c r="Z3" s="19" t="str">
        <f t="shared" si="0"/>
        <v>GI</v>
      </c>
    </row>
    <row r="4" spans="1:26" s="1" customFormat="1" ht="18.149999999999999" customHeight="1" x14ac:dyDescent="0.25">
      <c r="A4" s="3" t="s">
        <v>330</v>
      </c>
      <c r="B4" s="3" t="s">
        <v>351</v>
      </c>
      <c r="C4" s="3" t="s">
        <v>352</v>
      </c>
      <c r="D4" s="3" t="s">
        <v>21</v>
      </c>
      <c r="E4" s="4"/>
      <c r="F4" s="3" t="s">
        <v>353</v>
      </c>
      <c r="G4" s="3" t="s">
        <v>355</v>
      </c>
      <c r="H4" s="5">
        <v>0</v>
      </c>
      <c r="I4" s="16">
        <v>44911</v>
      </c>
      <c r="J4" s="3" t="s">
        <v>29</v>
      </c>
      <c r="K4" s="3" t="s">
        <v>30</v>
      </c>
      <c r="L4" s="5">
        <v>60</v>
      </c>
      <c r="M4" s="10">
        <v>2000000000</v>
      </c>
      <c r="N4" s="5">
        <v>41298652</v>
      </c>
      <c r="O4" s="5">
        <v>7.5</v>
      </c>
      <c r="P4" s="3" t="s">
        <v>24</v>
      </c>
      <c r="Q4" s="4">
        <v>45093</v>
      </c>
      <c r="R4" s="4">
        <v>46889</v>
      </c>
      <c r="S4" s="4"/>
      <c r="T4" s="3" t="s">
        <v>28</v>
      </c>
      <c r="U4" s="3" t="s">
        <v>72</v>
      </c>
      <c r="V4" s="14" cm="1">
        <f t="array" ref="V4">CalculerCommissionAnnuelle(M4,Q4,L4,1.7%,2024)</f>
        <v>51000000</v>
      </c>
      <c r="W4" s="14" cm="1">
        <f t="array" ref="W4">CalculerCommissionAnnuelle(M4,Q4,L4,1.7%,2023)</f>
        <v>64600000.000000007</v>
      </c>
      <c r="X4" s="14" cm="1">
        <f t="array" ref="X4">CalculerCommissionAnnuelle(M4,Q4,L4,1.7%,2022)</f>
        <v>0</v>
      </c>
      <c r="Y4" s="14" cm="1">
        <f t="array" ref="Y4">CalculerCommissionAnnuelle(M4,Q4,L4,1.7%,2021)</f>
        <v>0</v>
      </c>
      <c r="Z4" s="19" t="str">
        <f t="shared" si="0"/>
        <v>GI</v>
      </c>
    </row>
    <row r="5" spans="1:26" s="1" customFormat="1" ht="18.149999999999999" customHeight="1" x14ac:dyDescent="0.25">
      <c r="A5" s="6" t="s">
        <v>26</v>
      </c>
      <c r="B5" s="6" t="s">
        <v>152</v>
      </c>
      <c r="C5" s="6" t="s">
        <v>153</v>
      </c>
      <c r="D5" s="6" t="s">
        <v>21</v>
      </c>
      <c r="E5" s="7"/>
      <c r="F5" s="6" t="s">
        <v>154</v>
      </c>
      <c r="G5" s="6" t="s">
        <v>156</v>
      </c>
      <c r="H5" s="8">
        <v>0</v>
      </c>
      <c r="I5" s="16">
        <v>44841</v>
      </c>
      <c r="J5" s="6" t="s">
        <v>62</v>
      </c>
      <c r="K5" s="6" t="s">
        <v>63</v>
      </c>
      <c r="L5" s="8">
        <v>60</v>
      </c>
      <c r="M5" s="11">
        <v>1550262613</v>
      </c>
      <c r="N5" s="8">
        <v>32011878</v>
      </c>
      <c r="O5" s="8">
        <v>7.5</v>
      </c>
      <c r="P5" s="6" t="s">
        <v>24</v>
      </c>
      <c r="Q5" s="7">
        <v>45206</v>
      </c>
      <c r="R5" s="7">
        <v>47003</v>
      </c>
      <c r="S5" s="7"/>
      <c r="T5" s="6" t="s">
        <v>28</v>
      </c>
      <c r="U5" s="6" t="s">
        <v>83</v>
      </c>
      <c r="V5" s="14" cm="1">
        <f t="array" ref="V5">CalculerCommissionAnnuelle(M5,Q5,L5,1.7%,2024)</f>
        <v>43045625.220966667</v>
      </c>
      <c r="W5" s="14" cm="1">
        <f t="array" ref="W5">CalculerCommissionAnnuelle(M5,Q5,L5,1.7%,2023)</f>
        <v>25475982.273633335</v>
      </c>
      <c r="X5" s="14" cm="1">
        <f t="array" ref="X5">CalculerCommissionAnnuelle(M5,Q5,L5,1.7%,2022)</f>
        <v>0</v>
      </c>
      <c r="Y5" s="14" cm="1">
        <f t="array" ref="Y5">CalculerCommissionAnnuelle(M5,Q5,L5,1.7%,2021)</f>
        <v>0</v>
      </c>
      <c r="Z5" s="19" t="str">
        <f t="shared" si="0"/>
        <v>GI</v>
      </c>
    </row>
    <row r="6" spans="1:26" s="1" customFormat="1" ht="18.149999999999999" customHeight="1" x14ac:dyDescent="0.25">
      <c r="A6" s="3" t="s">
        <v>26</v>
      </c>
      <c r="B6" s="3" t="s">
        <v>143</v>
      </c>
      <c r="C6" s="3" t="s">
        <v>144</v>
      </c>
      <c r="D6" s="3" t="s">
        <v>21</v>
      </c>
      <c r="E6" s="4"/>
      <c r="F6" s="3" t="s">
        <v>145</v>
      </c>
      <c r="G6" s="3" t="s">
        <v>146</v>
      </c>
      <c r="H6" s="5">
        <v>0</v>
      </c>
      <c r="I6" s="16">
        <v>45104</v>
      </c>
      <c r="J6" s="3" t="s">
        <v>29</v>
      </c>
      <c r="K6" s="3" t="s">
        <v>30</v>
      </c>
      <c r="L6" s="5">
        <v>60</v>
      </c>
      <c r="M6" s="10">
        <v>1600000000</v>
      </c>
      <c r="N6" s="5">
        <v>0</v>
      </c>
      <c r="O6" s="5">
        <v>7</v>
      </c>
      <c r="P6" s="3" t="s">
        <v>24</v>
      </c>
      <c r="Q6" s="4">
        <v>45134</v>
      </c>
      <c r="R6" s="4">
        <v>46931</v>
      </c>
      <c r="S6" s="4"/>
      <c r="T6" s="3" t="s">
        <v>28</v>
      </c>
      <c r="U6" s="3" t="s">
        <v>141</v>
      </c>
      <c r="V6" s="14" cm="1">
        <f t="array" ref="V6">CalculerCommissionAnnuelle(M6,Q6,L6,1.7%,2024)</f>
        <v>41706666.666666672</v>
      </c>
      <c r="W6" s="14" cm="1">
        <f t="array" ref="W6">CalculerCommissionAnnuelle(M6,Q6,L6,1.7%,2023)</f>
        <v>24933333.333333336</v>
      </c>
      <c r="X6" s="14" cm="1">
        <f t="array" ref="X6">CalculerCommissionAnnuelle(M6,Q6,L6,1.7%,2022)</f>
        <v>0</v>
      </c>
      <c r="Y6" s="14" cm="1">
        <f t="array" ref="Y6">CalculerCommissionAnnuelle(M6,Q6,L6,1.7%,2021)</f>
        <v>0</v>
      </c>
      <c r="Z6" s="19" t="str">
        <f t="shared" si="0"/>
        <v>GI</v>
      </c>
    </row>
    <row r="7" spans="1:26" s="1" customFormat="1" ht="18.149999999999999" customHeight="1" x14ac:dyDescent="0.25">
      <c r="A7" s="6" t="s">
        <v>26</v>
      </c>
      <c r="B7" s="6" t="s">
        <v>86</v>
      </c>
      <c r="C7" s="6" t="s">
        <v>87</v>
      </c>
      <c r="D7" s="6" t="s">
        <v>21</v>
      </c>
      <c r="E7" s="7"/>
      <c r="F7" s="6" t="s">
        <v>88</v>
      </c>
      <c r="G7" s="6" t="s">
        <v>89</v>
      </c>
      <c r="H7" s="8">
        <v>0</v>
      </c>
      <c r="I7" s="16">
        <v>44673</v>
      </c>
      <c r="J7" s="6" t="s">
        <v>90</v>
      </c>
      <c r="K7" s="6" t="s">
        <v>91</v>
      </c>
      <c r="L7" s="8">
        <v>84</v>
      </c>
      <c r="M7" s="11">
        <v>1260000000</v>
      </c>
      <c r="N7" s="8">
        <v>19942885</v>
      </c>
      <c r="O7" s="8">
        <v>7.25</v>
      </c>
      <c r="P7" s="6" t="s">
        <v>24</v>
      </c>
      <c r="Q7" s="7">
        <v>45068</v>
      </c>
      <c r="R7" s="7">
        <v>47595</v>
      </c>
      <c r="S7" s="7"/>
      <c r="T7" s="6" t="s">
        <v>28</v>
      </c>
      <c r="U7" s="6" t="s">
        <v>83</v>
      </c>
      <c r="V7" s="14" cm="1">
        <f t="array" ref="V7">CalculerCommissionAnnuelle(M7,Q7,L7,1.7%,2024)</f>
        <v>34680000</v>
      </c>
      <c r="W7" s="14" cm="1">
        <f t="array" ref="W7">CalculerCommissionAnnuelle(M7,Q7,L7,1.7%,2023)</f>
        <v>40800000</v>
      </c>
      <c r="X7" s="14" cm="1">
        <f t="array" ref="X7">CalculerCommissionAnnuelle(M7,Q7,L7,1.7%,2022)</f>
        <v>0</v>
      </c>
      <c r="Y7" s="14" cm="1">
        <f t="array" ref="Y7">CalculerCommissionAnnuelle(M7,Q7,L7,1.7%,2021)</f>
        <v>0</v>
      </c>
      <c r="Z7" s="19" t="str">
        <f t="shared" si="0"/>
        <v>GI</v>
      </c>
    </row>
    <row r="8" spans="1:26" s="1" customFormat="1" ht="18.149999999999999" customHeight="1" x14ac:dyDescent="0.25">
      <c r="A8" s="6" t="s">
        <v>26</v>
      </c>
      <c r="B8" s="6" t="s">
        <v>152</v>
      </c>
      <c r="C8" s="6" t="s">
        <v>153</v>
      </c>
      <c r="D8" s="6" t="s">
        <v>21</v>
      </c>
      <c r="E8" s="7"/>
      <c r="F8" s="6" t="s">
        <v>154</v>
      </c>
      <c r="G8" s="6" t="s">
        <v>155</v>
      </c>
      <c r="H8" s="8">
        <v>0</v>
      </c>
      <c r="I8" s="16">
        <v>44889</v>
      </c>
      <c r="J8" s="6" t="s">
        <v>29</v>
      </c>
      <c r="K8" s="6" t="s">
        <v>30</v>
      </c>
      <c r="L8" s="8">
        <v>60</v>
      </c>
      <c r="M8" s="11">
        <v>1500000000</v>
      </c>
      <c r="N8" s="8">
        <v>30973989</v>
      </c>
      <c r="O8" s="8">
        <v>7.5</v>
      </c>
      <c r="P8" s="6" t="s">
        <v>24</v>
      </c>
      <c r="Q8" s="7">
        <v>44919</v>
      </c>
      <c r="R8" s="7">
        <v>46715</v>
      </c>
      <c r="S8" s="7"/>
      <c r="T8" s="6" t="s">
        <v>28</v>
      </c>
      <c r="U8" s="6" t="s">
        <v>83</v>
      </c>
      <c r="V8" s="14" cm="1">
        <f t="array" ref="V8">CalculerCommissionAnnuelle(M8,Q8,L8,1.7%,2024)</f>
        <v>33150000.000000004</v>
      </c>
      <c r="W8" s="14" cm="1">
        <f t="array" ref="W8">CalculerCommissionAnnuelle(M8,Q8,L8,1.7%,2023)</f>
        <v>43350000</v>
      </c>
      <c r="X8" s="14" cm="1">
        <f t="array" ref="X8">CalculerCommissionAnnuelle(M8,Q8,L8,1.7%,2022)</f>
        <v>25500000</v>
      </c>
      <c r="Y8" s="14" cm="1">
        <f t="array" ref="Y8">CalculerCommissionAnnuelle(M8,Q8,L8,1.7%,2021)</f>
        <v>0</v>
      </c>
      <c r="Z8" s="19" t="str">
        <f t="shared" si="0"/>
        <v>GI</v>
      </c>
    </row>
    <row r="9" spans="1:26" s="1" customFormat="1" ht="18.149999999999999" customHeight="1" x14ac:dyDescent="0.25">
      <c r="A9" s="3" t="s">
        <v>330</v>
      </c>
      <c r="B9" s="3" t="s">
        <v>385</v>
      </c>
      <c r="C9" s="3" t="s">
        <v>386</v>
      </c>
      <c r="D9" s="3" t="s">
        <v>21</v>
      </c>
      <c r="E9" s="4"/>
      <c r="F9" s="3" t="s">
        <v>387</v>
      </c>
      <c r="G9" s="3" t="s">
        <v>389</v>
      </c>
      <c r="H9" s="5">
        <v>0</v>
      </c>
      <c r="I9" s="16">
        <v>44742</v>
      </c>
      <c r="J9" s="3" t="s">
        <v>29</v>
      </c>
      <c r="K9" s="3" t="s">
        <v>30</v>
      </c>
      <c r="L9" s="5">
        <v>78</v>
      </c>
      <c r="M9" s="10">
        <v>1200000000</v>
      </c>
      <c r="N9" s="5">
        <v>19892463</v>
      </c>
      <c r="O9" s="5">
        <v>7</v>
      </c>
      <c r="P9" s="3" t="s">
        <v>24</v>
      </c>
      <c r="Q9" s="4">
        <v>44956</v>
      </c>
      <c r="R9" s="4">
        <v>47299</v>
      </c>
      <c r="S9" s="4"/>
      <c r="T9" s="3" t="s">
        <v>28</v>
      </c>
      <c r="U9" s="3" t="s">
        <v>49</v>
      </c>
      <c r="V9" s="14" cm="1">
        <f t="array" ref="V9">CalculerCommissionAnnuelle(M9,Q9,L9,1.7%,2024)</f>
        <v>30338461.53846154</v>
      </c>
      <c r="W9" s="14" cm="1">
        <f t="array" ref="W9">CalculerCommissionAnnuelle(M9,Q9,L9,1.7%,2023)</f>
        <v>36615384.615384616</v>
      </c>
      <c r="X9" s="14" cm="1">
        <f t="array" ref="X9">CalculerCommissionAnnuelle(M9,Q9,L9,1.7%,2022)</f>
        <v>0</v>
      </c>
      <c r="Y9" s="14" cm="1">
        <f t="array" ref="Y9">CalculerCommissionAnnuelle(M9,Q9,L9,1.7%,2021)</f>
        <v>0</v>
      </c>
      <c r="Z9" s="19" t="str">
        <f t="shared" si="0"/>
        <v>GI</v>
      </c>
    </row>
    <row r="10" spans="1:26" s="1" customFormat="1" ht="18.149999999999999" customHeight="1" x14ac:dyDescent="0.25">
      <c r="A10" s="6" t="s">
        <v>26</v>
      </c>
      <c r="B10" s="6" t="s">
        <v>248</v>
      </c>
      <c r="C10" s="6" t="s">
        <v>249</v>
      </c>
      <c r="D10" s="6" t="s">
        <v>21</v>
      </c>
      <c r="E10" s="7"/>
      <c r="F10" s="6" t="s">
        <v>33</v>
      </c>
      <c r="G10" s="6" t="s">
        <v>250</v>
      </c>
      <c r="H10" s="8">
        <v>0</v>
      </c>
      <c r="I10" s="16">
        <v>45035</v>
      </c>
      <c r="J10" s="6" t="s">
        <v>62</v>
      </c>
      <c r="K10" s="6" t="s">
        <v>63</v>
      </c>
      <c r="L10" s="8">
        <v>9</v>
      </c>
      <c r="M10" s="11">
        <v>7500000000</v>
      </c>
      <c r="N10" s="8">
        <v>899782908</v>
      </c>
      <c r="O10" s="8">
        <v>6.25</v>
      </c>
      <c r="P10" s="6" t="s">
        <v>24</v>
      </c>
      <c r="Q10" s="7">
        <v>45249</v>
      </c>
      <c r="R10" s="7">
        <v>45980</v>
      </c>
      <c r="S10" s="7"/>
      <c r="T10" s="6" t="s">
        <v>28</v>
      </c>
      <c r="U10" s="6" t="s">
        <v>157</v>
      </c>
      <c r="V10" s="14" cm="1">
        <f t="array" ref="V10">CalculerCommissionAnnuelle(M10,Q10,L10,1.7%,2024)</f>
        <v>28333333.333333336</v>
      </c>
      <c r="W10" s="14" cm="1">
        <f t="array" ref="W10">CalculerCommissionAnnuelle(M10,Q10,L10,1.7%,2023)</f>
        <v>113333333.33333334</v>
      </c>
      <c r="X10" s="14" cm="1">
        <f t="array" ref="X10">CalculerCommissionAnnuelle(M10,Q10,L10,1.7%,2022)</f>
        <v>0</v>
      </c>
      <c r="Y10" s="14" cm="1">
        <f t="array" ref="Y10">CalculerCommissionAnnuelle(M10,Q10,L10,1.7%,2021)</f>
        <v>0</v>
      </c>
      <c r="Z10" s="19" t="str">
        <f t="shared" si="0"/>
        <v>GI</v>
      </c>
    </row>
    <row r="11" spans="1:26" s="1" customFormat="1" ht="18.149999999999999" customHeight="1" x14ac:dyDescent="0.25">
      <c r="A11" s="3" t="s">
        <v>656</v>
      </c>
      <c r="B11" s="3" t="s">
        <v>667</v>
      </c>
      <c r="C11" s="3" t="s">
        <v>668</v>
      </c>
      <c r="D11" s="3" t="s">
        <v>21</v>
      </c>
      <c r="E11" s="4"/>
      <c r="F11" s="3" t="s">
        <v>669</v>
      </c>
      <c r="G11" s="3" t="s">
        <v>672</v>
      </c>
      <c r="H11" s="5">
        <v>0</v>
      </c>
      <c r="I11" s="16">
        <v>45254</v>
      </c>
      <c r="J11" s="3" t="s">
        <v>62</v>
      </c>
      <c r="K11" s="3" t="s">
        <v>63</v>
      </c>
      <c r="L11" s="5">
        <v>48</v>
      </c>
      <c r="M11" s="10">
        <v>900000000</v>
      </c>
      <c r="N11" s="5">
        <v>21928353</v>
      </c>
      <c r="O11" s="5">
        <v>6.75</v>
      </c>
      <c r="P11" s="3" t="s">
        <v>24</v>
      </c>
      <c r="Q11" s="4">
        <v>45284</v>
      </c>
      <c r="R11" s="4">
        <v>46715</v>
      </c>
      <c r="S11" s="4"/>
      <c r="T11" s="3" t="s">
        <v>28</v>
      </c>
      <c r="U11" s="3" t="s">
        <v>141</v>
      </c>
      <c r="V11" s="14" cm="1">
        <f t="array" ref="V11">CalculerCommissionAnnuelle(M11,Q11,L11,1.7%,2024)</f>
        <v>24862500</v>
      </c>
      <c r="W11" s="14" cm="1">
        <f t="array" ref="W11">CalculerCommissionAnnuelle(M11,Q11,L11,1.7%,2023)</f>
        <v>15300000.000000002</v>
      </c>
      <c r="X11" s="14" cm="1">
        <f t="array" ref="X11">CalculerCommissionAnnuelle(M11,Q11,L11,1.7%,2022)</f>
        <v>0</v>
      </c>
      <c r="Y11" s="14" cm="1">
        <f t="array" ref="Y11">CalculerCommissionAnnuelle(M11,Q11,L11,1.7%,2021)</f>
        <v>0</v>
      </c>
      <c r="Z11" s="19" t="str">
        <f t="shared" si="0"/>
        <v>GI</v>
      </c>
    </row>
    <row r="12" spans="1:26" s="1" customFormat="1" ht="18.149999999999999" customHeight="1" x14ac:dyDescent="0.25">
      <c r="A12" s="6" t="s">
        <v>330</v>
      </c>
      <c r="B12" s="6" t="s">
        <v>331</v>
      </c>
      <c r="C12" s="6" t="s">
        <v>332</v>
      </c>
      <c r="D12" s="6" t="s">
        <v>21</v>
      </c>
      <c r="E12" s="7"/>
      <c r="F12" s="6" t="s">
        <v>333</v>
      </c>
      <c r="G12" s="6" t="s">
        <v>334</v>
      </c>
      <c r="H12" s="8">
        <v>0</v>
      </c>
      <c r="I12" s="16">
        <v>45083</v>
      </c>
      <c r="J12" s="6" t="s">
        <v>29</v>
      </c>
      <c r="K12" s="6" t="s">
        <v>30</v>
      </c>
      <c r="L12" s="8">
        <v>48</v>
      </c>
      <c r="M12" s="11">
        <v>1000000000</v>
      </c>
      <c r="N12" s="8">
        <v>24227933</v>
      </c>
      <c r="O12" s="8">
        <v>6.5</v>
      </c>
      <c r="P12" s="6" t="s">
        <v>24</v>
      </c>
      <c r="Q12" s="7">
        <v>45113</v>
      </c>
      <c r="R12" s="7">
        <v>46544</v>
      </c>
      <c r="S12" s="7"/>
      <c r="T12" s="6" t="s">
        <v>28</v>
      </c>
      <c r="U12" s="6" t="s">
        <v>78</v>
      </c>
      <c r="V12" s="14" cm="1">
        <f t="array" ref="V12">CalculerCommissionAnnuelle(M12,Q12,L12,1.7%,2024)</f>
        <v>24083333.333333336</v>
      </c>
      <c r="W12" s="14" cm="1">
        <f t="array" ref="W12">CalculerCommissionAnnuelle(M12,Q12,L12,1.7%,2023)</f>
        <v>15229166.666666668</v>
      </c>
      <c r="X12" s="14" cm="1">
        <f t="array" ref="X12">CalculerCommissionAnnuelle(M12,Q12,L12,1.7%,2022)</f>
        <v>0</v>
      </c>
      <c r="Y12" s="14" cm="1">
        <f t="array" ref="Y12">CalculerCommissionAnnuelle(M12,Q12,L12,1.7%,2021)</f>
        <v>0</v>
      </c>
      <c r="Z12" s="19" t="str">
        <f t="shared" si="0"/>
        <v>GI</v>
      </c>
    </row>
    <row r="13" spans="1:26" s="1" customFormat="1" ht="18.149999999999999" customHeight="1" x14ac:dyDescent="0.25">
      <c r="A13" s="3" t="s">
        <v>330</v>
      </c>
      <c r="B13" s="3" t="s">
        <v>341</v>
      </c>
      <c r="C13" s="3" t="s">
        <v>342</v>
      </c>
      <c r="D13" s="3" t="s">
        <v>21</v>
      </c>
      <c r="E13" s="4"/>
      <c r="F13" s="3" t="s">
        <v>343</v>
      </c>
      <c r="G13" s="3" t="s">
        <v>346</v>
      </c>
      <c r="H13" s="5">
        <v>0</v>
      </c>
      <c r="I13" s="16">
        <v>45065</v>
      </c>
      <c r="J13" s="3" t="s">
        <v>29</v>
      </c>
      <c r="K13" s="3" t="s">
        <v>30</v>
      </c>
      <c r="L13" s="5">
        <v>36</v>
      </c>
      <c r="M13" s="10">
        <v>1200000000</v>
      </c>
      <c r="N13" s="5">
        <v>37385357</v>
      </c>
      <c r="O13" s="5">
        <v>6.5</v>
      </c>
      <c r="P13" s="3" t="s">
        <v>24</v>
      </c>
      <c r="Q13" s="4">
        <v>45096</v>
      </c>
      <c r="R13" s="4">
        <v>46161</v>
      </c>
      <c r="S13" s="4"/>
      <c r="T13" s="3" t="s">
        <v>28</v>
      </c>
      <c r="U13" s="3" t="s">
        <v>72</v>
      </c>
      <c r="V13" s="14" cm="1">
        <f t="array" ref="V13">CalculerCommissionAnnuelle(M13,Q13,L13,1.7%,2024)</f>
        <v>23800000</v>
      </c>
      <c r="W13" s="14" cm="1">
        <f t="array" ref="W13">CalculerCommissionAnnuelle(M13,Q13,L13,1.7%,2023)</f>
        <v>37400000</v>
      </c>
      <c r="X13" s="14" cm="1">
        <f t="array" ref="X13">CalculerCommissionAnnuelle(M13,Q13,L13,1.7%,2022)</f>
        <v>0</v>
      </c>
      <c r="Y13" s="14" cm="1">
        <f t="array" ref="Y13">CalculerCommissionAnnuelle(M13,Q13,L13,1.7%,2021)</f>
        <v>0</v>
      </c>
      <c r="Z13" s="19" t="str">
        <f t="shared" si="0"/>
        <v>GI</v>
      </c>
    </row>
    <row r="14" spans="1:26" s="1" customFormat="1" ht="18.149999999999999" customHeight="1" x14ac:dyDescent="0.25">
      <c r="A14" s="6" t="s">
        <v>330</v>
      </c>
      <c r="B14" s="6" t="s">
        <v>385</v>
      </c>
      <c r="C14" s="6" t="s">
        <v>386</v>
      </c>
      <c r="D14" s="6" t="s">
        <v>21</v>
      </c>
      <c r="E14" s="7"/>
      <c r="F14" s="6" t="s">
        <v>387</v>
      </c>
      <c r="G14" s="6" t="s">
        <v>388</v>
      </c>
      <c r="H14" s="8">
        <v>0</v>
      </c>
      <c r="I14" s="16">
        <v>44742</v>
      </c>
      <c r="J14" s="6" t="s">
        <v>29</v>
      </c>
      <c r="K14" s="6" t="s">
        <v>30</v>
      </c>
      <c r="L14" s="8">
        <v>60</v>
      </c>
      <c r="M14" s="11">
        <v>1100000000</v>
      </c>
      <c r="N14" s="8">
        <v>22250112</v>
      </c>
      <c r="O14" s="8">
        <v>6.75</v>
      </c>
      <c r="P14" s="6" t="s">
        <v>24</v>
      </c>
      <c r="Q14" s="7">
        <v>44772</v>
      </c>
      <c r="R14" s="7">
        <v>46568</v>
      </c>
      <c r="S14" s="7"/>
      <c r="T14" s="6" t="s">
        <v>28</v>
      </c>
      <c r="U14" s="6" t="s">
        <v>49</v>
      </c>
      <c r="V14" s="14" cm="1">
        <f t="array" ref="V14">CalculerCommissionAnnuelle(M14,Q14,L14,1.7%,2024)</f>
        <v>21193333.333333336</v>
      </c>
      <c r="W14" s="14" cm="1">
        <f t="array" ref="W14">CalculerCommissionAnnuelle(M14,Q14,L14,1.7%,2023)</f>
        <v>28673333.333333336</v>
      </c>
      <c r="X14" s="14" cm="1">
        <f t="array" ref="X14">CalculerCommissionAnnuelle(M14,Q14,L14,1.7%,2022)</f>
        <v>17141666.666666668</v>
      </c>
      <c r="Y14" s="14" cm="1">
        <f t="array" ref="Y14">CalculerCommissionAnnuelle(M14,Q14,L14,1.7%,2021)</f>
        <v>0</v>
      </c>
      <c r="Z14" s="19" t="str">
        <f t="shared" si="0"/>
        <v>GI</v>
      </c>
    </row>
    <row r="15" spans="1:26" s="1" customFormat="1" ht="18.149999999999999" customHeight="1" x14ac:dyDescent="0.25">
      <c r="A15" s="6" t="s">
        <v>750</v>
      </c>
      <c r="B15" s="6" t="s">
        <v>773</v>
      </c>
      <c r="C15" s="6" t="s">
        <v>774</v>
      </c>
      <c r="D15" s="6" t="s">
        <v>21</v>
      </c>
      <c r="E15" s="7"/>
      <c r="F15" s="6" t="s">
        <v>775</v>
      </c>
      <c r="G15" s="6" t="s">
        <v>777</v>
      </c>
      <c r="H15" s="8">
        <v>0</v>
      </c>
      <c r="I15" s="7">
        <v>45265</v>
      </c>
      <c r="J15" s="6" t="s">
        <v>62</v>
      </c>
      <c r="K15" s="6" t="s">
        <v>63</v>
      </c>
      <c r="L15" s="8">
        <v>48</v>
      </c>
      <c r="M15" s="11">
        <v>1000000000</v>
      </c>
      <c r="N15" s="8">
        <v>16681300</v>
      </c>
      <c r="O15" s="8">
        <v>6.75</v>
      </c>
      <c r="P15" s="6" t="s">
        <v>24</v>
      </c>
      <c r="Q15" s="7">
        <v>45631</v>
      </c>
      <c r="R15" s="7">
        <v>47062</v>
      </c>
      <c r="S15" s="7"/>
      <c r="T15" s="6" t="s">
        <v>28</v>
      </c>
      <c r="U15" s="6" t="s">
        <v>49</v>
      </c>
      <c r="V15" s="14" cm="1">
        <f t="array" ref="V15">CalculerCommissionAnnuelle(M15,Q15,L15,1.7%,2024)</f>
        <v>17000000</v>
      </c>
      <c r="W15" s="14" cm="1">
        <f t="array" ref="W15">CalculerCommissionAnnuelle(M15,Q15,L15,1.7%,2023)</f>
        <v>0</v>
      </c>
      <c r="X15" s="14" cm="1">
        <f t="array" ref="X15">CalculerCommissionAnnuelle(M15,Q15,L15,1.7%,2022)</f>
        <v>0</v>
      </c>
      <c r="Y15" s="14" cm="1">
        <f t="array" ref="Y15">CalculerCommissionAnnuelle(M15,Q15,L15,1.7%,2021)</f>
        <v>0</v>
      </c>
      <c r="Z15" s="19" t="str">
        <f t="shared" si="0"/>
        <v>GI</v>
      </c>
    </row>
    <row r="16" spans="1:26" s="1" customFormat="1" ht="18.149999999999999" customHeight="1" x14ac:dyDescent="0.25">
      <c r="A16" s="6" t="s">
        <v>330</v>
      </c>
      <c r="B16" s="6" t="s">
        <v>341</v>
      </c>
      <c r="C16" s="6" t="s">
        <v>342</v>
      </c>
      <c r="D16" s="6" t="s">
        <v>21</v>
      </c>
      <c r="E16" s="7"/>
      <c r="F16" s="6" t="s">
        <v>343</v>
      </c>
      <c r="G16" s="6" t="s">
        <v>345</v>
      </c>
      <c r="H16" s="8">
        <v>0</v>
      </c>
      <c r="I16" s="16">
        <v>44873</v>
      </c>
      <c r="J16" s="6" t="s">
        <v>29</v>
      </c>
      <c r="K16" s="6" t="s">
        <v>30</v>
      </c>
      <c r="L16" s="8">
        <v>36</v>
      </c>
      <c r="M16" s="11">
        <v>1200000000</v>
      </c>
      <c r="N16" s="8">
        <v>37385357</v>
      </c>
      <c r="O16" s="8">
        <v>6.5</v>
      </c>
      <c r="P16" s="6" t="s">
        <v>24</v>
      </c>
      <c r="Q16" s="7">
        <v>44903</v>
      </c>
      <c r="R16" s="7">
        <v>45969</v>
      </c>
      <c r="S16" s="7"/>
      <c r="T16" s="6" t="s">
        <v>28</v>
      </c>
      <c r="U16" s="6" t="s">
        <v>72</v>
      </c>
      <c r="V16" s="14" cm="1">
        <f t="array" ref="V16">CalculerCommissionAnnuelle(M16,Q16,L16,1.7%,2024)</f>
        <v>17000000</v>
      </c>
      <c r="W16" s="14" cm="1">
        <f t="array" ref="W16">CalculerCommissionAnnuelle(M16,Q16,L16,1.7%,2023)</f>
        <v>30600000.000000004</v>
      </c>
      <c r="X16" s="14" cm="1">
        <f t="array" ref="X16">CalculerCommissionAnnuelle(M16,Q16,L16,1.7%,2022)</f>
        <v>20400000</v>
      </c>
      <c r="Y16" s="14" cm="1">
        <f t="array" ref="Y16">CalculerCommissionAnnuelle(M16,Q16,L16,1.7%,2021)</f>
        <v>0</v>
      </c>
      <c r="Z16" s="19" t="str">
        <f t="shared" si="0"/>
        <v>GI</v>
      </c>
    </row>
    <row r="17" spans="1:26" s="1" customFormat="1" ht="18.149999999999999" customHeight="1" x14ac:dyDescent="0.25">
      <c r="A17" s="6" t="s">
        <v>330</v>
      </c>
      <c r="B17" s="6" t="s">
        <v>366</v>
      </c>
      <c r="C17" s="6" t="s">
        <v>367</v>
      </c>
      <c r="D17" s="6" t="s">
        <v>21</v>
      </c>
      <c r="E17" s="7"/>
      <c r="F17" s="6" t="s">
        <v>368</v>
      </c>
      <c r="G17" s="6" t="s">
        <v>370</v>
      </c>
      <c r="H17" s="8">
        <v>0</v>
      </c>
      <c r="I17" s="16">
        <v>44834</v>
      </c>
      <c r="J17" s="6" t="s">
        <v>29</v>
      </c>
      <c r="K17" s="6" t="s">
        <v>30</v>
      </c>
      <c r="L17" s="8">
        <v>60</v>
      </c>
      <c r="M17" s="11">
        <v>500000000</v>
      </c>
      <c r="N17" s="8">
        <v>0</v>
      </c>
      <c r="O17" s="8">
        <v>6.5</v>
      </c>
      <c r="P17" s="6" t="s">
        <v>24</v>
      </c>
      <c r="Q17" s="7">
        <v>44864</v>
      </c>
      <c r="R17" s="7">
        <v>46660</v>
      </c>
      <c r="S17" s="7"/>
      <c r="T17" s="6" t="s">
        <v>28</v>
      </c>
      <c r="U17" s="6" t="s">
        <v>47</v>
      </c>
      <c r="V17" s="14" cm="1">
        <f t="array" ref="V17">CalculerCommissionAnnuelle(M17,Q17,L17,1.7%,2024)</f>
        <v>10483333.333333334</v>
      </c>
      <c r="W17" s="14" cm="1">
        <f t="array" ref="W17">CalculerCommissionAnnuelle(M17,Q17,L17,1.7%,2023)</f>
        <v>13883333.333333334</v>
      </c>
      <c r="X17" s="14" cm="1">
        <f t="array" ref="X17">CalculerCommissionAnnuelle(M17,Q17,L17,1.7%,2022)</f>
        <v>8216666.666666667</v>
      </c>
      <c r="Y17" s="14" cm="1">
        <f t="array" ref="Y17">CalculerCommissionAnnuelle(M17,Q17,L17,1.7%,2021)</f>
        <v>0</v>
      </c>
      <c r="Z17" s="19" t="str">
        <f t="shared" si="0"/>
        <v>GI</v>
      </c>
    </row>
    <row r="18" spans="1:26" s="1" customFormat="1" ht="18.149999999999999" customHeight="1" x14ac:dyDescent="0.25">
      <c r="A18" s="3" t="s">
        <v>955</v>
      </c>
      <c r="B18" s="3" t="s">
        <v>956</v>
      </c>
      <c r="C18" s="3" t="s">
        <v>957</v>
      </c>
      <c r="D18" s="3" t="s">
        <v>21</v>
      </c>
      <c r="E18" s="4"/>
      <c r="F18" s="3" t="s">
        <v>958</v>
      </c>
      <c r="G18" s="3" t="s">
        <v>959</v>
      </c>
      <c r="H18" s="5">
        <v>0</v>
      </c>
      <c r="I18" s="16">
        <v>44480</v>
      </c>
      <c r="J18" s="3" t="s">
        <v>62</v>
      </c>
      <c r="K18" s="3" t="s">
        <v>63</v>
      </c>
      <c r="L18" s="5">
        <v>60</v>
      </c>
      <c r="M18" s="10">
        <v>465000000</v>
      </c>
      <c r="N18" s="5">
        <v>9867297</v>
      </c>
      <c r="O18" s="5">
        <v>8.5</v>
      </c>
      <c r="P18" s="3" t="s">
        <v>24</v>
      </c>
      <c r="Q18" s="4">
        <v>44876</v>
      </c>
      <c r="R18" s="4">
        <v>46671</v>
      </c>
      <c r="S18" s="4">
        <v>44541</v>
      </c>
      <c r="T18" s="3" t="s">
        <v>25</v>
      </c>
      <c r="U18" s="3" t="s">
        <v>279</v>
      </c>
      <c r="V18" s="14" cm="1">
        <f t="array" ref="V18">CalculerCommissionAnnuelle(M18,Q18,L18,1.7%,2024)</f>
        <v>10013000</v>
      </c>
      <c r="W18" s="14" cm="1">
        <f t="array" ref="W18">CalculerCommissionAnnuelle(M18,Q18,L18,1.7%,2023)</f>
        <v>13175000.000000002</v>
      </c>
      <c r="X18" s="14" cm="1">
        <f t="array" ref="X18">CalculerCommissionAnnuelle(M18,Q18,L18,1.7%,2022)</f>
        <v>7773250.0000000009</v>
      </c>
      <c r="Y18" s="14" cm="1">
        <f t="array" ref="Y18">CalculerCommissionAnnuelle(M18,Q18,L18,1.7%,2021)</f>
        <v>0</v>
      </c>
      <c r="Z18" s="19" t="str">
        <f t="shared" si="0"/>
        <v>GI</v>
      </c>
    </row>
    <row r="19" spans="1:26" s="1" customFormat="1" ht="18.149999999999999" customHeight="1" x14ac:dyDescent="0.25">
      <c r="A19" s="6" t="s">
        <v>396</v>
      </c>
      <c r="B19" s="6" t="s">
        <v>402</v>
      </c>
      <c r="C19" s="6" t="s">
        <v>403</v>
      </c>
      <c r="D19" s="6" t="s">
        <v>21</v>
      </c>
      <c r="E19" s="7"/>
      <c r="F19" s="6" t="s">
        <v>404</v>
      </c>
      <c r="G19" s="6" t="s">
        <v>405</v>
      </c>
      <c r="H19" s="8">
        <v>0</v>
      </c>
      <c r="I19" s="16">
        <v>45217</v>
      </c>
      <c r="J19" s="6" t="s">
        <v>59</v>
      </c>
      <c r="K19" s="6" t="s">
        <v>60</v>
      </c>
      <c r="L19" s="8">
        <v>60</v>
      </c>
      <c r="M19" s="11">
        <v>350000000</v>
      </c>
      <c r="N19" s="8">
        <v>7730540</v>
      </c>
      <c r="O19" s="8">
        <v>9.99</v>
      </c>
      <c r="P19" s="6" t="s">
        <v>24</v>
      </c>
      <c r="Q19" s="7">
        <v>45248</v>
      </c>
      <c r="R19" s="7">
        <v>47044</v>
      </c>
      <c r="S19" s="7"/>
      <c r="T19" s="6" t="s">
        <v>28</v>
      </c>
      <c r="U19" s="6" t="s">
        <v>406</v>
      </c>
      <c r="V19" s="14" cm="1">
        <f t="array" ref="V19">CalculerCommissionAnnuelle(M19,Q19,L19,1.7%,2024)</f>
        <v>9916666.6666666679</v>
      </c>
      <c r="W19" s="14" cm="1">
        <f t="array" ref="W19">CalculerCommissionAnnuelle(M19,Q19,L19,1.7%,2023)</f>
        <v>5850833.333333334</v>
      </c>
      <c r="X19" s="14" cm="1">
        <f t="array" ref="X19">CalculerCommissionAnnuelle(M19,Q19,L19,1.7%,2022)</f>
        <v>0</v>
      </c>
      <c r="Y19" s="14" cm="1">
        <f t="array" ref="Y19">CalculerCommissionAnnuelle(M19,Q19,L19,1.7%,2021)</f>
        <v>0</v>
      </c>
      <c r="Z19" s="19" t="str">
        <f t="shared" si="0"/>
        <v>GI</v>
      </c>
    </row>
    <row r="20" spans="1:26" s="1" customFormat="1" ht="18.149999999999999" customHeight="1" x14ac:dyDescent="0.25">
      <c r="A20" s="3" t="s">
        <v>26</v>
      </c>
      <c r="B20" s="3" t="s">
        <v>115</v>
      </c>
      <c r="C20" s="3" t="s">
        <v>116</v>
      </c>
      <c r="D20" s="3" t="s">
        <v>21</v>
      </c>
      <c r="E20" s="4"/>
      <c r="F20" s="3" t="s">
        <v>117</v>
      </c>
      <c r="G20" s="3" t="s">
        <v>118</v>
      </c>
      <c r="H20" s="5">
        <v>0</v>
      </c>
      <c r="I20" s="16">
        <v>45000</v>
      </c>
      <c r="J20" s="3" t="s">
        <v>39</v>
      </c>
      <c r="K20" s="3" t="s">
        <v>40</v>
      </c>
      <c r="L20" s="5">
        <v>24</v>
      </c>
      <c r="M20" s="10">
        <v>1000000000</v>
      </c>
      <c r="N20" s="5">
        <v>44781646</v>
      </c>
      <c r="O20" s="5">
        <v>6</v>
      </c>
      <c r="P20" s="3" t="s">
        <v>24</v>
      </c>
      <c r="Q20" s="4">
        <v>45031</v>
      </c>
      <c r="R20" s="4">
        <v>45731</v>
      </c>
      <c r="S20" s="4"/>
      <c r="T20" s="3" t="s">
        <v>28</v>
      </c>
      <c r="U20" s="3" t="s">
        <v>47</v>
      </c>
      <c r="V20" s="14" cm="1">
        <f t="array" ref="V20">CalculerCommissionAnnuelle(M20,Q20,L20,1.7%,2024)</f>
        <v>9916666.6666666679</v>
      </c>
      <c r="W20" s="14" cm="1">
        <f t="array" ref="W20">CalculerCommissionAnnuelle(M20,Q20,L20,1.7%,2023)</f>
        <v>26916666.666666668</v>
      </c>
      <c r="X20" s="14" cm="1">
        <f t="array" ref="X20">CalculerCommissionAnnuelle(M20,Q20,L20,1.7%,2022)</f>
        <v>0</v>
      </c>
      <c r="Y20" s="14" cm="1">
        <f t="array" ref="Y20">CalculerCommissionAnnuelle(M20,Q20,L20,1.7%,2021)</f>
        <v>0</v>
      </c>
      <c r="Z20" s="19" t="str">
        <f t="shared" si="0"/>
        <v>GI</v>
      </c>
    </row>
    <row r="21" spans="1:26" s="1" customFormat="1" ht="18.149999999999999" customHeight="1" x14ac:dyDescent="0.25">
      <c r="A21" s="6" t="s">
        <v>26</v>
      </c>
      <c r="B21" s="6" t="s">
        <v>128</v>
      </c>
      <c r="C21" s="6" t="s">
        <v>129</v>
      </c>
      <c r="D21" s="6" t="s">
        <v>21</v>
      </c>
      <c r="E21" s="7"/>
      <c r="F21" s="6" t="s">
        <v>130</v>
      </c>
      <c r="G21" s="6" t="s">
        <v>131</v>
      </c>
      <c r="H21" s="8">
        <v>0</v>
      </c>
      <c r="I21" s="7">
        <v>45274</v>
      </c>
      <c r="J21" s="6" t="s">
        <v>29</v>
      </c>
      <c r="K21" s="6" t="s">
        <v>30</v>
      </c>
      <c r="L21" s="8">
        <v>60</v>
      </c>
      <c r="M21" s="11">
        <v>300000000</v>
      </c>
      <c r="N21" s="8">
        <v>6280053</v>
      </c>
      <c r="O21" s="8">
        <v>8</v>
      </c>
      <c r="P21" s="6" t="s">
        <v>24</v>
      </c>
      <c r="Q21" s="7">
        <v>45457</v>
      </c>
      <c r="R21" s="7">
        <v>47252</v>
      </c>
      <c r="S21" s="7">
        <v>45305</v>
      </c>
      <c r="T21" s="6" t="s">
        <v>25</v>
      </c>
      <c r="U21" s="6" t="s">
        <v>41</v>
      </c>
      <c r="V21" s="14" cm="1">
        <f t="array" ref="V21">CalculerCommissionAnnuelle(M21,Q21,L21,1.7%,2024)</f>
        <v>9690000</v>
      </c>
      <c r="W21" s="14" cm="1">
        <f t="array" ref="W21">CalculerCommissionAnnuelle(M21,Q21,L21,1.7%,2023)</f>
        <v>0</v>
      </c>
      <c r="X21" s="14" cm="1">
        <f t="array" ref="X21">CalculerCommissionAnnuelle(M21,Q21,L21,1.7%,2022)</f>
        <v>0</v>
      </c>
      <c r="Y21" s="14" cm="1">
        <f t="array" ref="Y21">CalculerCommissionAnnuelle(M21,Q21,L21,1.7%,2021)</f>
        <v>0</v>
      </c>
      <c r="Z21" s="19" t="str">
        <f t="shared" si="0"/>
        <v>GI</v>
      </c>
    </row>
    <row r="22" spans="1:26" s="1" customFormat="1" ht="18.149999999999999" customHeight="1" x14ac:dyDescent="0.25">
      <c r="A22" s="6" t="s">
        <v>26</v>
      </c>
      <c r="B22" s="6" t="s">
        <v>195</v>
      </c>
      <c r="C22" s="6" t="s">
        <v>196</v>
      </c>
      <c r="D22" s="6" t="s">
        <v>21</v>
      </c>
      <c r="E22" s="7"/>
      <c r="F22" s="6" t="s">
        <v>197</v>
      </c>
      <c r="G22" s="6" t="s">
        <v>198</v>
      </c>
      <c r="H22" s="8">
        <v>0</v>
      </c>
      <c r="I22" s="16">
        <v>44631</v>
      </c>
      <c r="J22" s="6" t="s">
        <v>62</v>
      </c>
      <c r="K22" s="6" t="s">
        <v>63</v>
      </c>
      <c r="L22" s="8">
        <v>60</v>
      </c>
      <c r="M22" s="11">
        <v>500000000</v>
      </c>
      <c r="N22" s="8">
        <v>10466755</v>
      </c>
      <c r="O22" s="8">
        <v>8</v>
      </c>
      <c r="P22" s="6" t="s">
        <v>24</v>
      </c>
      <c r="Q22" s="7">
        <v>44662</v>
      </c>
      <c r="R22" s="7">
        <v>46457</v>
      </c>
      <c r="S22" s="7"/>
      <c r="T22" s="6" t="s">
        <v>28</v>
      </c>
      <c r="U22" s="6" t="s">
        <v>132</v>
      </c>
      <c r="V22" s="14" cm="1">
        <f t="array" ref="V22">CalculerCommissionAnnuelle(M22,Q22,L22,1.7%,2024)</f>
        <v>8783333.333333334</v>
      </c>
      <c r="W22" s="14" cm="1">
        <f t="array" ref="W22">CalculerCommissionAnnuelle(M22,Q22,L22,1.7%,2023)</f>
        <v>12183333.333333334</v>
      </c>
      <c r="X22" s="14" cm="1">
        <f t="array" ref="X22">CalculerCommissionAnnuelle(M22,Q22,L22,1.7%,2022)</f>
        <v>15583333.333333334</v>
      </c>
      <c r="Y22" s="14" cm="1">
        <f t="array" ref="Y22">CalculerCommissionAnnuelle(M22,Q22,L22,1.7%,2021)</f>
        <v>0</v>
      </c>
      <c r="Z22" s="19" t="str">
        <f t="shared" si="0"/>
        <v>GI</v>
      </c>
    </row>
    <row r="23" spans="1:26" s="1" customFormat="1" ht="18.149999999999999" customHeight="1" x14ac:dyDescent="0.25">
      <c r="A23" s="6" t="s">
        <v>656</v>
      </c>
      <c r="B23" s="6" t="s">
        <v>667</v>
      </c>
      <c r="C23" s="6" t="s">
        <v>668</v>
      </c>
      <c r="D23" s="6" t="s">
        <v>21</v>
      </c>
      <c r="E23" s="7"/>
      <c r="F23" s="6" t="s">
        <v>669</v>
      </c>
      <c r="G23" s="6" t="s">
        <v>671</v>
      </c>
      <c r="H23" s="8">
        <v>0</v>
      </c>
      <c r="I23" s="7">
        <v>45184</v>
      </c>
      <c r="J23" s="6" t="s">
        <v>62</v>
      </c>
      <c r="K23" s="6" t="s">
        <v>63</v>
      </c>
      <c r="L23" s="8">
        <v>60</v>
      </c>
      <c r="M23" s="11">
        <v>500000000</v>
      </c>
      <c r="N23" s="8">
        <v>9835441</v>
      </c>
      <c r="O23" s="8">
        <v>7</v>
      </c>
      <c r="P23" s="6" t="s">
        <v>24</v>
      </c>
      <c r="Q23" s="7">
        <v>45580</v>
      </c>
      <c r="R23" s="7">
        <v>47376</v>
      </c>
      <c r="S23" s="7"/>
      <c r="T23" s="6" t="s">
        <v>28</v>
      </c>
      <c r="U23" s="6" t="s">
        <v>141</v>
      </c>
      <c r="V23" s="14" cm="1">
        <f t="array" ref="V23">CalculerCommissionAnnuelle(M23,Q23,L23,1.7%,2024)</f>
        <v>8216666.666666667</v>
      </c>
      <c r="W23" s="14" cm="1">
        <f t="array" ref="W23">CalculerCommissionAnnuelle(M23,Q23,L23,1.7%,2023)</f>
        <v>0</v>
      </c>
      <c r="X23" s="14" cm="1">
        <f t="array" ref="X23">CalculerCommissionAnnuelle(M23,Q23,L23,1.7%,2022)</f>
        <v>0</v>
      </c>
      <c r="Y23" s="14" cm="1">
        <f t="array" ref="Y23">CalculerCommissionAnnuelle(M23,Q23,L23,1.7%,2021)</f>
        <v>0</v>
      </c>
      <c r="Z23" s="19" t="str">
        <f t="shared" si="0"/>
        <v>GI</v>
      </c>
    </row>
    <row r="24" spans="1:26" s="1" customFormat="1" ht="18.149999999999999" customHeight="1" x14ac:dyDescent="0.25">
      <c r="A24" s="3" t="s">
        <v>330</v>
      </c>
      <c r="B24" s="3" t="s">
        <v>366</v>
      </c>
      <c r="C24" s="3" t="s">
        <v>367</v>
      </c>
      <c r="D24" s="3" t="s">
        <v>21</v>
      </c>
      <c r="E24" s="4"/>
      <c r="F24" s="3" t="s">
        <v>368</v>
      </c>
      <c r="G24" s="3" t="s">
        <v>369</v>
      </c>
      <c r="H24" s="5">
        <v>0</v>
      </c>
      <c r="I24" s="16">
        <v>44553</v>
      </c>
      <c r="J24" s="3" t="s">
        <v>29</v>
      </c>
      <c r="K24" s="3" t="s">
        <v>30</v>
      </c>
      <c r="L24" s="5">
        <v>60</v>
      </c>
      <c r="M24" s="10">
        <v>500000000</v>
      </c>
      <c r="N24" s="5">
        <v>10043941</v>
      </c>
      <c r="O24" s="5">
        <v>6.5</v>
      </c>
      <c r="P24" s="3" t="s">
        <v>24</v>
      </c>
      <c r="Q24" s="4">
        <v>44584</v>
      </c>
      <c r="R24" s="4">
        <v>46379</v>
      </c>
      <c r="S24" s="4"/>
      <c r="T24" s="3" t="s">
        <v>28</v>
      </c>
      <c r="U24" s="3" t="s">
        <v>47</v>
      </c>
      <c r="V24" s="14" cm="1">
        <f t="array" ref="V24">CalculerCommissionAnnuelle(M24,Q24,L24,1.7%,2024)</f>
        <v>7933333.333333334</v>
      </c>
      <c r="W24" s="14" cm="1">
        <f t="array" ref="W24">CalculerCommissionAnnuelle(M24,Q24,L24,1.7%,2023)</f>
        <v>11333333.333333334</v>
      </c>
      <c r="X24" s="14" cm="1">
        <f t="array" ref="X24">CalculerCommissionAnnuelle(M24,Q24,L24,1.7%,2022)</f>
        <v>14733333.333333334</v>
      </c>
      <c r="Y24" s="14" cm="1">
        <f t="array" ref="Y24">CalculerCommissionAnnuelle(M24,Q24,L24,1.7%,2021)</f>
        <v>0</v>
      </c>
      <c r="Z24" s="19" t="str">
        <f t="shared" si="0"/>
        <v>GI</v>
      </c>
    </row>
    <row r="25" spans="1:26" s="1" customFormat="1" ht="18.149999999999999" customHeight="1" x14ac:dyDescent="0.25">
      <c r="A25" s="3" t="s">
        <v>407</v>
      </c>
      <c r="B25" s="3" t="s">
        <v>450</v>
      </c>
      <c r="C25" s="3" t="s">
        <v>451</v>
      </c>
      <c r="D25" s="3" t="s">
        <v>21</v>
      </c>
      <c r="E25" s="4"/>
      <c r="F25" s="3" t="s">
        <v>452</v>
      </c>
      <c r="G25" s="3" t="s">
        <v>453</v>
      </c>
      <c r="H25" s="5">
        <v>0</v>
      </c>
      <c r="I25" s="16">
        <v>44925</v>
      </c>
      <c r="J25" s="3" t="s">
        <v>59</v>
      </c>
      <c r="K25" s="3" t="s">
        <v>60</v>
      </c>
      <c r="L25" s="5">
        <v>48</v>
      </c>
      <c r="M25" s="10">
        <v>400000000</v>
      </c>
      <c r="N25" s="5">
        <v>9911337</v>
      </c>
      <c r="O25" s="5">
        <v>7.5</v>
      </c>
      <c r="P25" s="3" t="s">
        <v>24</v>
      </c>
      <c r="Q25" s="4">
        <v>44956</v>
      </c>
      <c r="R25" s="4">
        <v>46386</v>
      </c>
      <c r="S25" s="4"/>
      <c r="T25" s="3" t="s">
        <v>28</v>
      </c>
      <c r="U25" s="3" t="s">
        <v>72</v>
      </c>
      <c r="V25" s="14" cm="1">
        <f t="array" ref="V25">CalculerCommissionAnnuelle(M25,Q25,L25,1.7%,2024)</f>
        <v>7933333.333333334</v>
      </c>
      <c r="W25" s="14" cm="1">
        <f t="array" ref="W25">CalculerCommissionAnnuelle(M25,Q25,L25,1.7%,2023)</f>
        <v>11333333.333333334</v>
      </c>
      <c r="X25" s="14" cm="1">
        <f t="array" ref="X25">CalculerCommissionAnnuelle(M25,Q25,L25,1.7%,2022)</f>
        <v>0</v>
      </c>
      <c r="Y25" s="14" cm="1">
        <f t="array" ref="Y25">CalculerCommissionAnnuelle(M25,Q25,L25,1.7%,2021)</f>
        <v>0</v>
      </c>
      <c r="Z25" s="19" t="str">
        <f t="shared" si="0"/>
        <v>GI</v>
      </c>
    </row>
    <row r="26" spans="1:26" s="1" customFormat="1" ht="18.149999999999999" customHeight="1" x14ac:dyDescent="0.25">
      <c r="A26" s="3" t="s">
        <v>750</v>
      </c>
      <c r="B26" s="3" t="s">
        <v>773</v>
      </c>
      <c r="C26" s="3" t="s">
        <v>774</v>
      </c>
      <c r="D26" s="3" t="s">
        <v>21</v>
      </c>
      <c r="E26" s="4"/>
      <c r="F26" s="3" t="s">
        <v>775</v>
      </c>
      <c r="G26" s="3" t="s">
        <v>776</v>
      </c>
      <c r="H26" s="5">
        <v>0</v>
      </c>
      <c r="I26" s="16">
        <v>44742</v>
      </c>
      <c r="J26" s="3" t="s">
        <v>29</v>
      </c>
      <c r="K26" s="3" t="s">
        <v>30</v>
      </c>
      <c r="L26" s="5">
        <v>48</v>
      </c>
      <c r="M26" s="10">
        <v>500000000</v>
      </c>
      <c r="N26" s="5">
        <v>0</v>
      </c>
      <c r="O26" s="5">
        <v>6.25</v>
      </c>
      <c r="P26" s="3" t="s">
        <v>24</v>
      </c>
      <c r="Q26" s="4">
        <v>44772</v>
      </c>
      <c r="R26" s="4">
        <v>46203</v>
      </c>
      <c r="S26" s="4"/>
      <c r="T26" s="3" t="s">
        <v>28</v>
      </c>
      <c r="U26" s="3" t="s">
        <v>49</v>
      </c>
      <c r="V26" s="14" cm="1">
        <f t="array" ref="V26">CalculerCommissionAnnuelle(M26,Q26,L26,1.7%,2024)</f>
        <v>7791666.666666667</v>
      </c>
      <c r="W26" s="14" cm="1">
        <f t="array" ref="W26">CalculerCommissionAnnuelle(M26,Q26,L26,1.7%,2023)</f>
        <v>12041666.666666668</v>
      </c>
      <c r="X26" s="14" cm="1">
        <f t="array" ref="X26">CalculerCommissionAnnuelle(M26,Q26,L26,1.7%,2022)</f>
        <v>7614583.333333334</v>
      </c>
      <c r="Y26" s="14" cm="1">
        <f t="array" ref="Y26">CalculerCommissionAnnuelle(M26,Q26,L26,1.7%,2021)</f>
        <v>0</v>
      </c>
      <c r="Z26" s="19" t="str">
        <f t="shared" si="0"/>
        <v>GI</v>
      </c>
    </row>
    <row r="27" spans="1:26" s="1" customFormat="1" ht="18.149999999999999" customHeight="1" x14ac:dyDescent="0.25">
      <c r="A27" s="3" t="s">
        <v>656</v>
      </c>
      <c r="B27" s="3" t="s">
        <v>667</v>
      </c>
      <c r="C27" s="3" t="s">
        <v>668</v>
      </c>
      <c r="D27" s="3" t="s">
        <v>21</v>
      </c>
      <c r="E27" s="4"/>
      <c r="F27" s="3" t="s">
        <v>669</v>
      </c>
      <c r="G27" s="3" t="s">
        <v>670</v>
      </c>
      <c r="H27" s="5">
        <v>0</v>
      </c>
      <c r="I27" s="16">
        <v>44456</v>
      </c>
      <c r="J27" s="3" t="s">
        <v>62</v>
      </c>
      <c r="K27" s="3" t="s">
        <v>63</v>
      </c>
      <c r="L27" s="5">
        <v>60</v>
      </c>
      <c r="M27" s="10">
        <v>475000000</v>
      </c>
      <c r="N27" s="5">
        <v>9674537</v>
      </c>
      <c r="O27" s="5">
        <v>7</v>
      </c>
      <c r="P27" s="3" t="s">
        <v>24</v>
      </c>
      <c r="Q27" s="4">
        <v>44578</v>
      </c>
      <c r="R27" s="4">
        <v>46373</v>
      </c>
      <c r="S27" s="4"/>
      <c r="T27" s="3" t="s">
        <v>28</v>
      </c>
      <c r="U27" s="3" t="s">
        <v>141</v>
      </c>
      <c r="V27" s="14" cm="1">
        <f t="array" ref="V27">CalculerCommissionAnnuelle(M27,Q27,L27,1.7%,2024)</f>
        <v>7536666.666666667</v>
      </c>
      <c r="W27" s="14" cm="1">
        <f t="array" ref="W27">CalculerCommissionAnnuelle(M27,Q27,L27,1.7%,2023)</f>
        <v>10766666.666666668</v>
      </c>
      <c r="X27" s="14" cm="1">
        <f t="array" ref="X27">CalculerCommissionAnnuelle(M27,Q27,L27,1.7%,2022)</f>
        <v>13996666.666666668</v>
      </c>
      <c r="Y27" s="14" cm="1">
        <f t="array" ref="Y27">CalculerCommissionAnnuelle(M27,Q27,L27,1.7%,2021)</f>
        <v>0</v>
      </c>
      <c r="Z27" s="19" t="str">
        <f t="shared" si="0"/>
        <v>GI</v>
      </c>
    </row>
    <row r="28" spans="1:26" s="1" customFormat="1" ht="18.149999999999999" customHeight="1" x14ac:dyDescent="0.25">
      <c r="A28" s="6" t="s">
        <v>330</v>
      </c>
      <c r="B28" s="6" t="s">
        <v>351</v>
      </c>
      <c r="C28" s="6" t="s">
        <v>352</v>
      </c>
      <c r="D28" s="6" t="s">
        <v>21</v>
      </c>
      <c r="E28" s="7"/>
      <c r="F28" s="6" t="s">
        <v>353</v>
      </c>
      <c r="G28" s="6" t="s">
        <v>354</v>
      </c>
      <c r="H28" s="8">
        <v>0</v>
      </c>
      <c r="I28" s="16">
        <v>44323</v>
      </c>
      <c r="J28" s="6" t="s">
        <v>29</v>
      </c>
      <c r="K28" s="6" t="s">
        <v>30</v>
      </c>
      <c r="L28" s="8">
        <v>60</v>
      </c>
      <c r="M28" s="11">
        <v>600000000</v>
      </c>
      <c r="N28" s="8">
        <v>12560106</v>
      </c>
      <c r="O28" s="8">
        <v>8</v>
      </c>
      <c r="P28" s="6" t="s">
        <v>24</v>
      </c>
      <c r="Q28" s="7">
        <v>44354</v>
      </c>
      <c r="R28" s="7">
        <v>46149</v>
      </c>
      <c r="S28" s="7"/>
      <c r="T28" s="6" t="s">
        <v>28</v>
      </c>
      <c r="U28" s="6" t="s">
        <v>72</v>
      </c>
      <c r="V28" s="14" cm="1">
        <f t="array" ref="V28">CalculerCommissionAnnuelle(M28,Q28,L28,1.7%,2024)</f>
        <v>7140000.0000000009</v>
      </c>
      <c r="W28" s="14" cm="1">
        <f t="array" ref="W28">CalculerCommissionAnnuelle(M28,Q28,L28,1.7%,2023)</f>
        <v>11220000</v>
      </c>
      <c r="X28" s="14" cm="1">
        <f t="array" ref="X28">CalculerCommissionAnnuelle(M28,Q28,L28,1.7%,2022)</f>
        <v>15300000.000000002</v>
      </c>
      <c r="Y28" s="14" cm="1">
        <f t="array" ref="Y28">CalculerCommissionAnnuelle(M28,Q28,L28,1.7%,2021)</f>
        <v>19380000</v>
      </c>
      <c r="Z28" s="19" t="str">
        <f t="shared" si="0"/>
        <v>GI</v>
      </c>
    </row>
    <row r="29" spans="1:26" s="1" customFormat="1" ht="18" customHeight="1" x14ac:dyDescent="0.25">
      <c r="A29" s="3" t="s">
        <v>796</v>
      </c>
      <c r="B29" s="3" t="s">
        <v>809</v>
      </c>
      <c r="C29" s="3" t="s">
        <v>810</v>
      </c>
      <c r="D29" s="3" t="s">
        <v>21</v>
      </c>
      <c r="E29" s="4">
        <v>25533</v>
      </c>
      <c r="F29" s="3" t="s">
        <v>811</v>
      </c>
      <c r="G29" s="3" t="s">
        <v>812</v>
      </c>
      <c r="H29" s="5">
        <v>0</v>
      </c>
      <c r="I29" s="4">
        <v>45253</v>
      </c>
      <c r="J29" s="3" t="s">
        <v>62</v>
      </c>
      <c r="K29" s="3" t="s">
        <v>63</v>
      </c>
      <c r="L29" s="5">
        <v>120</v>
      </c>
      <c r="M29" s="10">
        <v>396000000</v>
      </c>
      <c r="N29" s="5">
        <v>4458400</v>
      </c>
      <c r="O29" s="5">
        <v>9</v>
      </c>
      <c r="P29" s="3" t="s">
        <v>24</v>
      </c>
      <c r="Q29" s="4">
        <v>45649</v>
      </c>
      <c r="R29" s="4">
        <v>49271</v>
      </c>
      <c r="S29" s="4"/>
      <c r="T29" s="3" t="s">
        <v>28</v>
      </c>
      <c r="U29" s="3" t="s">
        <v>641</v>
      </c>
      <c r="V29" s="14" cm="1">
        <f t="array" ref="V29">CalculerCommissionAnnuelle(M29,Q29,L29,1.7%,2024)</f>
        <v>6732000.0000000009</v>
      </c>
      <c r="W29" s="14" cm="1">
        <f t="array" ref="W29">CalculerCommissionAnnuelle(M29,Q29,L29,1.7%,2023)</f>
        <v>0</v>
      </c>
      <c r="X29" s="14" cm="1">
        <f t="array" ref="X29">CalculerCommissionAnnuelle(M29,Q29,L29,1.7%,2022)</f>
        <v>0</v>
      </c>
      <c r="Y29" s="14" cm="1">
        <f t="array" ref="Y29">CalculerCommissionAnnuelle(M29,Q29,L29,1.7%,2021)</f>
        <v>0</v>
      </c>
      <c r="Z29" s="19" t="str">
        <f t="shared" si="0"/>
        <v>GI</v>
      </c>
    </row>
    <row r="30" spans="1:26" s="1" customFormat="1" ht="18.149999999999999" customHeight="1" x14ac:dyDescent="0.25">
      <c r="A30" s="6" t="s">
        <v>330</v>
      </c>
      <c r="B30" s="6" t="s">
        <v>351</v>
      </c>
      <c r="C30" s="6" t="s">
        <v>352</v>
      </c>
      <c r="D30" s="6" t="s">
        <v>21</v>
      </c>
      <c r="E30" s="7"/>
      <c r="F30" s="6" t="s">
        <v>353</v>
      </c>
      <c r="G30" s="6" t="s">
        <v>356</v>
      </c>
      <c r="H30" s="8">
        <v>0</v>
      </c>
      <c r="I30" s="16">
        <v>45069</v>
      </c>
      <c r="J30" s="6" t="s">
        <v>29</v>
      </c>
      <c r="K30" s="6" t="s">
        <v>30</v>
      </c>
      <c r="L30" s="8">
        <v>60</v>
      </c>
      <c r="M30" s="11">
        <v>250000000</v>
      </c>
      <c r="N30" s="8">
        <v>5162332</v>
      </c>
      <c r="O30" s="8">
        <v>7.5</v>
      </c>
      <c r="P30" s="6" t="s">
        <v>24</v>
      </c>
      <c r="Q30" s="7">
        <v>45100</v>
      </c>
      <c r="R30" s="7">
        <v>46896</v>
      </c>
      <c r="S30" s="7"/>
      <c r="T30" s="6" t="s">
        <v>28</v>
      </c>
      <c r="U30" s="6" t="s">
        <v>72</v>
      </c>
      <c r="V30" s="14" cm="1">
        <f t="array" ref="V30">CalculerCommissionAnnuelle(M30,Q30,L30,1.7%,2024)</f>
        <v>6375000</v>
      </c>
      <c r="W30" s="14" cm="1">
        <f t="array" ref="W30">CalculerCommissionAnnuelle(M30,Q30,L30,1.7%,2023)</f>
        <v>8075000.0000000009</v>
      </c>
      <c r="X30" s="14" cm="1">
        <f t="array" ref="X30">CalculerCommissionAnnuelle(M30,Q30,L30,1.7%,2022)</f>
        <v>0</v>
      </c>
      <c r="Y30" s="14" cm="1">
        <f t="array" ref="Y30">CalculerCommissionAnnuelle(M30,Q30,L30,1.7%,2021)</f>
        <v>0</v>
      </c>
      <c r="Z30" s="19" t="str">
        <f t="shared" si="0"/>
        <v>GI</v>
      </c>
    </row>
    <row r="31" spans="1:26" s="1" customFormat="1" ht="18.149999999999999" customHeight="1" x14ac:dyDescent="0.25">
      <c r="A31" s="6" t="s">
        <v>656</v>
      </c>
      <c r="B31" s="6" t="s">
        <v>31</v>
      </c>
      <c r="C31" s="6" t="s">
        <v>32</v>
      </c>
      <c r="D31" s="6" t="s">
        <v>21</v>
      </c>
      <c r="E31" s="7"/>
      <c r="F31" s="6" t="s">
        <v>661</v>
      </c>
      <c r="G31" s="6" t="s">
        <v>662</v>
      </c>
      <c r="H31" s="8">
        <v>0</v>
      </c>
      <c r="I31" s="16">
        <v>44978</v>
      </c>
      <c r="J31" s="6" t="s">
        <v>29</v>
      </c>
      <c r="K31" s="6" t="s">
        <v>30</v>
      </c>
      <c r="L31" s="8">
        <v>48</v>
      </c>
      <c r="M31" s="11">
        <v>300000000</v>
      </c>
      <c r="N31" s="8">
        <v>7433503</v>
      </c>
      <c r="O31" s="8">
        <v>7.5</v>
      </c>
      <c r="P31" s="6" t="s">
        <v>24</v>
      </c>
      <c r="Q31" s="7">
        <v>45006</v>
      </c>
      <c r="R31" s="7">
        <v>46439</v>
      </c>
      <c r="S31" s="7"/>
      <c r="T31" s="6" t="s">
        <v>28</v>
      </c>
      <c r="U31" s="6" t="s">
        <v>34</v>
      </c>
      <c r="V31" s="14" cm="1">
        <f t="array" ref="V31">CalculerCommissionAnnuelle(M31,Q31,L31,1.7%,2024)</f>
        <v>6375000</v>
      </c>
      <c r="W31" s="14" cm="1">
        <f t="array" ref="W31">CalculerCommissionAnnuelle(M31,Q31,L31,1.7%,2023)</f>
        <v>8925000</v>
      </c>
      <c r="X31" s="14" cm="1">
        <f t="array" ref="X31">CalculerCommissionAnnuelle(M31,Q31,L31,1.7%,2022)</f>
        <v>0</v>
      </c>
      <c r="Y31" s="14" cm="1">
        <f t="array" ref="Y31">CalculerCommissionAnnuelle(M31,Q31,L31,1.7%,2021)</f>
        <v>0</v>
      </c>
      <c r="Z31" s="19" t="str">
        <f t="shared" si="0"/>
        <v>GI</v>
      </c>
    </row>
    <row r="32" spans="1:26" s="1" customFormat="1" ht="18.149999999999999" customHeight="1" x14ac:dyDescent="0.25">
      <c r="A32" s="3" t="s">
        <v>330</v>
      </c>
      <c r="B32" s="3" t="s">
        <v>347</v>
      </c>
      <c r="C32" s="3" t="s">
        <v>348</v>
      </c>
      <c r="D32" s="3" t="s">
        <v>21</v>
      </c>
      <c r="E32" s="4"/>
      <c r="F32" s="3" t="s">
        <v>349</v>
      </c>
      <c r="G32" s="3" t="s">
        <v>350</v>
      </c>
      <c r="H32" s="5">
        <v>0</v>
      </c>
      <c r="I32" s="16">
        <v>44328</v>
      </c>
      <c r="J32" s="3" t="s">
        <v>29</v>
      </c>
      <c r="K32" s="3" t="s">
        <v>30</v>
      </c>
      <c r="L32" s="5">
        <v>72</v>
      </c>
      <c r="M32" s="10">
        <v>300000000</v>
      </c>
      <c r="N32" s="5">
        <v>5461418</v>
      </c>
      <c r="O32" s="5">
        <v>8</v>
      </c>
      <c r="P32" s="3" t="s">
        <v>24</v>
      </c>
      <c r="Q32" s="4">
        <v>44724</v>
      </c>
      <c r="R32" s="4">
        <v>46885</v>
      </c>
      <c r="S32" s="4"/>
      <c r="T32" s="3" t="s">
        <v>28</v>
      </c>
      <c r="U32" s="3" t="s">
        <v>47</v>
      </c>
      <c r="V32" s="14" cm="1">
        <f t="array" ref="V32">CalculerCommissionAnnuelle(M32,Q32,L32,1.7%,2024)</f>
        <v>6375000</v>
      </c>
      <c r="W32" s="14" cm="1">
        <f t="array" ref="W32">CalculerCommissionAnnuelle(M32,Q32,L32,1.7%,2023)</f>
        <v>8075000.0000000009</v>
      </c>
      <c r="X32" s="14" cm="1">
        <f t="array" ref="X32">CalculerCommissionAnnuelle(M32,Q32,L32,1.7%,2022)</f>
        <v>9775000</v>
      </c>
      <c r="Y32" s="14" cm="1">
        <f t="array" ref="Y32">CalculerCommissionAnnuelle(M32,Q32,L32,1.7%,2021)</f>
        <v>0</v>
      </c>
      <c r="Z32" s="19" t="str">
        <f t="shared" si="0"/>
        <v>GI</v>
      </c>
    </row>
    <row r="33" spans="1:26" s="1" customFormat="1" ht="16.75" customHeight="1" x14ac:dyDescent="0.25">
      <c r="A33" s="6" t="s">
        <v>407</v>
      </c>
      <c r="B33" s="6" t="s">
        <v>473</v>
      </c>
      <c r="C33" s="6" t="s">
        <v>474</v>
      </c>
      <c r="D33" s="6" t="s">
        <v>21</v>
      </c>
      <c r="E33" s="7"/>
      <c r="F33" s="6" t="s">
        <v>475</v>
      </c>
      <c r="G33" s="6" t="s">
        <v>476</v>
      </c>
      <c r="H33" s="8">
        <v>0</v>
      </c>
      <c r="I33" s="16">
        <v>44375</v>
      </c>
      <c r="J33" s="6" t="s">
        <v>62</v>
      </c>
      <c r="K33" s="6" t="s">
        <v>63</v>
      </c>
      <c r="L33" s="8">
        <v>114</v>
      </c>
      <c r="M33" s="11">
        <v>260000000</v>
      </c>
      <c r="N33" s="8">
        <v>3575752</v>
      </c>
      <c r="O33" s="8">
        <v>8.75</v>
      </c>
      <c r="P33" s="6" t="s">
        <v>24</v>
      </c>
      <c r="Q33" s="7">
        <v>44436</v>
      </c>
      <c r="R33" s="7">
        <v>47876</v>
      </c>
      <c r="S33" s="7"/>
      <c r="T33" s="6" t="s">
        <v>28</v>
      </c>
      <c r="U33" s="6" t="s">
        <v>256</v>
      </c>
      <c r="V33" s="14" cm="1">
        <f t="array" ref="V33">CalculerCommissionAnnuelle(M33,Q33,L33,1.7%,2024)</f>
        <v>5970877.1929824566</v>
      </c>
      <c r="W33" s="14" cm="1">
        <f t="array" ref="W33">CalculerCommissionAnnuelle(M33,Q33,L33,1.7%,2023)</f>
        <v>6901403.5087719308</v>
      </c>
      <c r="X33" s="14" cm="1">
        <f t="array" ref="X33">CalculerCommissionAnnuelle(M33,Q33,L33,1.7%,2022)</f>
        <v>7831929.8245614041</v>
      </c>
      <c r="Y33" s="14" cm="1">
        <f t="array" ref="Y33">CalculerCommissionAnnuelle(M33,Q33,L33,1.7%,2021)</f>
        <v>4264912.2807017546</v>
      </c>
      <c r="Z33" s="19" t="str">
        <f t="shared" si="0"/>
        <v>GI</v>
      </c>
    </row>
    <row r="34" spans="1:26" s="1" customFormat="1" ht="18.149999999999999" customHeight="1" x14ac:dyDescent="0.25">
      <c r="A34" s="6" t="s">
        <v>528</v>
      </c>
      <c r="B34" s="6" t="s">
        <v>549</v>
      </c>
      <c r="C34" s="6" t="s">
        <v>550</v>
      </c>
      <c r="D34" s="6" t="s">
        <v>21</v>
      </c>
      <c r="E34" s="7"/>
      <c r="F34" s="6" t="s">
        <v>551</v>
      </c>
      <c r="G34" s="6" t="s">
        <v>552</v>
      </c>
      <c r="H34" s="8">
        <v>0</v>
      </c>
      <c r="I34" s="16">
        <v>45183</v>
      </c>
      <c r="J34" s="6" t="s">
        <v>62</v>
      </c>
      <c r="K34" s="6" t="s">
        <v>63</v>
      </c>
      <c r="L34" s="8">
        <v>84</v>
      </c>
      <c r="M34" s="11">
        <v>200000000</v>
      </c>
      <c r="N34" s="8">
        <v>3254475</v>
      </c>
      <c r="O34" s="8">
        <v>8</v>
      </c>
      <c r="P34" s="6" t="s">
        <v>24</v>
      </c>
      <c r="Q34" s="7">
        <v>45213</v>
      </c>
      <c r="R34" s="7">
        <v>47740</v>
      </c>
      <c r="S34" s="7"/>
      <c r="T34" s="6" t="s">
        <v>28</v>
      </c>
      <c r="U34" s="6" t="s">
        <v>498</v>
      </c>
      <c r="V34" s="14" cm="1">
        <f t="array" ref="V34">CalculerCommissionAnnuelle(M34,Q34,L34,1.7%,2024)</f>
        <v>5909523.8095238097</v>
      </c>
      <c r="W34" s="14" cm="1">
        <f t="array" ref="W34">CalculerCommissionAnnuelle(M34,Q34,L34,1.7%,2023)</f>
        <v>3319047.6190476189</v>
      </c>
      <c r="X34" s="14" cm="1">
        <f t="array" ref="X34">CalculerCommissionAnnuelle(M34,Q34,L34,1.7%,2022)</f>
        <v>0</v>
      </c>
      <c r="Y34" s="14" cm="1">
        <f t="array" ref="Y34">CalculerCommissionAnnuelle(M34,Q34,L34,1.7%,2021)</f>
        <v>0</v>
      </c>
      <c r="Z34" s="19" t="str">
        <f t="shared" si="0"/>
        <v>GP</v>
      </c>
    </row>
    <row r="35" spans="1:26" s="1" customFormat="1" ht="18.149999999999999" customHeight="1" x14ac:dyDescent="0.25">
      <c r="A35" s="3" t="s">
        <v>257</v>
      </c>
      <c r="B35" s="3" t="s">
        <v>275</v>
      </c>
      <c r="C35" s="3" t="s">
        <v>276</v>
      </c>
      <c r="D35" s="3" t="s">
        <v>21</v>
      </c>
      <c r="E35" s="4"/>
      <c r="F35" s="3" t="s">
        <v>277</v>
      </c>
      <c r="G35" s="3" t="s">
        <v>278</v>
      </c>
      <c r="H35" s="5">
        <v>0</v>
      </c>
      <c r="I35" s="16">
        <v>44575</v>
      </c>
      <c r="J35" s="3" t="s">
        <v>29</v>
      </c>
      <c r="K35" s="3" t="s">
        <v>30</v>
      </c>
      <c r="L35" s="5">
        <v>41</v>
      </c>
      <c r="M35" s="10">
        <v>700000000</v>
      </c>
      <c r="N35" s="5">
        <v>19918110</v>
      </c>
      <c r="O35" s="5">
        <v>7.75</v>
      </c>
      <c r="P35" s="3" t="s">
        <v>24</v>
      </c>
      <c r="Q35" s="4">
        <v>44606</v>
      </c>
      <c r="R35" s="4">
        <v>45822</v>
      </c>
      <c r="S35" s="4">
        <v>44575</v>
      </c>
      <c r="T35" s="3" t="s">
        <v>25</v>
      </c>
      <c r="U35" s="3" t="s">
        <v>279</v>
      </c>
      <c r="V35" s="14" cm="1">
        <f t="array" ref="V35">CalculerCommissionAnnuelle(M35,Q35,L35,1.7%,2024)</f>
        <v>5804878.0487804879</v>
      </c>
      <c r="W35" s="14" cm="1">
        <f t="array" ref="W35">CalculerCommissionAnnuelle(M35,Q35,L35,1.7%,2023)</f>
        <v>12770731.707317075</v>
      </c>
      <c r="X35" s="14" cm="1">
        <f t="array" ref="X35">CalculerCommissionAnnuelle(M35,Q35,L35,1.7%,2022)</f>
        <v>19736585.36585366</v>
      </c>
      <c r="Y35" s="14" cm="1">
        <f t="array" ref="Y35">CalculerCommissionAnnuelle(M35,Q35,L35,1.7%,2021)</f>
        <v>0</v>
      </c>
      <c r="Z35" s="19" t="str">
        <f t="shared" si="0"/>
        <v>GI</v>
      </c>
    </row>
    <row r="36" spans="1:26" s="1" customFormat="1" ht="18.149999999999999" customHeight="1" x14ac:dyDescent="0.25">
      <c r="A36" s="6" t="s">
        <v>26</v>
      </c>
      <c r="B36" s="6" t="s">
        <v>183</v>
      </c>
      <c r="C36" s="6" t="s">
        <v>184</v>
      </c>
      <c r="D36" s="6" t="s">
        <v>21</v>
      </c>
      <c r="E36" s="7"/>
      <c r="F36" s="6" t="s">
        <v>185</v>
      </c>
      <c r="G36" s="6" t="s">
        <v>186</v>
      </c>
      <c r="H36" s="8">
        <v>0</v>
      </c>
      <c r="I36" s="16">
        <v>44316</v>
      </c>
      <c r="J36" s="6" t="s">
        <v>62</v>
      </c>
      <c r="K36" s="6" t="s">
        <v>63</v>
      </c>
      <c r="L36" s="8">
        <v>60</v>
      </c>
      <c r="M36" s="11">
        <v>465000000</v>
      </c>
      <c r="N36" s="8">
        <v>9734082</v>
      </c>
      <c r="O36" s="8">
        <v>8</v>
      </c>
      <c r="P36" s="6" t="s">
        <v>24</v>
      </c>
      <c r="Q36" s="7">
        <v>44346</v>
      </c>
      <c r="R36" s="7">
        <v>46142</v>
      </c>
      <c r="S36" s="7"/>
      <c r="T36" s="6" t="s">
        <v>28</v>
      </c>
      <c r="U36" s="6" t="s">
        <v>141</v>
      </c>
      <c r="V36" s="14" cm="1">
        <f t="array" ref="V36">CalculerCommissionAnnuelle(M36,Q36,L36,1.7%,2024)</f>
        <v>5270000</v>
      </c>
      <c r="W36" s="14" cm="1">
        <f t="array" ref="W36">CalculerCommissionAnnuelle(M36,Q36,L36,1.7%,2023)</f>
        <v>8432000</v>
      </c>
      <c r="X36" s="14" cm="1">
        <f t="array" ref="X36">CalculerCommissionAnnuelle(M36,Q36,L36,1.7%,2022)</f>
        <v>11594000</v>
      </c>
      <c r="Y36" s="14" cm="1">
        <f t="array" ref="Y36">CalculerCommissionAnnuelle(M36,Q36,L36,1.7%,2021)</f>
        <v>14756000.000000002</v>
      </c>
      <c r="Z36" s="19" t="str">
        <f t="shared" si="0"/>
        <v>GI</v>
      </c>
    </row>
    <row r="37" spans="1:26" s="1" customFormat="1" ht="18.149999999999999" customHeight="1" x14ac:dyDescent="0.25">
      <c r="A37" s="3" t="s">
        <v>330</v>
      </c>
      <c r="B37" s="3" t="s">
        <v>366</v>
      </c>
      <c r="C37" s="3" t="s">
        <v>367</v>
      </c>
      <c r="D37" s="3" t="s">
        <v>21</v>
      </c>
      <c r="E37" s="4"/>
      <c r="F37" s="3" t="s">
        <v>368</v>
      </c>
      <c r="G37" s="3" t="s">
        <v>371</v>
      </c>
      <c r="H37" s="5">
        <v>0</v>
      </c>
      <c r="I37" s="16">
        <v>45041</v>
      </c>
      <c r="J37" s="3" t="s">
        <v>29</v>
      </c>
      <c r="K37" s="3" t="s">
        <v>30</v>
      </c>
      <c r="L37" s="5">
        <v>48</v>
      </c>
      <c r="M37" s="10">
        <v>200000000</v>
      </c>
      <c r="N37" s="5">
        <v>4900441</v>
      </c>
      <c r="O37" s="5">
        <v>7</v>
      </c>
      <c r="P37" s="3" t="s">
        <v>24</v>
      </c>
      <c r="Q37" s="4">
        <v>45071</v>
      </c>
      <c r="R37" s="4">
        <v>46502</v>
      </c>
      <c r="S37" s="4"/>
      <c r="T37" s="3" t="s">
        <v>28</v>
      </c>
      <c r="U37" s="3" t="s">
        <v>47</v>
      </c>
      <c r="V37" s="14" cm="1">
        <f t="array" ref="V37">CalculerCommissionAnnuelle(M37,Q37,L37,1.7%,2024)</f>
        <v>4533333.333333334</v>
      </c>
      <c r="W37" s="14" cm="1">
        <f t="array" ref="W37">CalculerCommissionAnnuelle(M37,Q37,L37,1.7%,2023)</f>
        <v>6233333.333333334</v>
      </c>
      <c r="X37" s="14" cm="1">
        <f t="array" ref="X37">CalculerCommissionAnnuelle(M37,Q37,L37,1.7%,2022)</f>
        <v>0</v>
      </c>
      <c r="Y37" s="14" cm="1">
        <f t="array" ref="Y37">CalculerCommissionAnnuelle(M37,Q37,L37,1.7%,2021)</f>
        <v>0</v>
      </c>
      <c r="Z37" s="19" t="str">
        <f t="shared" si="0"/>
        <v>GP</v>
      </c>
    </row>
    <row r="38" spans="1:26" s="1" customFormat="1" ht="18.149999999999999" customHeight="1" x14ac:dyDescent="0.25">
      <c r="A38" s="6" t="s">
        <v>257</v>
      </c>
      <c r="B38" s="6" t="s">
        <v>275</v>
      </c>
      <c r="C38" s="6" t="s">
        <v>276</v>
      </c>
      <c r="D38" s="6" t="s">
        <v>21</v>
      </c>
      <c r="E38" s="7"/>
      <c r="F38" s="6" t="s">
        <v>277</v>
      </c>
      <c r="G38" s="6" t="s">
        <v>280</v>
      </c>
      <c r="H38" s="8">
        <v>0</v>
      </c>
      <c r="I38" s="16">
        <v>44902</v>
      </c>
      <c r="J38" s="6" t="s">
        <v>29</v>
      </c>
      <c r="K38" s="6" t="s">
        <v>30</v>
      </c>
      <c r="L38" s="8">
        <v>30</v>
      </c>
      <c r="M38" s="11">
        <v>400000000</v>
      </c>
      <c r="N38" s="8">
        <v>15005815</v>
      </c>
      <c r="O38" s="8">
        <v>8</v>
      </c>
      <c r="P38" s="6" t="s">
        <v>24</v>
      </c>
      <c r="Q38" s="7">
        <v>44933</v>
      </c>
      <c r="R38" s="7">
        <v>45815</v>
      </c>
      <c r="S38" s="7">
        <v>44902</v>
      </c>
      <c r="T38" s="6" t="s">
        <v>25</v>
      </c>
      <c r="U38" s="6" t="s">
        <v>279</v>
      </c>
      <c r="V38" s="14" cm="1">
        <f t="array" ref="V38">CalculerCommissionAnnuelle(M38,Q38,L38,1.7%,2024)</f>
        <v>4533333.333333334</v>
      </c>
      <c r="W38" s="14" cm="1">
        <f t="array" ref="W38">CalculerCommissionAnnuelle(M38,Q38,L38,1.7%,2023)</f>
        <v>9973333.333333334</v>
      </c>
      <c r="X38" s="14" cm="1">
        <f t="array" ref="X38">CalculerCommissionAnnuelle(M38,Q38,L38,1.7%,2022)</f>
        <v>0</v>
      </c>
      <c r="Y38" s="14" cm="1">
        <f t="array" ref="Y38">CalculerCommissionAnnuelle(M38,Q38,L38,1.7%,2021)</f>
        <v>0</v>
      </c>
      <c r="Z38" s="19" t="str">
        <f t="shared" si="0"/>
        <v>GI</v>
      </c>
    </row>
    <row r="39" spans="1:26" s="1" customFormat="1" ht="18.149999999999999" customHeight="1" x14ac:dyDescent="0.25">
      <c r="A39" s="3" t="s">
        <v>26</v>
      </c>
      <c r="B39" s="3" t="s">
        <v>162</v>
      </c>
      <c r="C39" s="3" t="s">
        <v>163</v>
      </c>
      <c r="D39" s="3" t="s">
        <v>21</v>
      </c>
      <c r="E39" s="4"/>
      <c r="F39" s="3" t="s">
        <v>164</v>
      </c>
      <c r="G39" s="3" t="s">
        <v>166</v>
      </c>
      <c r="H39" s="5">
        <v>0</v>
      </c>
      <c r="I39" s="16">
        <v>45071</v>
      </c>
      <c r="J39" s="3" t="s">
        <v>39</v>
      </c>
      <c r="K39" s="3" t="s">
        <v>40</v>
      </c>
      <c r="L39" s="5">
        <v>24</v>
      </c>
      <c r="M39" s="10">
        <v>350000000</v>
      </c>
      <c r="N39" s="5">
        <v>15859899</v>
      </c>
      <c r="O39" s="5">
        <v>7</v>
      </c>
      <c r="P39" s="3" t="s">
        <v>24</v>
      </c>
      <c r="Q39" s="4">
        <v>45102</v>
      </c>
      <c r="R39" s="4">
        <v>45802</v>
      </c>
      <c r="S39" s="4"/>
      <c r="T39" s="3" t="s">
        <v>28</v>
      </c>
      <c r="U39" s="3" t="s">
        <v>141</v>
      </c>
      <c r="V39" s="14" cm="1">
        <f t="array" ref="V39">CalculerCommissionAnnuelle(M39,Q39,L39,1.7%,2024)</f>
        <v>4462500</v>
      </c>
      <c r="W39" s="14" cm="1">
        <f t="array" ref="W39">CalculerCommissionAnnuelle(M39,Q39,L39,1.7%,2023)</f>
        <v>10412500</v>
      </c>
      <c r="X39" s="14" cm="1">
        <f t="array" ref="X39">CalculerCommissionAnnuelle(M39,Q39,L39,1.7%,2022)</f>
        <v>0</v>
      </c>
      <c r="Y39" s="14" cm="1">
        <f t="array" ref="Y39">CalculerCommissionAnnuelle(M39,Q39,L39,1.7%,2021)</f>
        <v>0</v>
      </c>
      <c r="Z39" s="19" t="str">
        <f t="shared" si="0"/>
        <v>GI</v>
      </c>
    </row>
    <row r="40" spans="1:26" s="1" customFormat="1" ht="18.149999999999999" customHeight="1" x14ac:dyDescent="0.25">
      <c r="A40" s="6" t="s">
        <v>702</v>
      </c>
      <c r="B40" s="6" t="s">
        <v>738</v>
      </c>
      <c r="C40" s="6" t="s">
        <v>739</v>
      </c>
      <c r="D40" s="6" t="s">
        <v>21</v>
      </c>
      <c r="E40" s="7"/>
      <c r="F40" s="6" t="s">
        <v>740</v>
      </c>
      <c r="G40" s="6" t="s">
        <v>741</v>
      </c>
      <c r="H40" s="8">
        <v>0</v>
      </c>
      <c r="I40" s="16">
        <v>44207</v>
      </c>
      <c r="J40" s="6" t="s">
        <v>62</v>
      </c>
      <c r="K40" s="6" t="s">
        <v>63</v>
      </c>
      <c r="L40" s="8">
        <v>120</v>
      </c>
      <c r="M40" s="11">
        <v>174000000</v>
      </c>
      <c r="N40" s="8">
        <v>2238202</v>
      </c>
      <c r="O40" s="8">
        <v>8</v>
      </c>
      <c r="P40" s="6" t="s">
        <v>24</v>
      </c>
      <c r="Q40" s="7">
        <v>44572</v>
      </c>
      <c r="R40" s="7">
        <v>48193</v>
      </c>
      <c r="S40" s="7"/>
      <c r="T40" s="6" t="s">
        <v>28</v>
      </c>
      <c r="U40" s="6" t="s">
        <v>707</v>
      </c>
      <c r="V40" s="14" cm="1">
        <f t="array" ref="V40">CalculerCommissionAnnuelle(M40,Q40,L40,1.7%,2024)</f>
        <v>4338400</v>
      </c>
      <c r="W40" s="14" cm="1">
        <f t="array" ref="W40">CalculerCommissionAnnuelle(M40,Q40,L40,1.7%,2023)</f>
        <v>4930000</v>
      </c>
      <c r="X40" s="14" cm="1">
        <f t="array" ref="X40">CalculerCommissionAnnuelle(M40,Q40,L40,1.7%,2022)</f>
        <v>5521600</v>
      </c>
      <c r="Y40" s="14" cm="1">
        <f t="array" ref="Y40">CalculerCommissionAnnuelle(M40,Q40,L40,1.7%,2021)</f>
        <v>0</v>
      </c>
      <c r="Z40" s="19" t="str">
        <f t="shared" si="0"/>
        <v>GP</v>
      </c>
    </row>
    <row r="41" spans="1:26" s="1" customFormat="1" ht="18.149999999999999" customHeight="1" x14ac:dyDescent="0.25">
      <c r="A41" s="3" t="s">
        <v>291</v>
      </c>
      <c r="B41" s="3" t="s">
        <v>292</v>
      </c>
      <c r="C41" s="3" t="s">
        <v>293</v>
      </c>
      <c r="D41" s="3" t="s">
        <v>21</v>
      </c>
      <c r="E41" s="4"/>
      <c r="F41" s="3" t="s">
        <v>294</v>
      </c>
      <c r="G41" s="3" t="s">
        <v>295</v>
      </c>
      <c r="H41" s="5">
        <v>0</v>
      </c>
      <c r="I41" s="16">
        <v>44593</v>
      </c>
      <c r="J41" s="3" t="s">
        <v>50</v>
      </c>
      <c r="K41" s="3" t="s">
        <v>51</v>
      </c>
      <c r="L41" s="5">
        <v>60</v>
      </c>
      <c r="M41" s="10">
        <v>245000000</v>
      </c>
      <c r="N41" s="5">
        <v>5212641</v>
      </c>
      <c r="O41" s="5">
        <v>8</v>
      </c>
      <c r="P41" s="3" t="s">
        <v>24</v>
      </c>
      <c r="Q41" s="4">
        <v>44621</v>
      </c>
      <c r="R41" s="4">
        <v>46419</v>
      </c>
      <c r="S41" s="4"/>
      <c r="T41" s="3" t="s">
        <v>28</v>
      </c>
      <c r="U41" s="3" t="s">
        <v>83</v>
      </c>
      <c r="V41" s="14" cm="1">
        <f t="array" ref="V41">CalculerCommissionAnnuelle(M41,Q41,L41,1.7%,2024)</f>
        <v>4165000.0000000005</v>
      </c>
      <c r="W41" s="14" cm="1">
        <f t="array" ref="W41">CalculerCommissionAnnuelle(M41,Q41,L41,1.7%,2023)</f>
        <v>5831000</v>
      </c>
      <c r="X41" s="14" cm="1">
        <f t="array" ref="X41">CalculerCommissionAnnuelle(M41,Q41,L41,1.7%,2022)</f>
        <v>7497000.0000000009</v>
      </c>
      <c r="Y41" s="14" cm="1">
        <f t="array" ref="Y41">CalculerCommissionAnnuelle(M41,Q41,L41,1.7%,2021)</f>
        <v>0</v>
      </c>
      <c r="Z41" s="19" t="str">
        <f t="shared" si="0"/>
        <v>GI</v>
      </c>
    </row>
    <row r="42" spans="1:26" s="1" customFormat="1" ht="18.149999999999999" customHeight="1" x14ac:dyDescent="0.25">
      <c r="A42" s="6" t="s">
        <v>26</v>
      </c>
      <c r="B42" s="6" t="s">
        <v>68</v>
      </c>
      <c r="C42" s="6" t="s">
        <v>69</v>
      </c>
      <c r="D42" s="6" t="s">
        <v>21</v>
      </c>
      <c r="E42" s="7"/>
      <c r="F42" s="6" t="s">
        <v>70</v>
      </c>
      <c r="G42" s="6" t="s">
        <v>71</v>
      </c>
      <c r="H42" s="8">
        <v>0</v>
      </c>
      <c r="I42" s="16">
        <v>44727</v>
      </c>
      <c r="J42" s="6" t="s">
        <v>29</v>
      </c>
      <c r="K42" s="6" t="s">
        <v>30</v>
      </c>
      <c r="L42" s="8">
        <v>60</v>
      </c>
      <c r="M42" s="11">
        <v>207000000</v>
      </c>
      <c r="N42" s="8">
        <v>4333237</v>
      </c>
      <c r="O42" s="8">
        <v>8</v>
      </c>
      <c r="P42" s="6" t="s">
        <v>24</v>
      </c>
      <c r="Q42" s="7">
        <v>44757</v>
      </c>
      <c r="R42" s="7">
        <v>46553</v>
      </c>
      <c r="S42" s="7"/>
      <c r="T42" s="6" t="s">
        <v>28</v>
      </c>
      <c r="U42" s="6" t="s">
        <v>72</v>
      </c>
      <c r="V42" s="14" cm="1">
        <f t="array" ref="V42">CalculerCommissionAnnuelle(M42,Q42,L42,1.7%,2024)</f>
        <v>3988200.0000000005</v>
      </c>
      <c r="W42" s="14" cm="1">
        <f t="array" ref="W42">CalculerCommissionAnnuelle(M42,Q42,L42,1.7%,2023)</f>
        <v>5395800</v>
      </c>
      <c r="X42" s="14" cm="1">
        <f t="array" ref="X42">CalculerCommissionAnnuelle(M42,Q42,L42,1.7%,2022)</f>
        <v>3225750</v>
      </c>
      <c r="Y42" s="14" cm="1">
        <f t="array" ref="Y42">CalculerCommissionAnnuelle(M42,Q42,L42,1.7%,2021)</f>
        <v>0</v>
      </c>
      <c r="Z42" s="19" t="str">
        <f t="shared" si="0"/>
        <v>GI</v>
      </c>
    </row>
    <row r="43" spans="1:26" s="1" customFormat="1" ht="18.149999999999999" customHeight="1" x14ac:dyDescent="0.25">
      <c r="A43" s="3" t="s">
        <v>257</v>
      </c>
      <c r="B43" s="3" t="s">
        <v>258</v>
      </c>
      <c r="C43" s="3" t="s">
        <v>259</v>
      </c>
      <c r="D43" s="3" t="s">
        <v>21</v>
      </c>
      <c r="E43" s="4"/>
      <c r="F43" s="3" t="s">
        <v>260</v>
      </c>
      <c r="G43" s="3" t="s">
        <v>261</v>
      </c>
      <c r="H43" s="5">
        <v>0</v>
      </c>
      <c r="I43" s="4">
        <v>45289</v>
      </c>
      <c r="J43" s="3" t="s">
        <v>59</v>
      </c>
      <c r="K43" s="3" t="s">
        <v>60</v>
      </c>
      <c r="L43" s="5">
        <v>36</v>
      </c>
      <c r="M43" s="10">
        <v>150000000</v>
      </c>
      <c r="N43" s="5">
        <v>4959845</v>
      </c>
      <c r="O43" s="5">
        <v>9.99</v>
      </c>
      <c r="P43" s="3" t="s">
        <v>24</v>
      </c>
      <c r="Q43" s="4">
        <v>45320</v>
      </c>
      <c r="R43" s="4">
        <v>46385</v>
      </c>
      <c r="S43" s="4"/>
      <c r="T43" s="3" t="s">
        <v>28</v>
      </c>
      <c r="U43" s="3" t="s">
        <v>262</v>
      </c>
      <c r="V43" s="14" cm="1">
        <f t="array" ref="V43">CalculerCommissionAnnuelle(M43,Q43,L43,1.7%,2024)</f>
        <v>3966666.666666667</v>
      </c>
      <c r="W43" s="14" cm="1">
        <f t="array" ref="W43">CalculerCommissionAnnuelle(M43,Q43,L43,1.7%,2023)</f>
        <v>0</v>
      </c>
      <c r="X43" s="14" cm="1">
        <f t="array" ref="X43">CalculerCommissionAnnuelle(M43,Q43,L43,1.7%,2022)</f>
        <v>0</v>
      </c>
      <c r="Y43" s="14" cm="1">
        <f t="array" ref="Y43">CalculerCommissionAnnuelle(M43,Q43,L43,1.7%,2021)</f>
        <v>0</v>
      </c>
      <c r="Z43" s="19" t="str">
        <f t="shared" si="0"/>
        <v>GP</v>
      </c>
    </row>
    <row r="44" spans="1:26" s="1" customFormat="1" ht="18.149999999999999" customHeight="1" x14ac:dyDescent="0.25">
      <c r="A44" s="6" t="s">
        <v>796</v>
      </c>
      <c r="B44" s="6" t="s">
        <v>813</v>
      </c>
      <c r="C44" s="6" t="s">
        <v>814</v>
      </c>
      <c r="D44" s="6" t="s">
        <v>21</v>
      </c>
      <c r="E44" s="7"/>
      <c r="F44" s="6" t="s">
        <v>815</v>
      </c>
      <c r="G44" s="6" t="s">
        <v>816</v>
      </c>
      <c r="H44" s="8">
        <v>0</v>
      </c>
      <c r="I44" s="16">
        <v>44441</v>
      </c>
      <c r="J44" s="6" t="s">
        <v>62</v>
      </c>
      <c r="K44" s="6" t="s">
        <v>63</v>
      </c>
      <c r="L44" s="8">
        <v>78</v>
      </c>
      <c r="M44" s="11">
        <v>180000000</v>
      </c>
      <c r="N44" s="8">
        <v>3306066</v>
      </c>
      <c r="O44" s="8">
        <v>10</v>
      </c>
      <c r="P44" s="6" t="s">
        <v>24</v>
      </c>
      <c r="Q44" s="7">
        <v>44653</v>
      </c>
      <c r="R44" s="7">
        <v>46998</v>
      </c>
      <c r="S44" s="7"/>
      <c r="T44" s="6" t="s">
        <v>28</v>
      </c>
      <c r="U44" s="6" t="s">
        <v>641</v>
      </c>
      <c r="V44" s="14" cm="1">
        <f t="array" ref="V44">CalculerCommissionAnnuelle(M44,Q44,L44,1.7%,2024)</f>
        <v>3844615.384615385</v>
      </c>
      <c r="W44" s="14" cm="1">
        <f t="array" ref="W44">CalculerCommissionAnnuelle(M44,Q44,L44,1.7%,2023)</f>
        <v>4786153.846153846</v>
      </c>
      <c r="X44" s="14" cm="1">
        <f t="array" ref="X44">CalculerCommissionAnnuelle(M44,Q44,L44,1.7%,2022)</f>
        <v>5727692.307692308</v>
      </c>
      <c r="Y44" s="14" cm="1">
        <f t="array" ref="Y44">CalculerCommissionAnnuelle(M44,Q44,L44,1.7%,2021)</f>
        <v>0</v>
      </c>
      <c r="Z44" s="19" t="str">
        <f t="shared" si="0"/>
        <v>GP</v>
      </c>
    </row>
    <row r="45" spans="1:26" s="1" customFormat="1" ht="18.149999999999999" customHeight="1" x14ac:dyDescent="0.25">
      <c r="A45" s="6" t="s">
        <v>857</v>
      </c>
      <c r="B45" s="6" t="s">
        <v>858</v>
      </c>
      <c r="C45" s="6" t="s">
        <v>859</v>
      </c>
      <c r="D45" s="6" t="s">
        <v>21</v>
      </c>
      <c r="E45" s="7"/>
      <c r="F45" s="6" t="s">
        <v>860</v>
      </c>
      <c r="G45" s="6" t="s">
        <v>862</v>
      </c>
      <c r="H45" s="8">
        <v>0</v>
      </c>
      <c r="I45" s="7">
        <v>45280</v>
      </c>
      <c r="J45" s="6" t="s">
        <v>62</v>
      </c>
      <c r="K45" s="6" t="s">
        <v>63</v>
      </c>
      <c r="L45" s="8">
        <v>60</v>
      </c>
      <c r="M45" s="11">
        <v>120000000</v>
      </c>
      <c r="N45" s="8">
        <v>2622816</v>
      </c>
      <c r="O45" s="8">
        <v>9</v>
      </c>
      <c r="P45" s="6" t="s">
        <v>24</v>
      </c>
      <c r="Q45" s="7">
        <v>45311</v>
      </c>
      <c r="R45" s="7">
        <v>47107</v>
      </c>
      <c r="S45" s="7"/>
      <c r="T45" s="6" t="s">
        <v>28</v>
      </c>
      <c r="U45" s="6" t="s">
        <v>416</v>
      </c>
      <c r="V45" s="14" cm="1">
        <f t="array" ref="V45">CalculerCommissionAnnuelle(M45,Q45,L45,1.7%,2024)</f>
        <v>3536000.0000000005</v>
      </c>
      <c r="W45" s="14" cm="1">
        <f t="array" ref="W45">CalculerCommissionAnnuelle(M45,Q45,L45,1.7%,2023)</f>
        <v>0</v>
      </c>
      <c r="X45" s="14" cm="1">
        <f t="array" ref="X45">CalculerCommissionAnnuelle(M45,Q45,L45,1.7%,2022)</f>
        <v>0</v>
      </c>
      <c r="Y45" s="14" cm="1">
        <f t="array" ref="Y45">CalculerCommissionAnnuelle(M45,Q45,L45,1.7%,2021)</f>
        <v>0</v>
      </c>
      <c r="Z45" s="19" t="str">
        <f t="shared" si="0"/>
        <v>GP</v>
      </c>
    </row>
    <row r="46" spans="1:26" s="1" customFormat="1" ht="18.149999999999999" customHeight="1" x14ac:dyDescent="0.25">
      <c r="A46" s="3" t="s">
        <v>330</v>
      </c>
      <c r="B46" s="3" t="s">
        <v>378</v>
      </c>
      <c r="C46" s="3" t="s">
        <v>379</v>
      </c>
      <c r="D46" s="3" t="s">
        <v>21</v>
      </c>
      <c r="E46" s="4"/>
      <c r="F46" s="3" t="s">
        <v>380</v>
      </c>
      <c r="G46" s="3" t="s">
        <v>381</v>
      </c>
      <c r="H46" s="5">
        <v>0</v>
      </c>
      <c r="I46" s="16">
        <v>44300</v>
      </c>
      <c r="J46" s="3" t="s">
        <v>62</v>
      </c>
      <c r="K46" s="3" t="s">
        <v>63</v>
      </c>
      <c r="L46" s="5">
        <v>60</v>
      </c>
      <c r="M46" s="10">
        <v>275000000</v>
      </c>
      <c r="N46" s="5">
        <v>5576008</v>
      </c>
      <c r="O46" s="5">
        <v>8</v>
      </c>
      <c r="P46" s="3" t="s">
        <v>24</v>
      </c>
      <c r="Q46" s="4">
        <v>44330</v>
      </c>
      <c r="R46" s="4">
        <v>46126</v>
      </c>
      <c r="S46" s="4"/>
      <c r="T46" s="3" t="s">
        <v>28</v>
      </c>
      <c r="U46" s="3" t="s">
        <v>141</v>
      </c>
      <c r="V46" s="14" cm="1">
        <f t="array" ref="V46">CalculerCommissionAnnuelle(M46,Q46,L46,1.7%,2024)</f>
        <v>3116666.666666667</v>
      </c>
      <c r="W46" s="14" cm="1">
        <f t="array" ref="W46">CalculerCommissionAnnuelle(M46,Q46,L46,1.7%,2023)</f>
        <v>4986666.666666667</v>
      </c>
      <c r="X46" s="14" cm="1">
        <f t="array" ref="X46">CalculerCommissionAnnuelle(M46,Q46,L46,1.7%,2022)</f>
        <v>6856666.666666667</v>
      </c>
      <c r="Y46" s="14" cm="1">
        <f t="array" ref="Y46">CalculerCommissionAnnuelle(M46,Q46,L46,1.7%,2021)</f>
        <v>8726666.6666666679</v>
      </c>
      <c r="Z46" s="19" t="str">
        <f t="shared" si="0"/>
        <v>GI</v>
      </c>
    </row>
    <row r="47" spans="1:26" s="1" customFormat="1" ht="18.149999999999999" customHeight="1" x14ac:dyDescent="0.25">
      <c r="A47" s="3" t="s">
        <v>257</v>
      </c>
      <c r="B47" s="3" t="s">
        <v>263</v>
      </c>
      <c r="C47" s="3" t="s">
        <v>264</v>
      </c>
      <c r="D47" s="3" t="s">
        <v>21</v>
      </c>
      <c r="E47" s="4"/>
      <c r="F47" s="3" t="s">
        <v>265</v>
      </c>
      <c r="G47" s="3" t="s">
        <v>266</v>
      </c>
      <c r="H47" s="5">
        <v>1</v>
      </c>
      <c r="I47" s="16">
        <v>44545</v>
      </c>
      <c r="J47" s="3" t="s">
        <v>62</v>
      </c>
      <c r="K47" s="3" t="s">
        <v>63</v>
      </c>
      <c r="L47" s="5">
        <v>81</v>
      </c>
      <c r="M47" s="10">
        <v>150000000</v>
      </c>
      <c r="N47" s="5">
        <v>293237</v>
      </c>
      <c r="O47" s="5">
        <v>9</v>
      </c>
      <c r="P47" s="3" t="s">
        <v>24</v>
      </c>
      <c r="Q47" s="4">
        <v>44576</v>
      </c>
      <c r="R47" s="4">
        <v>47011</v>
      </c>
      <c r="S47" s="4"/>
      <c r="T47" s="3" t="s">
        <v>28</v>
      </c>
      <c r="U47" s="3" t="s">
        <v>262</v>
      </c>
      <c r="V47" s="14" cm="1">
        <f t="array" ref="V47">CalculerCommissionAnnuelle(M47,Q47,L47,1.7%,2024)</f>
        <v>3085185.1851851852</v>
      </c>
      <c r="W47" s="14" cm="1">
        <f t="array" ref="W47">CalculerCommissionAnnuelle(M47,Q47,L47,1.7%,2023)</f>
        <v>3840740.7407407411</v>
      </c>
      <c r="X47" s="14" cm="1">
        <f t="array" ref="X47">CalculerCommissionAnnuelle(M47,Q47,L47,1.7%,2022)</f>
        <v>4596296.2962962966</v>
      </c>
      <c r="Y47" s="14" cm="1">
        <f t="array" ref="Y47">CalculerCommissionAnnuelle(M47,Q47,L47,1.7%,2021)</f>
        <v>0</v>
      </c>
      <c r="Z47" s="19" t="str">
        <f t="shared" si="0"/>
        <v>GP</v>
      </c>
    </row>
    <row r="48" spans="1:26" s="1" customFormat="1" ht="18.149999999999999" customHeight="1" x14ac:dyDescent="0.25">
      <c r="A48" s="3" t="s">
        <v>26</v>
      </c>
      <c r="B48" s="3" t="s">
        <v>79</v>
      </c>
      <c r="C48" s="3" t="s">
        <v>80</v>
      </c>
      <c r="D48" s="3" t="s">
        <v>21</v>
      </c>
      <c r="E48" s="4"/>
      <c r="F48" s="3" t="s">
        <v>81</v>
      </c>
      <c r="G48" s="3" t="s">
        <v>84</v>
      </c>
      <c r="H48" s="5">
        <v>0</v>
      </c>
      <c r="I48" s="16">
        <v>44903</v>
      </c>
      <c r="J48" s="3" t="s">
        <v>50</v>
      </c>
      <c r="K48" s="3" t="s">
        <v>51</v>
      </c>
      <c r="L48" s="5">
        <v>36</v>
      </c>
      <c r="M48" s="10">
        <v>196700000</v>
      </c>
      <c r="N48" s="5">
        <v>6181119</v>
      </c>
      <c r="O48" s="5">
        <v>7</v>
      </c>
      <c r="P48" s="3" t="s">
        <v>24</v>
      </c>
      <c r="Q48" s="4">
        <v>44941</v>
      </c>
      <c r="R48" s="4">
        <v>46006</v>
      </c>
      <c r="S48" s="4">
        <v>44941</v>
      </c>
      <c r="T48" s="3" t="s">
        <v>25</v>
      </c>
      <c r="U48" s="3" t="s">
        <v>83</v>
      </c>
      <c r="V48" s="14" cm="1">
        <f t="array" ref="V48">CalculerCommissionAnnuelle(M48,Q48,L48,1.7%,2024)</f>
        <v>2972355.555555556</v>
      </c>
      <c r="W48" s="14" cm="1">
        <f t="array" ref="W48">CalculerCommissionAnnuelle(M48,Q48,L48,1.7%,2023)</f>
        <v>5201622.222222222</v>
      </c>
      <c r="X48" s="14" cm="1">
        <f t="array" ref="X48">CalculerCommissionAnnuelle(M48,Q48,L48,1.7%,2022)</f>
        <v>0</v>
      </c>
      <c r="Y48" s="14" cm="1">
        <f t="array" ref="Y48">CalculerCommissionAnnuelle(M48,Q48,L48,1.7%,2021)</f>
        <v>0</v>
      </c>
      <c r="Z48" s="19" t="str">
        <f t="shared" si="0"/>
        <v>GP</v>
      </c>
    </row>
    <row r="49" spans="1:26" s="1" customFormat="1" ht="18.149999999999999" customHeight="1" x14ac:dyDescent="0.25">
      <c r="A49" s="6" t="s">
        <v>26</v>
      </c>
      <c r="B49" s="6" t="s">
        <v>218</v>
      </c>
      <c r="C49" s="6" t="s">
        <v>219</v>
      </c>
      <c r="D49" s="6" t="s">
        <v>21</v>
      </c>
      <c r="E49" s="7"/>
      <c r="F49" s="6" t="s">
        <v>220</v>
      </c>
      <c r="G49" s="6" t="s">
        <v>221</v>
      </c>
      <c r="H49" s="8">
        <v>1</v>
      </c>
      <c r="I49" s="16">
        <v>45232</v>
      </c>
      <c r="J49" s="6" t="s">
        <v>62</v>
      </c>
      <c r="K49" s="6" t="s">
        <v>63</v>
      </c>
      <c r="L49" s="8">
        <v>48</v>
      </c>
      <c r="M49" s="11">
        <v>105000000</v>
      </c>
      <c r="N49" s="8">
        <v>2689877</v>
      </c>
      <c r="O49" s="8">
        <v>9</v>
      </c>
      <c r="P49" s="6" t="s">
        <v>24</v>
      </c>
      <c r="Q49" s="7">
        <v>45262</v>
      </c>
      <c r="R49" s="7">
        <v>46693</v>
      </c>
      <c r="S49" s="7"/>
      <c r="T49" s="6" t="s">
        <v>28</v>
      </c>
      <c r="U49" s="6" t="s">
        <v>96</v>
      </c>
      <c r="V49" s="14" cm="1">
        <f t="array" ref="V49">CalculerCommissionAnnuelle(M49,Q49,L49,1.7%,2024)</f>
        <v>2900625</v>
      </c>
      <c r="W49" s="14" cm="1">
        <f t="array" ref="W49">CalculerCommissionAnnuelle(M49,Q49,L49,1.7%,2023)</f>
        <v>1785000.0000000002</v>
      </c>
      <c r="X49" s="14" cm="1">
        <f t="array" ref="X49">CalculerCommissionAnnuelle(M49,Q49,L49,1.7%,2022)</f>
        <v>0</v>
      </c>
      <c r="Y49" s="14" cm="1">
        <f t="array" ref="Y49">CalculerCommissionAnnuelle(M49,Q49,L49,1.7%,2021)</f>
        <v>0</v>
      </c>
      <c r="Z49" s="19" t="str">
        <f t="shared" si="0"/>
        <v>GP</v>
      </c>
    </row>
    <row r="50" spans="1:26" s="1" customFormat="1" ht="18.149999999999999" customHeight="1" x14ac:dyDescent="0.25">
      <c r="A50" s="3" t="s">
        <v>330</v>
      </c>
      <c r="B50" s="3" t="s">
        <v>335</v>
      </c>
      <c r="C50" s="3" t="s">
        <v>336</v>
      </c>
      <c r="D50" s="3" t="s">
        <v>21</v>
      </c>
      <c r="E50" s="4"/>
      <c r="F50" s="3" t="s">
        <v>337</v>
      </c>
      <c r="G50" s="3" t="s">
        <v>340</v>
      </c>
      <c r="H50" s="5">
        <v>0</v>
      </c>
      <c r="I50" s="4">
        <v>45261</v>
      </c>
      <c r="J50" s="3" t="s">
        <v>29</v>
      </c>
      <c r="K50" s="3" t="s">
        <v>30</v>
      </c>
      <c r="L50" s="5">
        <v>48</v>
      </c>
      <c r="M50" s="10">
        <v>100000000</v>
      </c>
      <c r="N50" s="5">
        <v>2505633</v>
      </c>
      <c r="O50" s="5">
        <v>8</v>
      </c>
      <c r="P50" s="3" t="s">
        <v>24</v>
      </c>
      <c r="Q50" s="4">
        <v>45292</v>
      </c>
      <c r="R50" s="4">
        <v>46722</v>
      </c>
      <c r="S50" s="4"/>
      <c r="T50" s="3" t="s">
        <v>28</v>
      </c>
      <c r="U50" s="3" t="s">
        <v>72</v>
      </c>
      <c r="V50" s="14" cm="1">
        <f t="array" ref="V50">CalculerCommissionAnnuelle(M50,Q50,L50,1.7%,2024)</f>
        <v>2833333.3333333335</v>
      </c>
      <c r="W50" s="14" cm="1">
        <f t="array" ref="W50">CalculerCommissionAnnuelle(M50,Q50,L50,1.7%,2023)</f>
        <v>0</v>
      </c>
      <c r="X50" s="14" cm="1">
        <f t="array" ref="X50">CalculerCommissionAnnuelle(M50,Q50,L50,1.7%,2022)</f>
        <v>0</v>
      </c>
      <c r="Y50" s="14" cm="1">
        <f t="array" ref="Y50">CalculerCommissionAnnuelle(M50,Q50,L50,1.7%,2021)</f>
        <v>0</v>
      </c>
      <c r="Z50" s="19" t="str">
        <f t="shared" si="0"/>
        <v>GP</v>
      </c>
    </row>
    <row r="51" spans="1:26" s="1" customFormat="1" ht="18.149999999999999" customHeight="1" x14ac:dyDescent="0.25">
      <c r="A51" s="3" t="s">
        <v>315</v>
      </c>
      <c r="B51" s="3" t="s">
        <v>325</v>
      </c>
      <c r="C51" s="3" t="s">
        <v>326</v>
      </c>
      <c r="D51" s="3" t="s">
        <v>21</v>
      </c>
      <c r="E51" s="4"/>
      <c r="F51" s="3" t="s">
        <v>327</v>
      </c>
      <c r="G51" s="3" t="s">
        <v>328</v>
      </c>
      <c r="H51" s="5">
        <v>0</v>
      </c>
      <c r="I51" s="4">
        <v>45097</v>
      </c>
      <c r="J51" s="3" t="s">
        <v>62</v>
      </c>
      <c r="K51" s="3" t="s">
        <v>63</v>
      </c>
      <c r="L51" s="5">
        <v>54</v>
      </c>
      <c r="M51" s="10">
        <v>96200000</v>
      </c>
      <c r="N51" s="5">
        <v>2244429</v>
      </c>
      <c r="O51" s="5">
        <v>9</v>
      </c>
      <c r="P51" s="3" t="s">
        <v>24</v>
      </c>
      <c r="Q51" s="4">
        <v>45311</v>
      </c>
      <c r="R51" s="4">
        <v>46924</v>
      </c>
      <c r="S51" s="4"/>
      <c r="T51" s="3" t="s">
        <v>28</v>
      </c>
      <c r="U51" s="3" t="s">
        <v>320</v>
      </c>
      <c r="V51" s="14" cm="1">
        <f t="array" ref="V51">CalculerCommissionAnnuelle(M51,Q51,L51,1.7%,2024)</f>
        <v>2786237.0370370373</v>
      </c>
      <c r="W51" s="14" cm="1">
        <f t="array" ref="W51">CalculerCommissionAnnuelle(M51,Q51,L51,1.7%,2023)</f>
        <v>0</v>
      </c>
      <c r="X51" s="14" cm="1">
        <f t="array" ref="X51">CalculerCommissionAnnuelle(M51,Q51,L51,1.7%,2022)</f>
        <v>0</v>
      </c>
      <c r="Y51" s="14" cm="1">
        <f t="array" ref="Y51">CalculerCommissionAnnuelle(M51,Q51,L51,1.7%,2021)</f>
        <v>0</v>
      </c>
      <c r="Z51" s="19" t="str">
        <f t="shared" si="0"/>
        <v>GP</v>
      </c>
    </row>
    <row r="52" spans="1:26" s="1" customFormat="1" ht="18.149999999999999" customHeight="1" x14ac:dyDescent="0.25">
      <c r="A52" s="3" t="s">
        <v>26</v>
      </c>
      <c r="B52" s="3" t="s">
        <v>187</v>
      </c>
      <c r="C52" s="3" t="s">
        <v>188</v>
      </c>
      <c r="D52" s="3" t="s">
        <v>21</v>
      </c>
      <c r="E52" s="4"/>
      <c r="F52" s="3" t="s">
        <v>189</v>
      </c>
      <c r="G52" s="3" t="s">
        <v>190</v>
      </c>
      <c r="H52" s="5">
        <v>0</v>
      </c>
      <c r="I52" s="16">
        <v>44888</v>
      </c>
      <c r="J52" s="3" t="s">
        <v>62</v>
      </c>
      <c r="K52" s="3" t="s">
        <v>63</v>
      </c>
      <c r="L52" s="5">
        <v>108</v>
      </c>
      <c r="M52" s="10">
        <v>88000000</v>
      </c>
      <c r="N52" s="5">
        <v>1409274</v>
      </c>
      <c r="O52" s="5">
        <v>10.9</v>
      </c>
      <c r="P52" s="3" t="s">
        <v>24</v>
      </c>
      <c r="Q52" s="4">
        <v>45283</v>
      </c>
      <c r="R52" s="4">
        <v>48541</v>
      </c>
      <c r="S52" s="4">
        <v>45345</v>
      </c>
      <c r="T52" s="3" t="s">
        <v>25</v>
      </c>
      <c r="U52" s="3" t="s">
        <v>61</v>
      </c>
      <c r="V52" s="14" cm="1">
        <f t="array" ref="V52">CalculerCommissionAnnuelle(M52,Q52,L52,1.7%,2024)</f>
        <v>2742666.666666667</v>
      </c>
      <c r="W52" s="14" cm="1">
        <f t="array" ref="W52">CalculerCommissionAnnuelle(M52,Q52,L52,1.7%,2023)</f>
        <v>1496000</v>
      </c>
      <c r="X52" s="14" cm="1">
        <f t="array" ref="X52">CalculerCommissionAnnuelle(M52,Q52,L52,1.7%,2022)</f>
        <v>0</v>
      </c>
      <c r="Y52" s="14" cm="1">
        <f t="array" ref="Y52">CalculerCommissionAnnuelle(M52,Q52,L52,1.7%,2021)</f>
        <v>0</v>
      </c>
      <c r="Z52" s="19" t="str">
        <f t="shared" si="0"/>
        <v>GP</v>
      </c>
    </row>
    <row r="53" spans="1:26" s="1" customFormat="1" ht="18.149999999999999" customHeight="1" x14ac:dyDescent="0.25">
      <c r="A53" s="3" t="s">
        <v>407</v>
      </c>
      <c r="B53" s="3" t="s">
        <v>473</v>
      </c>
      <c r="C53" s="3" t="s">
        <v>474</v>
      </c>
      <c r="D53" s="3" t="s">
        <v>21</v>
      </c>
      <c r="E53" s="4"/>
      <c r="F53" s="3" t="s">
        <v>475</v>
      </c>
      <c r="G53" s="3" t="s">
        <v>477</v>
      </c>
      <c r="H53" s="5">
        <v>0</v>
      </c>
      <c r="I53" s="16">
        <v>44385</v>
      </c>
      <c r="J53" s="3" t="s">
        <v>62</v>
      </c>
      <c r="K53" s="3" t="s">
        <v>63</v>
      </c>
      <c r="L53" s="5">
        <v>54</v>
      </c>
      <c r="M53" s="10">
        <v>169000000</v>
      </c>
      <c r="N53" s="5">
        <v>3846874</v>
      </c>
      <c r="O53" s="5">
        <v>8</v>
      </c>
      <c r="P53" s="3" t="s">
        <v>24</v>
      </c>
      <c r="Q53" s="4">
        <v>44600</v>
      </c>
      <c r="R53" s="4">
        <v>46211</v>
      </c>
      <c r="S53" s="4"/>
      <c r="T53" s="3" t="s">
        <v>28</v>
      </c>
      <c r="U53" s="3" t="s">
        <v>256</v>
      </c>
      <c r="V53" s="14" cm="1">
        <f t="array" ref="V53">CalculerCommissionAnnuelle(M53,Q53,L53,1.7%,2024)</f>
        <v>2447370.3703703703</v>
      </c>
      <c r="W53" s="14" cm="1">
        <f t="array" ref="W53">CalculerCommissionAnnuelle(M53,Q53,L53,1.7%,2023)</f>
        <v>3724259.2592592593</v>
      </c>
      <c r="X53" s="14" cm="1">
        <f t="array" ref="X53">CalculerCommissionAnnuelle(M53,Q53,L53,1.7%,2022)</f>
        <v>5001148.1481481483</v>
      </c>
      <c r="Y53" s="14" cm="1">
        <f t="array" ref="Y53">CalculerCommissionAnnuelle(M53,Q53,L53,1.7%,2021)</f>
        <v>0</v>
      </c>
      <c r="Z53" s="19" t="str">
        <f t="shared" si="0"/>
        <v>GP</v>
      </c>
    </row>
    <row r="54" spans="1:26" s="1" customFormat="1" ht="18.149999999999999" customHeight="1" x14ac:dyDescent="0.25">
      <c r="A54" s="3" t="s">
        <v>702</v>
      </c>
      <c r="B54" s="3" t="s">
        <v>718</v>
      </c>
      <c r="C54" s="3" t="s">
        <v>719</v>
      </c>
      <c r="D54" s="3" t="s">
        <v>21</v>
      </c>
      <c r="E54" s="4"/>
      <c r="F54" s="3" t="s">
        <v>720</v>
      </c>
      <c r="G54" s="3" t="s">
        <v>721</v>
      </c>
      <c r="H54" s="5">
        <v>0</v>
      </c>
      <c r="I54" s="16">
        <v>44979</v>
      </c>
      <c r="J54" s="3" t="s">
        <v>59</v>
      </c>
      <c r="K54" s="3" t="s">
        <v>60</v>
      </c>
      <c r="L54" s="5">
        <v>60</v>
      </c>
      <c r="M54" s="10">
        <v>102200000</v>
      </c>
      <c r="N54" s="5">
        <v>2233765</v>
      </c>
      <c r="O54" s="5">
        <v>9</v>
      </c>
      <c r="P54" s="3" t="s">
        <v>24</v>
      </c>
      <c r="Q54" s="4">
        <v>45007</v>
      </c>
      <c r="R54" s="4">
        <v>46805</v>
      </c>
      <c r="S54" s="4"/>
      <c r="T54" s="3" t="s">
        <v>28</v>
      </c>
      <c r="U54" s="3" t="s">
        <v>707</v>
      </c>
      <c r="V54" s="14" cm="1">
        <f t="array" ref="V54">CalculerCommissionAnnuelle(M54,Q54,L54,1.7%,2024)</f>
        <v>2432360</v>
      </c>
      <c r="W54" s="14" cm="1">
        <f t="array" ref="W54">CalculerCommissionAnnuelle(M54,Q54,L54,1.7%,2023)</f>
        <v>3127320</v>
      </c>
      <c r="X54" s="14" cm="1">
        <f t="array" ref="X54">CalculerCommissionAnnuelle(M54,Q54,L54,1.7%,2022)</f>
        <v>0</v>
      </c>
      <c r="Y54" s="14" cm="1">
        <f t="array" ref="Y54">CalculerCommissionAnnuelle(M54,Q54,L54,1.7%,2021)</f>
        <v>0</v>
      </c>
      <c r="Z54" s="19" t="str">
        <f t="shared" si="0"/>
        <v>GP</v>
      </c>
    </row>
    <row r="55" spans="1:26" s="1" customFormat="1" ht="18.149999999999999" customHeight="1" x14ac:dyDescent="0.25">
      <c r="A55" s="3" t="s">
        <v>973</v>
      </c>
      <c r="B55" s="3" t="s">
        <v>974</v>
      </c>
      <c r="C55" s="3" t="s">
        <v>975</v>
      </c>
      <c r="D55" s="3" t="s">
        <v>21</v>
      </c>
      <c r="E55" s="4"/>
      <c r="F55" s="3" t="s">
        <v>976</v>
      </c>
      <c r="G55" s="3" t="s">
        <v>977</v>
      </c>
      <c r="H55" s="5">
        <v>0</v>
      </c>
      <c r="I55" s="16">
        <v>45007</v>
      </c>
      <c r="J55" s="3" t="s">
        <v>59</v>
      </c>
      <c r="K55" s="3" t="s">
        <v>60</v>
      </c>
      <c r="L55" s="5">
        <v>60</v>
      </c>
      <c r="M55" s="10">
        <v>96000000</v>
      </c>
      <c r="N55" s="5">
        <v>2098253</v>
      </c>
      <c r="O55" s="5">
        <v>9</v>
      </c>
      <c r="P55" s="3" t="s">
        <v>24</v>
      </c>
      <c r="Q55" s="4">
        <v>45038</v>
      </c>
      <c r="R55" s="4">
        <v>46834</v>
      </c>
      <c r="S55" s="4"/>
      <c r="T55" s="3" t="s">
        <v>28</v>
      </c>
      <c r="U55" s="3" t="s">
        <v>300</v>
      </c>
      <c r="V55" s="14" cm="1">
        <f t="array" ref="V55">CalculerCommissionAnnuelle(M55,Q55,L55,1.7%,2024)</f>
        <v>2339200</v>
      </c>
      <c r="W55" s="14" cm="1">
        <f t="array" ref="W55">CalculerCommissionAnnuelle(M55,Q55,L55,1.7%,2023)</f>
        <v>2992000</v>
      </c>
      <c r="X55" s="14" cm="1">
        <f t="array" ref="X55">CalculerCommissionAnnuelle(M55,Q55,L55,1.7%,2022)</f>
        <v>0</v>
      </c>
      <c r="Y55" s="14" cm="1">
        <f t="array" ref="Y55">CalculerCommissionAnnuelle(M55,Q55,L55,1.7%,2021)</f>
        <v>0</v>
      </c>
      <c r="Z55" s="19" t="str">
        <f t="shared" si="0"/>
        <v>GP</v>
      </c>
    </row>
    <row r="56" spans="1:26" s="1" customFormat="1" ht="18.149999999999999" customHeight="1" x14ac:dyDescent="0.25">
      <c r="A56" s="3" t="s">
        <v>938</v>
      </c>
      <c r="B56" s="3" t="s">
        <v>951</v>
      </c>
      <c r="C56" s="3" t="s">
        <v>952</v>
      </c>
      <c r="D56" s="3" t="s">
        <v>21</v>
      </c>
      <c r="E56" s="4"/>
      <c r="F56" s="3" t="s">
        <v>953</v>
      </c>
      <c r="G56" s="3" t="s">
        <v>954</v>
      </c>
      <c r="H56" s="5">
        <v>1</v>
      </c>
      <c r="I56" s="16">
        <v>44922</v>
      </c>
      <c r="J56" s="3" t="s">
        <v>62</v>
      </c>
      <c r="K56" s="3" t="s">
        <v>63</v>
      </c>
      <c r="L56" s="5">
        <v>60</v>
      </c>
      <c r="M56" s="10">
        <v>100000000</v>
      </c>
      <c r="N56" s="5">
        <v>223872</v>
      </c>
      <c r="O56" s="5">
        <v>9.9</v>
      </c>
      <c r="P56" s="3" t="s">
        <v>24</v>
      </c>
      <c r="Q56" s="4">
        <v>44953</v>
      </c>
      <c r="R56" s="4">
        <v>46748</v>
      </c>
      <c r="S56" s="4"/>
      <c r="T56" s="3" t="s">
        <v>28</v>
      </c>
      <c r="U56" s="3" t="s">
        <v>598</v>
      </c>
      <c r="V56" s="14" cm="1">
        <f t="array" ref="V56">CalculerCommissionAnnuelle(M56,Q56,L56,1.7%,2024)</f>
        <v>2266666.666666667</v>
      </c>
      <c r="W56" s="14" cm="1">
        <f t="array" ref="W56">CalculerCommissionAnnuelle(M56,Q56,L56,1.7%,2023)</f>
        <v>2946666.666666667</v>
      </c>
      <c r="X56" s="14" cm="1">
        <f t="array" ref="X56">CalculerCommissionAnnuelle(M56,Q56,L56,1.7%,2022)</f>
        <v>0</v>
      </c>
      <c r="Y56" s="14" cm="1">
        <f t="array" ref="Y56">CalculerCommissionAnnuelle(M56,Q56,L56,1.7%,2021)</f>
        <v>0</v>
      </c>
      <c r="Z56" s="19" t="str">
        <f t="shared" si="0"/>
        <v>GP</v>
      </c>
    </row>
    <row r="57" spans="1:26" s="1" customFormat="1" ht="18.149999999999999" customHeight="1" x14ac:dyDescent="0.25">
      <c r="A57" s="6" t="s">
        <v>330</v>
      </c>
      <c r="B57" s="6" t="s">
        <v>361</v>
      </c>
      <c r="C57" s="6" t="s">
        <v>362</v>
      </c>
      <c r="D57" s="6" t="s">
        <v>21</v>
      </c>
      <c r="E57" s="7"/>
      <c r="F57" s="6" t="s">
        <v>363</v>
      </c>
      <c r="G57" s="6" t="s">
        <v>365</v>
      </c>
      <c r="H57" s="8">
        <v>0</v>
      </c>
      <c r="I57" s="16">
        <v>44774</v>
      </c>
      <c r="J57" s="6" t="s">
        <v>29</v>
      </c>
      <c r="K57" s="6" t="s">
        <v>30</v>
      </c>
      <c r="L57" s="8">
        <v>36</v>
      </c>
      <c r="M57" s="11">
        <v>200000000</v>
      </c>
      <c r="N57" s="8">
        <v>6284818</v>
      </c>
      <c r="O57" s="8">
        <v>7</v>
      </c>
      <c r="P57" s="6" t="s">
        <v>24</v>
      </c>
      <c r="Q57" s="7">
        <v>44805</v>
      </c>
      <c r="R57" s="7">
        <v>45870</v>
      </c>
      <c r="S57" s="7"/>
      <c r="T57" s="6" t="s">
        <v>28</v>
      </c>
      <c r="U57" s="6" t="s">
        <v>77</v>
      </c>
      <c r="V57" s="14" cm="1">
        <f t="array" ref="V57">CalculerCommissionAnnuelle(M57,Q57,L57,1.7%,2024)</f>
        <v>2266666.666666667</v>
      </c>
      <c r="W57" s="14" cm="1">
        <f t="array" ref="W57">CalculerCommissionAnnuelle(M57,Q57,L57,1.7%,2023)</f>
        <v>4533333.333333334</v>
      </c>
      <c r="X57" s="14" cm="1">
        <f t="array" ref="X57">CalculerCommissionAnnuelle(M57,Q57,L57,1.7%,2022)</f>
        <v>3116666.666666667</v>
      </c>
      <c r="Y57" s="14" cm="1">
        <f t="array" ref="Y57">CalculerCommissionAnnuelle(M57,Q57,L57,1.7%,2021)</f>
        <v>0</v>
      </c>
      <c r="Z57" s="19" t="str">
        <f t="shared" si="0"/>
        <v>GP</v>
      </c>
    </row>
    <row r="58" spans="1:26" s="1" customFormat="1" ht="18.149999999999999" customHeight="1" x14ac:dyDescent="0.25">
      <c r="A58" s="3" t="s">
        <v>291</v>
      </c>
      <c r="B58" s="3" t="s">
        <v>301</v>
      </c>
      <c r="C58" s="3" t="s">
        <v>302</v>
      </c>
      <c r="D58" s="3" t="s">
        <v>21</v>
      </c>
      <c r="E58" s="4"/>
      <c r="F58" s="3" t="s">
        <v>303</v>
      </c>
      <c r="G58" s="3" t="s">
        <v>304</v>
      </c>
      <c r="H58" s="5">
        <v>0</v>
      </c>
      <c r="I58" s="16">
        <v>44295</v>
      </c>
      <c r="J58" s="3" t="s">
        <v>62</v>
      </c>
      <c r="K58" s="3" t="s">
        <v>63</v>
      </c>
      <c r="L58" s="5">
        <v>54</v>
      </c>
      <c r="M58" s="10">
        <v>178500000</v>
      </c>
      <c r="N58" s="5">
        <v>4063118</v>
      </c>
      <c r="O58" s="5">
        <v>8</v>
      </c>
      <c r="P58" s="3" t="s">
        <v>24</v>
      </c>
      <c r="Q58" s="4">
        <v>44509</v>
      </c>
      <c r="R58" s="4">
        <v>46121</v>
      </c>
      <c r="S58" s="4"/>
      <c r="T58" s="3" t="s">
        <v>28</v>
      </c>
      <c r="U58" s="3" t="s">
        <v>300</v>
      </c>
      <c r="V58" s="14" cm="1">
        <f t="array" ref="V58">CalculerCommissionAnnuelle(M58,Q58,L58,1.7%,2024)</f>
        <v>2247777.777777778</v>
      </c>
      <c r="W58" s="14" cm="1">
        <f t="array" ref="W58">CalculerCommissionAnnuelle(M58,Q58,L58,1.7%,2023)</f>
        <v>3596444.4444444445</v>
      </c>
      <c r="X58" s="14" cm="1">
        <f t="array" ref="X58">CalculerCommissionAnnuelle(M58,Q58,L58,1.7%,2022)</f>
        <v>4945111.1111111119</v>
      </c>
      <c r="Y58" s="14" cm="1">
        <f t="array" ref="Y58">CalculerCommissionAnnuelle(M58,Q58,L58,1.7%,2021)</f>
        <v>2978305.555555556</v>
      </c>
      <c r="Z58" s="19" t="str">
        <f t="shared" si="0"/>
        <v>GP</v>
      </c>
    </row>
    <row r="59" spans="1:26" s="1" customFormat="1" ht="18.149999999999999" customHeight="1" x14ac:dyDescent="0.25">
      <c r="A59" s="3" t="s">
        <v>26</v>
      </c>
      <c r="B59" s="3" t="s">
        <v>102</v>
      </c>
      <c r="C59" s="3" t="s">
        <v>103</v>
      </c>
      <c r="D59" s="3" t="s">
        <v>21</v>
      </c>
      <c r="E59" s="4"/>
      <c r="F59" s="3" t="s">
        <v>104</v>
      </c>
      <c r="G59" s="3" t="s">
        <v>105</v>
      </c>
      <c r="H59" s="5">
        <v>0</v>
      </c>
      <c r="I59" s="16">
        <v>44258</v>
      </c>
      <c r="J59" s="3" t="s">
        <v>62</v>
      </c>
      <c r="K59" s="3" t="s">
        <v>63</v>
      </c>
      <c r="L59" s="5">
        <v>60</v>
      </c>
      <c r="M59" s="10">
        <v>200000000</v>
      </c>
      <c r="N59" s="5">
        <v>4301753</v>
      </c>
      <c r="O59" s="5">
        <v>9</v>
      </c>
      <c r="P59" s="3" t="s">
        <v>24</v>
      </c>
      <c r="Q59" s="4">
        <v>44289</v>
      </c>
      <c r="R59" s="4">
        <v>46084</v>
      </c>
      <c r="S59" s="4"/>
      <c r="T59" s="3" t="s">
        <v>28</v>
      </c>
      <c r="U59" s="3" t="s">
        <v>106</v>
      </c>
      <c r="V59" s="14" cm="1">
        <f t="array" ref="V59">CalculerCommissionAnnuelle(M59,Q59,L59,1.7%,2024)</f>
        <v>2153333.3333333335</v>
      </c>
      <c r="W59" s="14" cm="1">
        <f t="array" ref="W59">CalculerCommissionAnnuelle(M59,Q59,L59,1.7%,2023)</f>
        <v>3513333.3333333335</v>
      </c>
      <c r="X59" s="14" cm="1">
        <f t="array" ref="X59">CalculerCommissionAnnuelle(M59,Q59,L59,1.7%,2022)</f>
        <v>4873333.333333334</v>
      </c>
      <c r="Y59" s="14" cm="1">
        <f t="array" ref="Y59">CalculerCommissionAnnuelle(M59,Q59,L59,1.7%,2021)</f>
        <v>6233333.333333334</v>
      </c>
      <c r="Z59" s="19" t="str">
        <f t="shared" si="0"/>
        <v>GP</v>
      </c>
    </row>
    <row r="60" spans="1:26" s="1" customFormat="1" ht="18.149999999999999" customHeight="1" x14ac:dyDescent="0.25">
      <c r="A60" s="3" t="s">
        <v>909</v>
      </c>
      <c r="B60" s="3" t="s">
        <v>910</v>
      </c>
      <c r="C60" s="3" t="s">
        <v>911</v>
      </c>
      <c r="D60" s="3" t="s">
        <v>21</v>
      </c>
      <c r="E60" s="4"/>
      <c r="F60" s="3" t="s">
        <v>912</v>
      </c>
      <c r="G60" s="3" t="s">
        <v>914</v>
      </c>
      <c r="H60" s="5">
        <v>0</v>
      </c>
      <c r="I60" s="16">
        <v>45072</v>
      </c>
      <c r="J60" s="3" t="s">
        <v>59</v>
      </c>
      <c r="K60" s="3" t="s">
        <v>60</v>
      </c>
      <c r="L60" s="5">
        <v>54</v>
      </c>
      <c r="M60" s="10">
        <v>75500000</v>
      </c>
      <c r="N60" s="5">
        <v>1718574</v>
      </c>
      <c r="O60" s="5">
        <v>8</v>
      </c>
      <c r="P60" s="3" t="s">
        <v>24</v>
      </c>
      <c r="Q60" s="4">
        <v>45286</v>
      </c>
      <c r="R60" s="4">
        <v>46899</v>
      </c>
      <c r="S60" s="4"/>
      <c r="T60" s="3" t="s">
        <v>28</v>
      </c>
      <c r="U60" s="3" t="s">
        <v>232</v>
      </c>
      <c r="V60" s="14" cm="1">
        <f t="array" ref="V60">CalculerCommissionAnnuelle(M60,Q60,L60,1.7%,2024)</f>
        <v>2139166.6666666665</v>
      </c>
      <c r="W60" s="14" cm="1">
        <f t="array" ref="W60">CalculerCommissionAnnuelle(M60,Q60,L60,1.7%,2023)</f>
        <v>1283500</v>
      </c>
      <c r="X60" s="14" cm="1">
        <f t="array" ref="X60">CalculerCommissionAnnuelle(M60,Q60,L60,1.7%,2022)</f>
        <v>0</v>
      </c>
      <c r="Y60" s="14" cm="1">
        <f t="array" ref="Y60">CalculerCommissionAnnuelle(M60,Q60,L60,1.7%,2021)</f>
        <v>0</v>
      </c>
      <c r="Z60" s="19" t="str">
        <f t="shared" si="0"/>
        <v>GP</v>
      </c>
    </row>
    <row r="61" spans="1:26" s="1" customFormat="1" ht="18.149999999999999" customHeight="1" x14ac:dyDescent="0.25">
      <c r="A61" s="6" t="s">
        <v>656</v>
      </c>
      <c r="B61" s="6" t="s">
        <v>663</v>
      </c>
      <c r="C61" s="6" t="s">
        <v>664</v>
      </c>
      <c r="D61" s="6" t="s">
        <v>21</v>
      </c>
      <c r="E61" s="7"/>
      <c r="F61" s="6" t="s">
        <v>665</v>
      </c>
      <c r="G61" s="6" t="s">
        <v>666</v>
      </c>
      <c r="H61" s="8">
        <v>0</v>
      </c>
      <c r="I61" s="16">
        <v>44498</v>
      </c>
      <c r="J61" s="6" t="s">
        <v>62</v>
      </c>
      <c r="K61" s="6" t="s">
        <v>63</v>
      </c>
      <c r="L61" s="8">
        <v>113</v>
      </c>
      <c r="M61" s="11">
        <v>81000000</v>
      </c>
      <c r="N61" s="8">
        <v>1329546</v>
      </c>
      <c r="O61" s="8">
        <v>12</v>
      </c>
      <c r="P61" s="6" t="s">
        <v>24</v>
      </c>
      <c r="Q61" s="7">
        <v>44741</v>
      </c>
      <c r="R61" s="7">
        <v>48150</v>
      </c>
      <c r="S61" s="7"/>
      <c r="T61" s="6" t="s">
        <v>28</v>
      </c>
      <c r="U61" s="6" t="s">
        <v>641</v>
      </c>
      <c r="V61" s="14" cm="1">
        <f t="array" ref="V61">CalculerCommissionAnnuelle(M61,Q61,L61,1.7%,2024)</f>
        <v>2095964.6017699116</v>
      </c>
      <c r="W61" s="14" cm="1">
        <f t="array" ref="W61">CalculerCommissionAnnuelle(M61,Q61,L61,1.7%,2023)</f>
        <v>2388424.7787610623</v>
      </c>
      <c r="X61" s="14" cm="1">
        <f t="array" ref="X61">CalculerCommissionAnnuelle(M61,Q61,L61,1.7%,2022)</f>
        <v>2680884.9557522126</v>
      </c>
      <c r="Y61" s="14" cm="1">
        <f t="array" ref="Y61">CalculerCommissionAnnuelle(M61,Q61,L61,1.7%,2021)</f>
        <v>0</v>
      </c>
      <c r="Z61" s="19" t="str">
        <f t="shared" si="0"/>
        <v>GP</v>
      </c>
    </row>
    <row r="62" spans="1:26" s="1" customFormat="1" ht="18.149999999999999" customHeight="1" x14ac:dyDescent="0.25">
      <c r="A62" s="3" t="s">
        <v>636</v>
      </c>
      <c r="B62" s="3" t="s">
        <v>637</v>
      </c>
      <c r="C62" s="3" t="s">
        <v>638</v>
      </c>
      <c r="D62" s="3" t="s">
        <v>21</v>
      </c>
      <c r="E62" s="4"/>
      <c r="F62" s="3" t="s">
        <v>639</v>
      </c>
      <c r="G62" s="3" t="s">
        <v>642</v>
      </c>
      <c r="H62" s="5">
        <v>0</v>
      </c>
      <c r="I62" s="16">
        <v>44949</v>
      </c>
      <c r="J62" s="3" t="s">
        <v>62</v>
      </c>
      <c r="K62" s="3" t="s">
        <v>63</v>
      </c>
      <c r="L62" s="5">
        <v>78</v>
      </c>
      <c r="M62" s="10">
        <v>80000000</v>
      </c>
      <c r="N62" s="5">
        <v>1498878</v>
      </c>
      <c r="O62" s="5">
        <v>10</v>
      </c>
      <c r="P62" s="3" t="s">
        <v>24</v>
      </c>
      <c r="Q62" s="4">
        <v>44958</v>
      </c>
      <c r="R62" s="4">
        <v>47300</v>
      </c>
      <c r="S62" s="4"/>
      <c r="T62" s="3" t="s">
        <v>28</v>
      </c>
      <c r="U62" s="3" t="s">
        <v>641</v>
      </c>
      <c r="V62" s="14" cm="1">
        <f t="array" ref="V62">CalculerCommissionAnnuelle(M62,Q62,L62,1.7%,2024)</f>
        <v>2057435.8974358975</v>
      </c>
      <c r="W62" s="14" cm="1">
        <f t="array" ref="W62">CalculerCommissionAnnuelle(M62,Q62,L62,1.7%,2023)</f>
        <v>2475897.435897436</v>
      </c>
      <c r="X62" s="14" cm="1">
        <f t="array" ref="X62">CalculerCommissionAnnuelle(M62,Q62,L62,1.7%,2022)</f>
        <v>0</v>
      </c>
      <c r="Y62" s="14" cm="1">
        <f t="array" ref="Y62">CalculerCommissionAnnuelle(M62,Q62,L62,1.7%,2021)</f>
        <v>0</v>
      </c>
      <c r="Z62" s="19" t="str">
        <f t="shared" si="0"/>
        <v>GP</v>
      </c>
    </row>
    <row r="63" spans="1:26" s="1" customFormat="1" ht="18.149999999999999" customHeight="1" x14ac:dyDescent="0.25">
      <c r="A63" s="3" t="s">
        <v>26</v>
      </c>
      <c r="B63" s="3" t="s">
        <v>92</v>
      </c>
      <c r="C63" s="3" t="s">
        <v>93</v>
      </c>
      <c r="D63" s="3" t="s">
        <v>21</v>
      </c>
      <c r="E63" s="4"/>
      <c r="F63" s="3" t="s">
        <v>94</v>
      </c>
      <c r="G63" s="3" t="s">
        <v>95</v>
      </c>
      <c r="H63" s="5">
        <v>0</v>
      </c>
      <c r="I63" s="16">
        <v>44412</v>
      </c>
      <c r="J63" s="3" t="s">
        <v>50</v>
      </c>
      <c r="K63" s="3" t="s">
        <v>51</v>
      </c>
      <c r="L63" s="5">
        <v>60</v>
      </c>
      <c r="M63" s="10">
        <v>150000000</v>
      </c>
      <c r="N63" s="5">
        <v>3140027</v>
      </c>
      <c r="O63" s="5">
        <v>8</v>
      </c>
      <c r="P63" s="3" t="s">
        <v>24</v>
      </c>
      <c r="Q63" s="4">
        <v>44443</v>
      </c>
      <c r="R63" s="4">
        <v>46238</v>
      </c>
      <c r="S63" s="4"/>
      <c r="T63" s="3" t="s">
        <v>28</v>
      </c>
      <c r="U63" s="3" t="s">
        <v>96</v>
      </c>
      <c r="V63" s="14" cm="1">
        <f t="array" ref="V63">CalculerCommissionAnnuelle(M63,Q63,L63,1.7%,2024)</f>
        <v>2040000.0000000002</v>
      </c>
      <c r="W63" s="14" cm="1">
        <f t="array" ref="W63">CalculerCommissionAnnuelle(M63,Q63,L63,1.7%,2023)</f>
        <v>3060000</v>
      </c>
      <c r="X63" s="14" cm="1">
        <f t="array" ref="X63">CalculerCommissionAnnuelle(M63,Q63,L63,1.7%,2022)</f>
        <v>4080000.0000000005</v>
      </c>
      <c r="Y63" s="14" cm="1">
        <f t="array" ref="Y63">CalculerCommissionAnnuelle(M63,Q63,L63,1.7%,2021)</f>
        <v>2422500</v>
      </c>
      <c r="Z63" s="19" t="str">
        <f t="shared" si="0"/>
        <v>GP</v>
      </c>
    </row>
    <row r="64" spans="1:26" s="1" customFormat="1" ht="18.149999999999999" customHeight="1" x14ac:dyDescent="0.25">
      <c r="A64" s="3" t="s">
        <v>900</v>
      </c>
      <c r="B64" s="3" t="s">
        <v>905</v>
      </c>
      <c r="C64" s="3" t="s">
        <v>906</v>
      </c>
      <c r="D64" s="3" t="s">
        <v>21</v>
      </c>
      <c r="E64" s="4"/>
      <c r="F64" s="3" t="s">
        <v>907</v>
      </c>
      <c r="G64" s="3" t="s">
        <v>908</v>
      </c>
      <c r="H64" s="5">
        <v>0</v>
      </c>
      <c r="I64" s="4">
        <v>45233</v>
      </c>
      <c r="J64" s="3" t="s">
        <v>62</v>
      </c>
      <c r="K64" s="3" t="s">
        <v>63</v>
      </c>
      <c r="L64" s="5">
        <v>54</v>
      </c>
      <c r="M64" s="10">
        <v>60000000</v>
      </c>
      <c r="N64" s="5">
        <v>956296</v>
      </c>
      <c r="O64" s="5">
        <v>10</v>
      </c>
      <c r="P64" s="3" t="s">
        <v>24</v>
      </c>
      <c r="Q64" s="4">
        <v>45446</v>
      </c>
      <c r="R64" s="4">
        <v>47060</v>
      </c>
      <c r="S64" s="4"/>
      <c r="T64" s="3" t="s">
        <v>28</v>
      </c>
      <c r="U64" s="3" t="s">
        <v>755</v>
      </c>
      <c r="V64" s="14" cm="1">
        <f t="array" ref="V64">CalculerCommissionAnnuelle(M64,Q64,L64,1.7%,2024)</f>
        <v>1926666.6666666667</v>
      </c>
      <c r="W64" s="14" cm="1">
        <f t="array" ref="W64">CalculerCommissionAnnuelle(M64,Q64,L64,1.7%,2023)</f>
        <v>0</v>
      </c>
      <c r="X64" s="14" cm="1">
        <f t="array" ref="X64">CalculerCommissionAnnuelle(M64,Q64,L64,1.7%,2022)</f>
        <v>0</v>
      </c>
      <c r="Y64" s="14" cm="1">
        <f t="array" ref="Y64">CalculerCommissionAnnuelle(M64,Q64,L64,1.7%,2021)</f>
        <v>0</v>
      </c>
      <c r="Z64" s="19" t="str">
        <f t="shared" si="0"/>
        <v>GP</v>
      </c>
    </row>
    <row r="65" spans="1:26" s="1" customFormat="1" ht="18.149999999999999" customHeight="1" x14ac:dyDescent="0.25">
      <c r="A65" s="3" t="s">
        <v>26</v>
      </c>
      <c r="B65" s="3" t="s">
        <v>213</v>
      </c>
      <c r="C65" s="3" t="s">
        <v>214</v>
      </c>
      <c r="D65" s="3" t="s">
        <v>21</v>
      </c>
      <c r="E65" s="4"/>
      <c r="F65" s="3" t="s">
        <v>215</v>
      </c>
      <c r="G65" s="3" t="s">
        <v>217</v>
      </c>
      <c r="H65" s="5">
        <v>0</v>
      </c>
      <c r="I65" s="16">
        <v>45056</v>
      </c>
      <c r="J65" s="3" t="s">
        <v>39</v>
      </c>
      <c r="K65" s="3" t="s">
        <v>40</v>
      </c>
      <c r="L65" s="5">
        <v>24</v>
      </c>
      <c r="M65" s="10">
        <v>150000000</v>
      </c>
      <c r="N65" s="5">
        <v>6837237</v>
      </c>
      <c r="O65" s="5">
        <v>7.5</v>
      </c>
      <c r="P65" s="3" t="s">
        <v>24</v>
      </c>
      <c r="Q65" s="4">
        <v>45087</v>
      </c>
      <c r="R65" s="4">
        <v>45787</v>
      </c>
      <c r="S65" s="4"/>
      <c r="T65" s="3" t="s">
        <v>28</v>
      </c>
      <c r="U65" s="3" t="s">
        <v>41</v>
      </c>
      <c r="V65" s="14" cm="1">
        <f t="array" ref="V65">CalculerCommissionAnnuelle(M65,Q65,L65,1.7%,2024)</f>
        <v>1912500.0000000002</v>
      </c>
      <c r="W65" s="14" cm="1">
        <f t="array" ref="W65">CalculerCommissionAnnuelle(M65,Q65,L65,1.7%,2023)</f>
        <v>4462500</v>
      </c>
      <c r="X65" s="14" cm="1">
        <f t="array" ref="X65">CalculerCommissionAnnuelle(M65,Q65,L65,1.7%,2022)</f>
        <v>0</v>
      </c>
      <c r="Y65" s="14" cm="1">
        <f t="array" ref="Y65">CalculerCommissionAnnuelle(M65,Q65,L65,1.7%,2021)</f>
        <v>0</v>
      </c>
      <c r="Z65" s="19" t="str">
        <f t="shared" si="0"/>
        <v>GP</v>
      </c>
    </row>
    <row r="66" spans="1:26" s="1" customFormat="1" ht="18.149999999999999" customHeight="1" x14ac:dyDescent="0.25">
      <c r="A66" s="6" t="s">
        <v>315</v>
      </c>
      <c r="B66" s="6" t="s">
        <v>321</v>
      </c>
      <c r="C66" s="6" t="s">
        <v>322</v>
      </c>
      <c r="D66" s="6" t="s">
        <v>21</v>
      </c>
      <c r="E66" s="7"/>
      <c r="F66" s="6" t="s">
        <v>323</v>
      </c>
      <c r="G66" s="6" t="s">
        <v>324</v>
      </c>
      <c r="H66" s="8">
        <v>0</v>
      </c>
      <c r="I66" s="16">
        <v>45071</v>
      </c>
      <c r="J66" s="6" t="s">
        <v>59</v>
      </c>
      <c r="K66" s="6" t="s">
        <v>60</v>
      </c>
      <c r="L66" s="8">
        <v>57</v>
      </c>
      <c r="M66" s="11">
        <v>70000000</v>
      </c>
      <c r="N66" s="8">
        <v>1714942</v>
      </c>
      <c r="O66" s="8">
        <v>12</v>
      </c>
      <c r="P66" s="6" t="s">
        <v>24</v>
      </c>
      <c r="Q66" s="7">
        <v>45194</v>
      </c>
      <c r="R66" s="7">
        <v>46898</v>
      </c>
      <c r="S66" s="7"/>
      <c r="T66" s="6" t="s">
        <v>28</v>
      </c>
      <c r="U66" s="6" t="s">
        <v>320</v>
      </c>
      <c r="V66" s="14" cm="1">
        <f t="array" ref="V66">CalculerCommissionAnnuelle(M66,Q66,L66,1.7%,2024)</f>
        <v>1878947.3684210528</v>
      </c>
      <c r="W66" s="14" cm="1">
        <f t="array" ref="W66">CalculerCommissionAnnuelle(M66,Q66,L66,1.7%,2023)</f>
        <v>1127368.4210526317</v>
      </c>
      <c r="X66" s="14" cm="1">
        <f t="array" ref="X66">CalculerCommissionAnnuelle(M66,Q66,L66,1.7%,2022)</f>
        <v>0</v>
      </c>
      <c r="Y66" s="14" cm="1">
        <f t="array" ref="Y66">CalculerCommissionAnnuelle(M66,Q66,L66,1.7%,2021)</f>
        <v>0</v>
      </c>
      <c r="Z66" s="19" t="str">
        <f t="shared" ref="Z66:Z129" si="1">IF(M66&lt;=200000000,"GP","GI")</f>
        <v>GP</v>
      </c>
    </row>
    <row r="67" spans="1:26" s="1" customFormat="1" ht="18.149999999999999" customHeight="1" x14ac:dyDescent="0.25">
      <c r="A67" s="6" t="s">
        <v>26</v>
      </c>
      <c r="B67" s="6" t="s">
        <v>203</v>
      </c>
      <c r="C67" s="6" t="s">
        <v>204</v>
      </c>
      <c r="D67" s="6" t="s">
        <v>21</v>
      </c>
      <c r="E67" s="7"/>
      <c r="F67" s="6" t="s">
        <v>205</v>
      </c>
      <c r="G67" s="6" t="s">
        <v>206</v>
      </c>
      <c r="H67" s="8">
        <v>0</v>
      </c>
      <c r="I67" s="16">
        <v>44462</v>
      </c>
      <c r="J67" s="6" t="s">
        <v>207</v>
      </c>
      <c r="K67" s="6" t="s">
        <v>208</v>
      </c>
      <c r="L67" s="8">
        <v>78</v>
      </c>
      <c r="M67" s="11">
        <v>85000000</v>
      </c>
      <c r="N67" s="8">
        <v>1463667</v>
      </c>
      <c r="O67" s="8">
        <v>7.5</v>
      </c>
      <c r="P67" s="6" t="s">
        <v>24</v>
      </c>
      <c r="Q67" s="7">
        <v>44674</v>
      </c>
      <c r="R67" s="7">
        <v>47019</v>
      </c>
      <c r="S67" s="7"/>
      <c r="T67" s="6" t="s">
        <v>28</v>
      </c>
      <c r="U67" s="6" t="s">
        <v>127</v>
      </c>
      <c r="V67" s="14" cm="1">
        <f t="array" ref="V67">CalculerCommissionAnnuelle(M67,Q67,L67,1.7%,2024)</f>
        <v>1815512.8205128205</v>
      </c>
      <c r="W67" s="14" cm="1">
        <f t="array" ref="W67">CalculerCommissionAnnuelle(M67,Q67,L67,1.7%,2023)</f>
        <v>2260128.2051282055</v>
      </c>
      <c r="X67" s="14" cm="1">
        <f t="array" ref="X67">CalculerCommissionAnnuelle(M67,Q67,L67,1.7%,2022)</f>
        <v>2704743.58974359</v>
      </c>
      <c r="Y67" s="14" cm="1">
        <f t="array" ref="Y67">CalculerCommissionAnnuelle(M67,Q67,L67,1.7%,2021)</f>
        <v>0</v>
      </c>
      <c r="Z67" s="19" t="str">
        <f t="shared" si="1"/>
        <v>GP</v>
      </c>
    </row>
    <row r="68" spans="1:26" s="1" customFormat="1" ht="18.149999999999999" customHeight="1" x14ac:dyDescent="0.25">
      <c r="A68" s="6" t="s">
        <v>909</v>
      </c>
      <c r="B68" s="6" t="s">
        <v>910</v>
      </c>
      <c r="C68" s="6" t="s">
        <v>911</v>
      </c>
      <c r="D68" s="6" t="s">
        <v>21</v>
      </c>
      <c r="E68" s="7"/>
      <c r="F68" s="6" t="s">
        <v>912</v>
      </c>
      <c r="G68" s="6" t="s">
        <v>913</v>
      </c>
      <c r="H68" s="8">
        <v>0</v>
      </c>
      <c r="I68" s="16">
        <v>44973</v>
      </c>
      <c r="J68" s="6" t="s">
        <v>59</v>
      </c>
      <c r="K68" s="6" t="s">
        <v>60</v>
      </c>
      <c r="L68" s="8">
        <v>60</v>
      </c>
      <c r="M68" s="11">
        <v>75500000</v>
      </c>
      <c r="N68" s="8">
        <v>1580480</v>
      </c>
      <c r="O68" s="8">
        <v>8</v>
      </c>
      <c r="P68" s="6" t="s">
        <v>24</v>
      </c>
      <c r="Q68" s="7">
        <v>45001</v>
      </c>
      <c r="R68" s="7">
        <v>46799</v>
      </c>
      <c r="S68" s="7">
        <v>45062</v>
      </c>
      <c r="T68" s="6" t="s">
        <v>25</v>
      </c>
      <c r="U68" s="6" t="s">
        <v>232</v>
      </c>
      <c r="V68" s="14" cm="1">
        <f t="array" ref="V68">CalculerCommissionAnnuelle(M68,Q68,L68,1.7%,2024)</f>
        <v>1796900.0000000002</v>
      </c>
      <c r="W68" s="14" cm="1">
        <f t="array" ref="W68">CalculerCommissionAnnuelle(M68,Q68,L68,1.7%,2023)</f>
        <v>2310300</v>
      </c>
      <c r="X68" s="14" cm="1">
        <f t="array" ref="X68">CalculerCommissionAnnuelle(M68,Q68,L68,1.7%,2022)</f>
        <v>0</v>
      </c>
      <c r="Y68" s="14" cm="1">
        <f t="array" ref="Y68">CalculerCommissionAnnuelle(M68,Q68,L68,1.7%,2021)</f>
        <v>0</v>
      </c>
      <c r="Z68" s="19" t="str">
        <f t="shared" si="1"/>
        <v>GP</v>
      </c>
    </row>
    <row r="69" spans="1:26" s="1" customFormat="1" ht="18.149999999999999" customHeight="1" x14ac:dyDescent="0.25">
      <c r="A69" s="6" t="s">
        <v>26</v>
      </c>
      <c r="B69" s="6" t="s">
        <v>158</v>
      </c>
      <c r="C69" s="6" t="s">
        <v>159</v>
      </c>
      <c r="D69" s="6" t="s">
        <v>21</v>
      </c>
      <c r="E69" s="7"/>
      <c r="F69" s="6" t="s">
        <v>160</v>
      </c>
      <c r="G69" s="6" t="s">
        <v>161</v>
      </c>
      <c r="H69" s="8">
        <v>0</v>
      </c>
      <c r="I69" s="16">
        <v>44897</v>
      </c>
      <c r="J69" s="6" t="s">
        <v>62</v>
      </c>
      <c r="K69" s="6" t="s">
        <v>63</v>
      </c>
      <c r="L69" s="8">
        <v>78</v>
      </c>
      <c r="M69" s="11">
        <v>60000000</v>
      </c>
      <c r="N69" s="8">
        <v>1124159</v>
      </c>
      <c r="O69" s="8">
        <v>10</v>
      </c>
      <c r="P69" s="6" t="s">
        <v>24</v>
      </c>
      <c r="Q69" s="7">
        <v>45109</v>
      </c>
      <c r="R69" s="7">
        <v>47454</v>
      </c>
      <c r="S69" s="7"/>
      <c r="T69" s="6" t="s">
        <v>28</v>
      </c>
      <c r="U69" s="6" t="s">
        <v>151</v>
      </c>
      <c r="V69" s="14" cm="1">
        <f t="array" ref="V69">CalculerCommissionAnnuelle(M69,Q69,L69,1.7%,2024)</f>
        <v>1673846.153846154</v>
      </c>
      <c r="W69" s="14" cm="1">
        <f t="array" ref="W69">CalculerCommissionAnnuelle(M69,Q69,L69,1.7%,2023)</f>
        <v>954615.38461538462</v>
      </c>
      <c r="X69" s="14" cm="1">
        <f t="array" ref="X69">CalculerCommissionAnnuelle(M69,Q69,L69,1.7%,2022)</f>
        <v>0</v>
      </c>
      <c r="Y69" s="14" cm="1">
        <f t="array" ref="Y69">CalculerCommissionAnnuelle(M69,Q69,L69,1.7%,2021)</f>
        <v>0</v>
      </c>
      <c r="Z69" s="19" t="str">
        <f t="shared" si="1"/>
        <v>GP</v>
      </c>
    </row>
    <row r="70" spans="1:26" s="1" customFormat="1" ht="18.149999999999999" customHeight="1" x14ac:dyDescent="0.25">
      <c r="A70" s="3" t="s">
        <v>882</v>
      </c>
      <c r="B70" s="3" t="s">
        <v>887</v>
      </c>
      <c r="C70" s="3" t="s">
        <v>888</v>
      </c>
      <c r="D70" s="3" t="s">
        <v>21</v>
      </c>
      <c r="E70" s="4"/>
      <c r="F70" s="3" t="s">
        <v>889</v>
      </c>
      <c r="G70" s="3" t="s">
        <v>890</v>
      </c>
      <c r="H70" s="5">
        <v>0</v>
      </c>
      <c r="I70" s="16">
        <v>44882</v>
      </c>
      <c r="J70" s="3" t="s">
        <v>62</v>
      </c>
      <c r="K70" s="3" t="s">
        <v>63</v>
      </c>
      <c r="L70" s="5">
        <v>48</v>
      </c>
      <c r="M70" s="10">
        <v>86000000</v>
      </c>
      <c r="N70" s="5">
        <v>2232291</v>
      </c>
      <c r="O70" s="5">
        <v>9</v>
      </c>
      <c r="P70" s="3" t="s">
        <v>24</v>
      </c>
      <c r="Q70" s="4">
        <v>44912</v>
      </c>
      <c r="R70" s="4">
        <v>46343</v>
      </c>
      <c r="S70" s="4"/>
      <c r="T70" s="3" t="s">
        <v>28</v>
      </c>
      <c r="U70" s="3" t="s">
        <v>505</v>
      </c>
      <c r="V70" s="14" cm="1">
        <f t="array" ref="V70">CalculerCommissionAnnuelle(M70,Q70,L70,1.7%,2024)</f>
        <v>1644750.0000000002</v>
      </c>
      <c r="W70" s="14" cm="1">
        <f t="array" ref="W70">CalculerCommissionAnnuelle(M70,Q70,L70,1.7%,2023)</f>
        <v>2375750</v>
      </c>
      <c r="X70" s="14" cm="1">
        <f t="array" ref="X70">CalculerCommissionAnnuelle(M70,Q70,L70,1.7%,2022)</f>
        <v>1462000</v>
      </c>
      <c r="Y70" s="14" cm="1">
        <f t="array" ref="Y70">CalculerCommissionAnnuelle(M70,Q70,L70,1.7%,2021)</f>
        <v>0</v>
      </c>
      <c r="Z70" s="19" t="str">
        <f t="shared" si="1"/>
        <v>GP</v>
      </c>
    </row>
    <row r="71" spans="1:26" s="1" customFormat="1" ht="18.149999999999999" customHeight="1" x14ac:dyDescent="0.25">
      <c r="A71" s="6" t="s">
        <v>500</v>
      </c>
      <c r="B71" s="6" t="s">
        <v>519</v>
      </c>
      <c r="C71" s="6" t="s">
        <v>520</v>
      </c>
      <c r="D71" s="6" t="s">
        <v>21</v>
      </c>
      <c r="E71" s="7"/>
      <c r="F71" s="6" t="s">
        <v>521</v>
      </c>
      <c r="G71" s="6" t="s">
        <v>522</v>
      </c>
      <c r="H71" s="8">
        <v>0</v>
      </c>
      <c r="I71" s="7">
        <v>45190</v>
      </c>
      <c r="J71" s="6" t="s">
        <v>62</v>
      </c>
      <c r="K71" s="6" t="s">
        <v>63</v>
      </c>
      <c r="L71" s="8">
        <v>60</v>
      </c>
      <c r="M71" s="11">
        <v>100000000</v>
      </c>
      <c r="N71" s="8">
        <v>2365315</v>
      </c>
      <c r="O71" s="8">
        <v>12</v>
      </c>
      <c r="P71" s="6" t="s">
        <v>24</v>
      </c>
      <c r="Q71" s="7">
        <v>45586</v>
      </c>
      <c r="R71" s="7">
        <v>47382</v>
      </c>
      <c r="S71" s="7"/>
      <c r="T71" s="6" t="s">
        <v>28</v>
      </c>
      <c r="U71" s="6" t="s">
        <v>505</v>
      </c>
      <c r="V71" s="14" cm="1">
        <f t="array" ref="V71">CalculerCommissionAnnuelle(M71,Q71,L71,1.7%,2024)</f>
        <v>1643333.3333333335</v>
      </c>
      <c r="W71" s="14" cm="1">
        <f t="array" ref="W71">CalculerCommissionAnnuelle(M71,Q71,L71,1.7%,2023)</f>
        <v>0</v>
      </c>
      <c r="X71" s="14" cm="1">
        <f t="array" ref="X71">CalculerCommissionAnnuelle(M71,Q71,L71,1.7%,2022)</f>
        <v>0</v>
      </c>
      <c r="Y71" s="14" cm="1">
        <f t="array" ref="Y71">CalculerCommissionAnnuelle(M71,Q71,L71,1.7%,2021)</f>
        <v>0</v>
      </c>
      <c r="Z71" s="19" t="str">
        <f t="shared" si="1"/>
        <v>GP</v>
      </c>
    </row>
    <row r="72" spans="1:26" s="1" customFormat="1" ht="18.149999999999999" customHeight="1" x14ac:dyDescent="0.25">
      <c r="A72" s="3" t="s">
        <v>528</v>
      </c>
      <c r="B72" s="3" t="s">
        <v>529</v>
      </c>
      <c r="C72" s="3" t="s">
        <v>530</v>
      </c>
      <c r="D72" s="3" t="s">
        <v>21</v>
      </c>
      <c r="E72" s="4"/>
      <c r="F72" s="3" t="s">
        <v>531</v>
      </c>
      <c r="G72" s="3" t="s">
        <v>532</v>
      </c>
      <c r="H72" s="5">
        <v>0</v>
      </c>
      <c r="I72" s="4">
        <v>45275</v>
      </c>
      <c r="J72" s="3" t="s">
        <v>22</v>
      </c>
      <c r="K72" s="3" t="s">
        <v>23</v>
      </c>
      <c r="L72" s="5">
        <v>24</v>
      </c>
      <c r="M72" s="10">
        <v>69000000</v>
      </c>
      <c r="N72" s="5">
        <v>3314193</v>
      </c>
      <c r="O72" s="5">
        <v>12</v>
      </c>
      <c r="P72" s="3" t="s">
        <v>24</v>
      </c>
      <c r="Q72" s="4">
        <v>45306</v>
      </c>
      <c r="R72" s="4">
        <v>46006</v>
      </c>
      <c r="S72" s="4"/>
      <c r="T72" s="3" t="s">
        <v>28</v>
      </c>
      <c r="U72" s="3" t="s">
        <v>498</v>
      </c>
      <c r="V72" s="14" cm="1">
        <f t="array" ref="V72">CalculerCommissionAnnuelle(M72,Q72,L72,1.7%,2024)</f>
        <v>1564000</v>
      </c>
      <c r="W72" s="14" cm="1">
        <f t="array" ref="W72">CalculerCommissionAnnuelle(M72,Q72,L72,1.7%,2023)</f>
        <v>0</v>
      </c>
      <c r="X72" s="14" cm="1">
        <f t="array" ref="X72">CalculerCommissionAnnuelle(M72,Q72,L72,1.7%,2022)</f>
        <v>0</v>
      </c>
      <c r="Y72" s="14" cm="1">
        <f t="array" ref="Y72">CalculerCommissionAnnuelle(M72,Q72,L72,1.7%,2021)</f>
        <v>0</v>
      </c>
      <c r="Z72" s="19" t="str">
        <f t="shared" si="1"/>
        <v>GP</v>
      </c>
    </row>
    <row r="73" spans="1:26" s="1" customFormat="1" ht="18.149999999999999" customHeight="1" x14ac:dyDescent="0.25">
      <c r="A73" s="6" t="s">
        <v>796</v>
      </c>
      <c r="B73" s="6" t="s">
        <v>821</v>
      </c>
      <c r="C73" s="6" t="s">
        <v>822</v>
      </c>
      <c r="D73" s="6" t="s">
        <v>21</v>
      </c>
      <c r="E73" s="7"/>
      <c r="F73" s="6" t="s">
        <v>823</v>
      </c>
      <c r="G73" s="6" t="s">
        <v>824</v>
      </c>
      <c r="H73" s="8">
        <v>0</v>
      </c>
      <c r="I73" s="16">
        <v>44494</v>
      </c>
      <c r="J73" s="6" t="s">
        <v>59</v>
      </c>
      <c r="K73" s="6" t="s">
        <v>60</v>
      </c>
      <c r="L73" s="8">
        <v>60</v>
      </c>
      <c r="M73" s="11">
        <v>100000000</v>
      </c>
      <c r="N73" s="8">
        <v>2244066</v>
      </c>
      <c r="O73" s="8">
        <v>9.99</v>
      </c>
      <c r="P73" s="6" t="s">
        <v>24</v>
      </c>
      <c r="Q73" s="7">
        <v>44525</v>
      </c>
      <c r="R73" s="7">
        <v>46320</v>
      </c>
      <c r="S73" s="7"/>
      <c r="T73" s="6" t="s">
        <v>28</v>
      </c>
      <c r="U73" s="6" t="s">
        <v>641</v>
      </c>
      <c r="V73" s="14" cm="1">
        <f t="array" ref="V73">CalculerCommissionAnnuelle(M73,Q73,L73,1.7%,2024)</f>
        <v>1473333.3333333335</v>
      </c>
      <c r="W73" s="14" cm="1">
        <f t="array" ref="W73">CalculerCommissionAnnuelle(M73,Q73,L73,1.7%,2023)</f>
        <v>2153333.3333333335</v>
      </c>
      <c r="X73" s="14" cm="1">
        <f t="array" ref="X73">CalculerCommissionAnnuelle(M73,Q73,L73,1.7%,2022)</f>
        <v>2833333.3333333335</v>
      </c>
      <c r="Y73" s="14" cm="1">
        <f t="array" ref="Y73">CalculerCommissionAnnuelle(M73,Q73,L73,1.7%,2021)</f>
        <v>1671666.6666666667</v>
      </c>
      <c r="Z73" s="19" t="str">
        <f t="shared" si="1"/>
        <v>GP</v>
      </c>
    </row>
    <row r="74" spans="1:26" s="1" customFormat="1" ht="18.149999999999999" customHeight="1" x14ac:dyDescent="0.25">
      <c r="A74" s="6" t="s">
        <v>407</v>
      </c>
      <c r="B74" s="6" t="s">
        <v>408</v>
      </c>
      <c r="C74" s="6" t="s">
        <v>409</v>
      </c>
      <c r="D74" s="6" t="s">
        <v>21</v>
      </c>
      <c r="E74" s="7"/>
      <c r="F74" s="6" t="s">
        <v>410</v>
      </c>
      <c r="G74" s="6" t="s">
        <v>411</v>
      </c>
      <c r="H74" s="8">
        <v>0</v>
      </c>
      <c r="I74" s="16">
        <v>44462</v>
      </c>
      <c r="J74" s="6" t="s">
        <v>29</v>
      </c>
      <c r="K74" s="6" t="s">
        <v>30</v>
      </c>
      <c r="L74" s="8">
        <v>60</v>
      </c>
      <c r="M74" s="11">
        <v>97000000</v>
      </c>
      <c r="N74" s="8">
        <v>2030551</v>
      </c>
      <c r="O74" s="8">
        <v>8</v>
      </c>
      <c r="P74" s="6" t="s">
        <v>24</v>
      </c>
      <c r="Q74" s="7">
        <v>44492</v>
      </c>
      <c r="R74" s="7">
        <v>46288</v>
      </c>
      <c r="S74" s="7"/>
      <c r="T74" s="6" t="s">
        <v>28</v>
      </c>
      <c r="U74" s="6" t="s">
        <v>34</v>
      </c>
      <c r="V74" s="14" cm="1">
        <f t="array" ref="V74">CalculerCommissionAnnuelle(M74,Q74,L74,1.7%,2024)</f>
        <v>1374166.6666666667</v>
      </c>
      <c r="W74" s="14" cm="1">
        <f t="array" ref="W74">CalculerCommissionAnnuelle(M74,Q74,L74,1.7%,2023)</f>
        <v>2033766.6666666667</v>
      </c>
      <c r="X74" s="14" cm="1">
        <f t="array" ref="X74">CalculerCommissionAnnuelle(M74,Q74,L74,1.7%,2022)</f>
        <v>2693366.666666667</v>
      </c>
      <c r="Y74" s="14" cm="1">
        <f t="array" ref="Y74">CalculerCommissionAnnuelle(M74,Q74,L74,1.7%,2021)</f>
        <v>1594033.3333333335</v>
      </c>
      <c r="Z74" s="19" t="str">
        <f t="shared" si="1"/>
        <v>GP</v>
      </c>
    </row>
    <row r="75" spans="1:26" s="1" customFormat="1" ht="18.149999999999999" customHeight="1" x14ac:dyDescent="0.25">
      <c r="A75" s="6" t="s">
        <v>26</v>
      </c>
      <c r="B75" s="6" t="s">
        <v>167</v>
      </c>
      <c r="C75" s="6" t="s">
        <v>168</v>
      </c>
      <c r="D75" s="6" t="s">
        <v>21</v>
      </c>
      <c r="E75" s="7"/>
      <c r="F75" s="6" t="s">
        <v>169</v>
      </c>
      <c r="G75" s="6" t="s">
        <v>170</v>
      </c>
      <c r="H75" s="8">
        <v>0</v>
      </c>
      <c r="I75" s="16">
        <v>44266</v>
      </c>
      <c r="J75" s="6" t="s">
        <v>29</v>
      </c>
      <c r="K75" s="6" t="s">
        <v>30</v>
      </c>
      <c r="L75" s="8">
        <v>60</v>
      </c>
      <c r="M75" s="11">
        <v>127000000</v>
      </c>
      <c r="N75" s="8">
        <v>2731613</v>
      </c>
      <c r="O75" s="8">
        <v>9</v>
      </c>
      <c r="P75" s="6" t="s">
        <v>24</v>
      </c>
      <c r="Q75" s="7">
        <v>44297</v>
      </c>
      <c r="R75" s="7">
        <v>46092</v>
      </c>
      <c r="S75" s="7"/>
      <c r="T75" s="6" t="s">
        <v>28</v>
      </c>
      <c r="U75" s="6" t="s">
        <v>141</v>
      </c>
      <c r="V75" s="14" cm="1">
        <f t="array" ref="V75">CalculerCommissionAnnuelle(M75,Q75,L75,1.7%,2024)</f>
        <v>1367366.6666666667</v>
      </c>
      <c r="W75" s="14" cm="1">
        <f t="array" ref="W75">CalculerCommissionAnnuelle(M75,Q75,L75,1.7%,2023)</f>
        <v>2230966.666666667</v>
      </c>
      <c r="X75" s="14" cm="1">
        <f t="array" ref="X75">CalculerCommissionAnnuelle(M75,Q75,L75,1.7%,2022)</f>
        <v>3094566.666666667</v>
      </c>
      <c r="Y75" s="14" cm="1">
        <f t="array" ref="Y75">CalculerCommissionAnnuelle(M75,Q75,L75,1.7%,2021)</f>
        <v>3958166.666666667</v>
      </c>
      <c r="Z75" s="19" t="str">
        <f t="shared" si="1"/>
        <v>GP</v>
      </c>
    </row>
    <row r="76" spans="1:26" s="1" customFormat="1" ht="18.149999999999999" customHeight="1" x14ac:dyDescent="0.25">
      <c r="A76" s="3" t="s">
        <v>857</v>
      </c>
      <c r="B76" s="3" t="s">
        <v>858</v>
      </c>
      <c r="C76" s="3" t="s">
        <v>859</v>
      </c>
      <c r="D76" s="3" t="s">
        <v>21</v>
      </c>
      <c r="E76" s="4"/>
      <c r="F76" s="3" t="s">
        <v>860</v>
      </c>
      <c r="G76" s="3" t="s">
        <v>861</v>
      </c>
      <c r="H76" s="5">
        <v>0</v>
      </c>
      <c r="I76" s="4">
        <v>45183</v>
      </c>
      <c r="J76" s="3" t="s">
        <v>62</v>
      </c>
      <c r="K76" s="3" t="s">
        <v>63</v>
      </c>
      <c r="L76" s="5">
        <v>60</v>
      </c>
      <c r="M76" s="10">
        <v>80000000</v>
      </c>
      <c r="N76" s="5">
        <v>1748544</v>
      </c>
      <c r="O76" s="5">
        <v>9</v>
      </c>
      <c r="P76" s="3" t="s">
        <v>24</v>
      </c>
      <c r="Q76" s="4">
        <v>45579</v>
      </c>
      <c r="R76" s="4">
        <v>47375</v>
      </c>
      <c r="S76" s="4">
        <v>45274</v>
      </c>
      <c r="T76" s="3" t="s">
        <v>25</v>
      </c>
      <c r="U76" s="3" t="s">
        <v>416</v>
      </c>
      <c r="V76" s="14" cm="1">
        <f t="array" ref="V76">CalculerCommissionAnnuelle(M76,Q76,L76,1.7%,2024)</f>
        <v>1314666.6666666667</v>
      </c>
      <c r="W76" s="14" cm="1">
        <f t="array" ref="W76">CalculerCommissionAnnuelle(M76,Q76,L76,1.7%,2023)</f>
        <v>0</v>
      </c>
      <c r="X76" s="14" cm="1">
        <f t="array" ref="X76">CalculerCommissionAnnuelle(M76,Q76,L76,1.7%,2022)</f>
        <v>0</v>
      </c>
      <c r="Y76" s="14" cm="1">
        <f t="array" ref="Y76">CalculerCommissionAnnuelle(M76,Q76,L76,1.7%,2021)</f>
        <v>0</v>
      </c>
      <c r="Z76" s="19" t="str">
        <f t="shared" si="1"/>
        <v>GP</v>
      </c>
    </row>
    <row r="77" spans="1:26" s="1" customFormat="1" ht="18.149999999999999" customHeight="1" x14ac:dyDescent="0.25">
      <c r="A77" s="6" t="s">
        <v>330</v>
      </c>
      <c r="B77" s="6" t="s">
        <v>357</v>
      </c>
      <c r="C77" s="6" t="s">
        <v>358</v>
      </c>
      <c r="D77" s="6" t="s">
        <v>21</v>
      </c>
      <c r="E77" s="7"/>
      <c r="F77" s="6" t="s">
        <v>359</v>
      </c>
      <c r="G77" s="6" t="s">
        <v>360</v>
      </c>
      <c r="H77" s="8">
        <v>0</v>
      </c>
      <c r="I77" s="16">
        <v>45085</v>
      </c>
      <c r="J77" s="6" t="s">
        <v>59</v>
      </c>
      <c r="K77" s="6" t="s">
        <v>60</v>
      </c>
      <c r="L77" s="8">
        <v>60</v>
      </c>
      <c r="M77" s="11">
        <v>49230000</v>
      </c>
      <c r="N77" s="8">
        <v>1047422</v>
      </c>
      <c r="O77" s="8">
        <v>8</v>
      </c>
      <c r="P77" s="6" t="s">
        <v>24</v>
      </c>
      <c r="Q77" s="7">
        <v>45115</v>
      </c>
      <c r="R77" s="7">
        <v>46912</v>
      </c>
      <c r="S77" s="7"/>
      <c r="T77" s="6" t="s">
        <v>28</v>
      </c>
      <c r="U77" s="6" t="s">
        <v>232</v>
      </c>
      <c r="V77" s="14" cm="1">
        <f t="array" ref="V77">CalculerCommissionAnnuelle(M77,Q77,L77,1.7%,2024)</f>
        <v>1283262</v>
      </c>
      <c r="W77" s="14" cm="1">
        <f t="array" ref="W77">CalculerCommissionAnnuelle(M77,Q77,L77,1.7%,2023)</f>
        <v>767167.5</v>
      </c>
      <c r="X77" s="14" cm="1">
        <f t="array" ref="X77">CalculerCommissionAnnuelle(M77,Q77,L77,1.7%,2022)</f>
        <v>0</v>
      </c>
      <c r="Y77" s="14" cm="1">
        <f t="array" ref="Y77">CalculerCommissionAnnuelle(M77,Q77,L77,1.7%,2021)</f>
        <v>0</v>
      </c>
      <c r="Z77" s="19" t="str">
        <f t="shared" si="1"/>
        <v>GP</v>
      </c>
    </row>
    <row r="78" spans="1:26" s="1" customFormat="1" ht="18.149999999999999" customHeight="1" x14ac:dyDescent="0.25">
      <c r="A78" s="3" t="s">
        <v>26</v>
      </c>
      <c r="B78" s="3" t="s">
        <v>64</v>
      </c>
      <c r="C78" s="3" t="s">
        <v>65</v>
      </c>
      <c r="D78" s="3" t="s">
        <v>21</v>
      </c>
      <c r="E78" s="4">
        <v>25577</v>
      </c>
      <c r="F78" s="3" t="s">
        <v>66</v>
      </c>
      <c r="G78" s="3" t="s">
        <v>67</v>
      </c>
      <c r="H78" s="5">
        <v>0</v>
      </c>
      <c r="I78" s="16">
        <v>44888</v>
      </c>
      <c r="J78" s="3" t="s">
        <v>59</v>
      </c>
      <c r="K78" s="3" t="s">
        <v>60</v>
      </c>
      <c r="L78" s="5">
        <v>60</v>
      </c>
      <c r="M78" s="10">
        <v>57300000</v>
      </c>
      <c r="N78" s="5">
        <v>1252395</v>
      </c>
      <c r="O78" s="5">
        <v>9</v>
      </c>
      <c r="P78" s="3" t="s">
        <v>24</v>
      </c>
      <c r="Q78" s="4">
        <v>44918</v>
      </c>
      <c r="R78" s="4">
        <v>46714</v>
      </c>
      <c r="S78" s="4"/>
      <c r="T78" s="3" t="s">
        <v>28</v>
      </c>
      <c r="U78" s="3" t="s">
        <v>61</v>
      </c>
      <c r="V78" s="14" cm="1">
        <f t="array" ref="V78">CalculerCommissionAnnuelle(M78,Q78,L78,1.7%,2024)</f>
        <v>1266330</v>
      </c>
      <c r="W78" s="14" cm="1">
        <f t="array" ref="W78">CalculerCommissionAnnuelle(M78,Q78,L78,1.7%,2023)</f>
        <v>1655970.0000000002</v>
      </c>
      <c r="X78" s="14" cm="1">
        <f t="array" ref="X78">CalculerCommissionAnnuelle(M78,Q78,L78,1.7%,2022)</f>
        <v>974100.00000000012</v>
      </c>
      <c r="Y78" s="14" cm="1">
        <f t="array" ref="Y78">CalculerCommissionAnnuelle(M78,Q78,L78,1.7%,2021)</f>
        <v>0</v>
      </c>
      <c r="Z78" s="19" t="str">
        <f t="shared" si="1"/>
        <v>GP</v>
      </c>
    </row>
    <row r="79" spans="1:26" s="1" customFormat="1" ht="18.149999999999999" customHeight="1" x14ac:dyDescent="0.25">
      <c r="A79" s="6" t="s">
        <v>636</v>
      </c>
      <c r="B79" s="6" t="s">
        <v>637</v>
      </c>
      <c r="C79" s="6" t="s">
        <v>638</v>
      </c>
      <c r="D79" s="6" t="s">
        <v>21</v>
      </c>
      <c r="E79" s="7"/>
      <c r="F79" s="6" t="s">
        <v>639</v>
      </c>
      <c r="G79" s="6" t="s">
        <v>640</v>
      </c>
      <c r="H79" s="8">
        <v>0</v>
      </c>
      <c r="I79" s="16">
        <v>44652</v>
      </c>
      <c r="J79" s="6" t="s">
        <v>62</v>
      </c>
      <c r="K79" s="6" t="s">
        <v>63</v>
      </c>
      <c r="L79" s="8">
        <v>78</v>
      </c>
      <c r="M79" s="11">
        <v>50000000</v>
      </c>
      <c r="N79" s="8">
        <v>936799</v>
      </c>
      <c r="O79" s="8">
        <v>10</v>
      </c>
      <c r="P79" s="6" t="s">
        <v>24</v>
      </c>
      <c r="Q79" s="7">
        <v>44866</v>
      </c>
      <c r="R79" s="7">
        <v>47209</v>
      </c>
      <c r="S79" s="7">
        <v>44927</v>
      </c>
      <c r="T79" s="6" t="s">
        <v>25</v>
      </c>
      <c r="U79" s="6" t="s">
        <v>641</v>
      </c>
      <c r="V79" s="14" cm="1">
        <f t="array" ref="V79">CalculerCommissionAnnuelle(M79,Q79,L79,1.7%,2024)</f>
        <v>1220512.8205128207</v>
      </c>
      <c r="W79" s="14" cm="1">
        <f t="array" ref="W79">CalculerCommissionAnnuelle(M79,Q79,L79,1.7%,2023)</f>
        <v>1482051.282051282</v>
      </c>
      <c r="X79" s="14" cm="1">
        <f t="array" ref="X79">CalculerCommissionAnnuelle(M79,Q79,L79,1.7%,2022)</f>
        <v>839102.56410256412</v>
      </c>
      <c r="Y79" s="14" cm="1">
        <f t="array" ref="Y79">CalculerCommissionAnnuelle(M79,Q79,L79,1.7%,2021)</f>
        <v>0</v>
      </c>
      <c r="Z79" s="19" t="str">
        <f t="shared" si="1"/>
        <v>GP</v>
      </c>
    </row>
    <row r="80" spans="1:26" s="1" customFormat="1" ht="18.149999999999999" customHeight="1" x14ac:dyDescent="0.25">
      <c r="A80" s="6" t="s">
        <v>26</v>
      </c>
      <c r="B80" s="6" t="s">
        <v>228</v>
      </c>
      <c r="C80" s="6" t="s">
        <v>229</v>
      </c>
      <c r="D80" s="6" t="s">
        <v>21</v>
      </c>
      <c r="E80" s="7"/>
      <c r="F80" s="6" t="s">
        <v>230</v>
      </c>
      <c r="G80" s="6" t="s">
        <v>231</v>
      </c>
      <c r="H80" s="8">
        <v>0</v>
      </c>
      <c r="I80" s="7">
        <v>45114</v>
      </c>
      <c r="J80" s="6" t="s">
        <v>62</v>
      </c>
      <c r="K80" s="6" t="s">
        <v>63</v>
      </c>
      <c r="L80" s="8">
        <v>54</v>
      </c>
      <c r="M80" s="11">
        <v>40000000</v>
      </c>
      <c r="N80" s="8">
        <v>946973</v>
      </c>
      <c r="O80" s="8">
        <v>9</v>
      </c>
      <c r="P80" s="6" t="s">
        <v>24</v>
      </c>
      <c r="Q80" s="7">
        <v>45329</v>
      </c>
      <c r="R80" s="7">
        <v>46941</v>
      </c>
      <c r="S80" s="7"/>
      <c r="T80" s="6" t="s">
        <v>28</v>
      </c>
      <c r="U80" s="6" t="s">
        <v>232</v>
      </c>
      <c r="V80" s="14" cm="1">
        <f t="array" ref="V80">CalculerCommissionAnnuelle(M80,Q80,L80,1.7%,2024)</f>
        <v>1183703.7037037038</v>
      </c>
      <c r="W80" s="14" cm="1">
        <f t="array" ref="W80">CalculerCommissionAnnuelle(M80,Q80,L80,1.7%,2023)</f>
        <v>0</v>
      </c>
      <c r="X80" s="14" cm="1">
        <f t="array" ref="X80">CalculerCommissionAnnuelle(M80,Q80,L80,1.7%,2022)</f>
        <v>0</v>
      </c>
      <c r="Y80" s="14" cm="1">
        <f t="array" ref="Y80">CalculerCommissionAnnuelle(M80,Q80,L80,1.7%,2021)</f>
        <v>0</v>
      </c>
      <c r="Z80" s="19" t="str">
        <f t="shared" si="1"/>
        <v>GP</v>
      </c>
    </row>
    <row r="81" spans="1:26" s="1" customFormat="1" ht="18.649999999999999" customHeight="1" x14ac:dyDescent="0.25">
      <c r="A81" s="3" t="s">
        <v>830</v>
      </c>
      <c r="B81" s="3" t="s">
        <v>831</v>
      </c>
      <c r="C81" s="3" t="s">
        <v>832</v>
      </c>
      <c r="D81" s="3" t="s">
        <v>21</v>
      </c>
      <c r="E81" s="4"/>
      <c r="F81" s="3" t="s">
        <v>833</v>
      </c>
      <c r="G81" s="3" t="s">
        <v>834</v>
      </c>
      <c r="H81" s="5">
        <v>0</v>
      </c>
      <c r="I81" s="16">
        <v>45167</v>
      </c>
      <c r="J81" s="3" t="s">
        <v>59</v>
      </c>
      <c r="K81" s="3" t="s">
        <v>60</v>
      </c>
      <c r="L81" s="5">
        <v>60</v>
      </c>
      <c r="M81" s="10">
        <v>43000000</v>
      </c>
      <c r="N81" s="5">
        <v>965204</v>
      </c>
      <c r="O81" s="5">
        <v>10</v>
      </c>
      <c r="P81" s="3" t="s">
        <v>24</v>
      </c>
      <c r="Q81" s="4">
        <v>45198</v>
      </c>
      <c r="R81" s="4">
        <v>46994</v>
      </c>
      <c r="S81" s="4"/>
      <c r="T81" s="3" t="s">
        <v>28</v>
      </c>
      <c r="U81" s="3" t="s">
        <v>300</v>
      </c>
      <c r="V81" s="14" cm="1">
        <f t="array" ref="V81">CalculerCommissionAnnuelle(M81,Q81,L81,1.7%,2024)</f>
        <v>1169600</v>
      </c>
      <c r="W81" s="14" cm="1">
        <f t="array" ref="W81">CalculerCommissionAnnuelle(M81,Q81,L81,1.7%,2023)</f>
        <v>694450</v>
      </c>
      <c r="X81" s="14" cm="1">
        <f t="array" ref="X81">CalculerCommissionAnnuelle(M81,Q81,L81,1.7%,2022)</f>
        <v>0</v>
      </c>
      <c r="Y81" s="14" cm="1">
        <f t="array" ref="Y81">CalculerCommissionAnnuelle(M81,Q81,L81,1.7%,2021)</f>
        <v>0</v>
      </c>
      <c r="Z81" s="19" t="str">
        <f t="shared" si="1"/>
        <v>GP</v>
      </c>
    </row>
    <row r="82" spans="1:26" s="1" customFormat="1" ht="18.149999999999999" customHeight="1" x14ac:dyDescent="0.25">
      <c r="A82" s="3" t="s">
        <v>330</v>
      </c>
      <c r="B82" s="3" t="s">
        <v>391</v>
      </c>
      <c r="C82" s="3" t="s">
        <v>392</v>
      </c>
      <c r="D82" s="3" t="s">
        <v>21</v>
      </c>
      <c r="E82" s="4"/>
      <c r="F82" s="3" t="s">
        <v>393</v>
      </c>
      <c r="G82" s="3" t="s">
        <v>395</v>
      </c>
      <c r="H82" s="5">
        <v>0</v>
      </c>
      <c r="I82" s="16">
        <v>44916</v>
      </c>
      <c r="J82" s="3" t="s">
        <v>52</v>
      </c>
      <c r="K82" s="3" t="s">
        <v>53</v>
      </c>
      <c r="L82" s="5">
        <v>24</v>
      </c>
      <c r="M82" s="10">
        <v>196700000</v>
      </c>
      <c r="N82" s="5">
        <v>9018713</v>
      </c>
      <c r="O82" s="5">
        <v>8</v>
      </c>
      <c r="P82" s="3" t="s">
        <v>24</v>
      </c>
      <c r="Q82" s="4">
        <v>44947</v>
      </c>
      <c r="R82" s="4">
        <v>45647</v>
      </c>
      <c r="S82" s="4"/>
      <c r="T82" s="3" t="s">
        <v>28</v>
      </c>
      <c r="U82" s="3" t="s">
        <v>72</v>
      </c>
      <c r="V82" s="14" cm="1">
        <f t="array" ref="V82">CalculerCommissionAnnuelle(M82,Q82,L82,1.7%,2024)</f>
        <v>1114633.3333333335</v>
      </c>
      <c r="W82" s="14" cm="1">
        <f t="array" ref="W82">CalculerCommissionAnnuelle(M82,Q82,L82,1.7%,2023)</f>
        <v>4458533.333333334</v>
      </c>
      <c r="X82" s="14" cm="1">
        <f t="array" ref="X82">CalculerCommissionAnnuelle(M82,Q82,L82,1.7%,2022)</f>
        <v>0</v>
      </c>
      <c r="Y82" s="14" cm="1">
        <f t="array" ref="Y82">CalculerCommissionAnnuelle(M82,Q82,L82,1.7%,2021)</f>
        <v>0</v>
      </c>
      <c r="Z82" s="19" t="str">
        <f t="shared" si="1"/>
        <v>GP</v>
      </c>
    </row>
    <row r="83" spans="1:26" s="1" customFormat="1" ht="18.149999999999999" customHeight="1" x14ac:dyDescent="0.25">
      <c r="A83" s="3" t="s">
        <v>569</v>
      </c>
      <c r="B83" s="3" t="s">
        <v>574</v>
      </c>
      <c r="C83" s="3" t="s">
        <v>575</v>
      </c>
      <c r="D83" s="3" t="s">
        <v>21</v>
      </c>
      <c r="E83" s="4"/>
      <c r="F83" s="3" t="s">
        <v>576</v>
      </c>
      <c r="G83" s="3" t="s">
        <v>577</v>
      </c>
      <c r="H83" s="5">
        <v>0</v>
      </c>
      <c r="I83" s="16">
        <v>44231</v>
      </c>
      <c r="J83" s="3" t="s">
        <v>59</v>
      </c>
      <c r="K83" s="3" t="s">
        <v>60</v>
      </c>
      <c r="L83" s="5">
        <v>60</v>
      </c>
      <c r="M83" s="10">
        <v>109170000</v>
      </c>
      <c r="N83" s="5">
        <v>2322710</v>
      </c>
      <c r="O83" s="5">
        <v>8</v>
      </c>
      <c r="P83" s="3" t="s">
        <v>24</v>
      </c>
      <c r="Q83" s="4">
        <v>44259</v>
      </c>
      <c r="R83" s="4">
        <v>46057</v>
      </c>
      <c r="S83" s="4"/>
      <c r="T83" s="3" t="s">
        <v>28</v>
      </c>
      <c r="U83" s="3" t="s">
        <v>300</v>
      </c>
      <c r="V83" s="14" cm="1">
        <f t="array" ref="V83">CalculerCommissionAnnuelle(M83,Q83,L83,1.7%,2024)</f>
        <v>1113534</v>
      </c>
      <c r="W83" s="14" cm="1">
        <f t="array" ref="W83">CalculerCommissionAnnuelle(M83,Q83,L83,1.7%,2023)</f>
        <v>1855890.0000000002</v>
      </c>
      <c r="X83" s="14" cm="1">
        <f t="array" ref="X83">CalculerCommissionAnnuelle(M83,Q83,L83,1.7%,2022)</f>
        <v>2598246</v>
      </c>
      <c r="Y83" s="14" cm="1">
        <f t="array" ref="Y83">CalculerCommissionAnnuelle(M83,Q83,L83,1.7%,2021)</f>
        <v>3340602.0000000005</v>
      </c>
      <c r="Z83" s="19" t="str">
        <f t="shared" si="1"/>
        <v>GP</v>
      </c>
    </row>
    <row r="84" spans="1:26" s="1" customFormat="1" ht="18.149999999999999" customHeight="1" x14ac:dyDescent="0.25">
      <c r="A84" s="3" t="s">
        <v>26</v>
      </c>
      <c r="B84" s="3" t="s">
        <v>138</v>
      </c>
      <c r="C84" s="3" t="s">
        <v>139</v>
      </c>
      <c r="D84" s="3" t="s">
        <v>21</v>
      </c>
      <c r="E84" s="4"/>
      <c r="F84" s="3" t="s">
        <v>140</v>
      </c>
      <c r="G84" s="3" t="s">
        <v>142</v>
      </c>
      <c r="H84" s="5">
        <v>0</v>
      </c>
      <c r="I84" s="16">
        <v>45212</v>
      </c>
      <c r="J84" s="3" t="s">
        <v>39</v>
      </c>
      <c r="K84" s="3" t="s">
        <v>40</v>
      </c>
      <c r="L84" s="5">
        <v>24</v>
      </c>
      <c r="M84" s="10">
        <v>50000000</v>
      </c>
      <c r="N84" s="5">
        <v>2265700</v>
      </c>
      <c r="O84" s="5">
        <v>7</v>
      </c>
      <c r="P84" s="3" t="s">
        <v>24</v>
      </c>
      <c r="Q84" s="4">
        <v>45243</v>
      </c>
      <c r="R84" s="4">
        <v>45943</v>
      </c>
      <c r="S84" s="4"/>
      <c r="T84" s="3" t="s">
        <v>28</v>
      </c>
      <c r="U84" s="3" t="s">
        <v>141</v>
      </c>
      <c r="V84" s="14" cm="1">
        <f t="array" ref="V84">CalculerCommissionAnnuelle(M84,Q84,L84,1.7%,2024)</f>
        <v>991666.66666666674</v>
      </c>
      <c r="W84" s="14" cm="1">
        <f t="array" ref="W84">CalculerCommissionAnnuelle(M84,Q84,L84,1.7%,2023)</f>
        <v>814583.33333333337</v>
      </c>
      <c r="X84" s="14" cm="1">
        <f t="array" ref="X84">CalculerCommissionAnnuelle(M84,Q84,L84,1.7%,2022)</f>
        <v>0</v>
      </c>
      <c r="Y84" s="14" cm="1">
        <f t="array" ref="Y84">CalculerCommissionAnnuelle(M84,Q84,L84,1.7%,2021)</f>
        <v>0</v>
      </c>
      <c r="Z84" s="19" t="str">
        <f t="shared" si="1"/>
        <v>GP</v>
      </c>
    </row>
    <row r="85" spans="1:26" s="1" customFormat="1" ht="18.149999999999999" customHeight="1" x14ac:dyDescent="0.25">
      <c r="A85" s="6" t="s">
        <v>750</v>
      </c>
      <c r="B85" s="6" t="s">
        <v>769</v>
      </c>
      <c r="C85" s="6" t="s">
        <v>770</v>
      </c>
      <c r="D85" s="6" t="s">
        <v>21</v>
      </c>
      <c r="E85" s="7">
        <v>28960</v>
      </c>
      <c r="F85" s="6" t="s">
        <v>771</v>
      </c>
      <c r="G85" s="6" t="s">
        <v>772</v>
      </c>
      <c r="H85" s="8">
        <v>1</v>
      </c>
      <c r="I85" s="16">
        <v>44544</v>
      </c>
      <c r="J85" s="6" t="s">
        <v>29</v>
      </c>
      <c r="K85" s="6" t="s">
        <v>30</v>
      </c>
      <c r="L85" s="8">
        <v>36</v>
      </c>
      <c r="M85" s="11">
        <v>250000000</v>
      </c>
      <c r="N85" s="8">
        <v>3196755</v>
      </c>
      <c r="O85" s="8">
        <v>8</v>
      </c>
      <c r="P85" s="6" t="s">
        <v>24</v>
      </c>
      <c r="Q85" s="7">
        <v>44575</v>
      </c>
      <c r="R85" s="7">
        <v>45640</v>
      </c>
      <c r="S85" s="7"/>
      <c r="T85" s="6" t="s">
        <v>28</v>
      </c>
      <c r="U85" s="6" t="s">
        <v>83</v>
      </c>
      <c r="V85" s="14" cm="1">
        <f t="array" ref="V85">CalculerCommissionAnnuelle(M85,Q85,L85,1.7%,2024)</f>
        <v>944444.4444444445</v>
      </c>
      <c r="W85" s="14" cm="1">
        <f t="array" ref="W85">CalculerCommissionAnnuelle(M85,Q85,L85,1.7%,2023)</f>
        <v>3777777.777777778</v>
      </c>
      <c r="X85" s="14" cm="1">
        <f t="array" ref="X85">CalculerCommissionAnnuelle(M85,Q85,L85,1.7%,2022)</f>
        <v>6611111.1111111119</v>
      </c>
      <c r="Y85" s="14" cm="1">
        <f t="array" ref="Y85">CalculerCommissionAnnuelle(M85,Q85,L85,1.7%,2021)</f>
        <v>0</v>
      </c>
      <c r="Z85" s="19" t="str">
        <f t="shared" si="1"/>
        <v>GI</v>
      </c>
    </row>
    <row r="86" spans="1:26" s="1" customFormat="1" ht="18.149999999999999" customHeight="1" x14ac:dyDescent="0.25">
      <c r="A86" s="6" t="s">
        <v>26</v>
      </c>
      <c r="B86" s="6" t="s">
        <v>107</v>
      </c>
      <c r="C86" s="6" t="s">
        <v>108</v>
      </c>
      <c r="D86" s="6" t="s">
        <v>21</v>
      </c>
      <c r="E86" s="7"/>
      <c r="F86" s="6" t="s">
        <v>109</v>
      </c>
      <c r="G86" s="6" t="s">
        <v>110</v>
      </c>
      <c r="H86" s="8">
        <v>0</v>
      </c>
      <c r="I86" s="16">
        <v>44210</v>
      </c>
      <c r="J86" s="6" t="s">
        <v>50</v>
      </c>
      <c r="K86" s="6" t="s">
        <v>51</v>
      </c>
      <c r="L86" s="8">
        <v>96</v>
      </c>
      <c r="M86" s="11">
        <v>49500000</v>
      </c>
      <c r="N86" s="8">
        <v>796379</v>
      </c>
      <c r="O86" s="8">
        <v>10</v>
      </c>
      <c r="P86" s="6" t="s">
        <v>24</v>
      </c>
      <c r="Q86" s="7">
        <v>44241</v>
      </c>
      <c r="R86" s="7">
        <v>47132</v>
      </c>
      <c r="S86" s="7"/>
      <c r="T86" s="6" t="s">
        <v>28</v>
      </c>
      <c r="U86" s="6" t="s">
        <v>61</v>
      </c>
      <c r="V86" s="14" cm="1">
        <f t="array" ref="V86">CalculerCommissionAnnuelle(M86,Q86,L86,1.7%,2024)</f>
        <v>929156.25000000012</v>
      </c>
      <c r="W86" s="14" cm="1">
        <f t="array" ref="W86">CalculerCommissionAnnuelle(M86,Q86,L86,1.7%,2023)</f>
        <v>1139531.25</v>
      </c>
      <c r="X86" s="14" cm="1">
        <f t="array" ref="X86">CalculerCommissionAnnuelle(M86,Q86,L86,1.7%,2022)</f>
        <v>1349906.25</v>
      </c>
      <c r="Y86" s="14" cm="1">
        <f t="array" ref="Y86">CalculerCommissionAnnuelle(M86,Q86,L86,1.7%,2021)</f>
        <v>1560281.25</v>
      </c>
      <c r="Z86" s="19" t="str">
        <f t="shared" si="1"/>
        <v>GP</v>
      </c>
    </row>
    <row r="87" spans="1:26" s="1" customFormat="1" ht="17.399999999999999" customHeight="1" x14ac:dyDescent="0.25">
      <c r="A87" s="6" t="s">
        <v>528</v>
      </c>
      <c r="B87" s="6" t="s">
        <v>565</v>
      </c>
      <c r="C87" s="6" t="s">
        <v>566</v>
      </c>
      <c r="D87" s="6" t="s">
        <v>21</v>
      </c>
      <c r="E87" s="7"/>
      <c r="F87" s="6" t="s">
        <v>567</v>
      </c>
      <c r="G87" s="6" t="s">
        <v>568</v>
      </c>
      <c r="H87" s="8">
        <v>0</v>
      </c>
      <c r="I87" s="16">
        <v>44468</v>
      </c>
      <c r="J87" s="6" t="s">
        <v>29</v>
      </c>
      <c r="K87" s="6" t="s">
        <v>30</v>
      </c>
      <c r="L87" s="8">
        <v>48</v>
      </c>
      <c r="M87" s="11">
        <v>100000000</v>
      </c>
      <c r="N87" s="8">
        <v>2477834</v>
      </c>
      <c r="O87" s="8">
        <v>7.5</v>
      </c>
      <c r="P87" s="6" t="s">
        <v>24</v>
      </c>
      <c r="Q87" s="7">
        <v>44498</v>
      </c>
      <c r="R87" s="7">
        <v>45929</v>
      </c>
      <c r="S87" s="7"/>
      <c r="T87" s="6" t="s">
        <v>28</v>
      </c>
      <c r="U87" s="6" t="s">
        <v>141</v>
      </c>
      <c r="V87" s="14" cm="1">
        <f t="array" ref="V87">CalculerCommissionAnnuelle(M87,Q87,L87,1.7%,2024)</f>
        <v>920833.33333333337</v>
      </c>
      <c r="W87" s="14" cm="1">
        <f t="array" ref="W87">CalculerCommissionAnnuelle(M87,Q87,L87,1.7%,2023)</f>
        <v>1770833.3333333335</v>
      </c>
      <c r="X87" s="14" cm="1">
        <f t="array" ref="X87">CalculerCommissionAnnuelle(M87,Q87,L87,1.7%,2022)</f>
        <v>2620833.3333333335</v>
      </c>
      <c r="Y87" s="14" cm="1">
        <f t="array" ref="Y87">CalculerCommissionAnnuelle(M87,Q87,L87,1.7%,2021)</f>
        <v>1629166.6666666667</v>
      </c>
      <c r="Z87" s="19" t="str">
        <f t="shared" si="1"/>
        <v>GP</v>
      </c>
    </row>
    <row r="88" spans="1:26" s="1" customFormat="1" ht="18.149999999999999" customHeight="1" x14ac:dyDescent="0.25">
      <c r="A88" s="6" t="s">
        <v>257</v>
      </c>
      <c r="B88" s="6" t="s">
        <v>267</v>
      </c>
      <c r="C88" s="6" t="s">
        <v>268</v>
      </c>
      <c r="D88" s="6" t="s">
        <v>21</v>
      </c>
      <c r="E88" s="7"/>
      <c r="F88" s="6" t="s">
        <v>269</v>
      </c>
      <c r="G88" s="6" t="s">
        <v>270</v>
      </c>
      <c r="H88" s="8">
        <v>0</v>
      </c>
      <c r="I88" s="16">
        <v>44593</v>
      </c>
      <c r="J88" s="6" t="s">
        <v>59</v>
      </c>
      <c r="K88" s="6" t="s">
        <v>60</v>
      </c>
      <c r="L88" s="8">
        <v>60</v>
      </c>
      <c r="M88" s="11">
        <v>53500000</v>
      </c>
      <c r="N88" s="8">
        <v>1200575</v>
      </c>
      <c r="O88" s="8">
        <v>9.99</v>
      </c>
      <c r="P88" s="6" t="s">
        <v>24</v>
      </c>
      <c r="Q88" s="7">
        <v>44621</v>
      </c>
      <c r="R88" s="7">
        <v>46419</v>
      </c>
      <c r="S88" s="7"/>
      <c r="T88" s="6" t="s">
        <v>28</v>
      </c>
      <c r="U88" s="6" t="s">
        <v>262</v>
      </c>
      <c r="V88" s="14" cm="1">
        <f t="array" ref="V88">CalculerCommissionAnnuelle(M88,Q88,L88,1.7%,2024)</f>
        <v>909500.00000000012</v>
      </c>
      <c r="W88" s="14" cm="1">
        <f t="array" ref="W88">CalculerCommissionAnnuelle(M88,Q88,L88,1.7%,2023)</f>
        <v>1273300</v>
      </c>
      <c r="X88" s="14" cm="1">
        <f t="array" ref="X88">CalculerCommissionAnnuelle(M88,Q88,L88,1.7%,2022)</f>
        <v>1637100.0000000002</v>
      </c>
      <c r="Y88" s="14" cm="1">
        <f t="array" ref="Y88">CalculerCommissionAnnuelle(M88,Q88,L88,1.7%,2021)</f>
        <v>0</v>
      </c>
      <c r="Z88" s="19" t="str">
        <f t="shared" si="1"/>
        <v>GP</v>
      </c>
    </row>
    <row r="89" spans="1:26" s="1" customFormat="1" ht="18.149999999999999" customHeight="1" x14ac:dyDescent="0.25">
      <c r="A89" s="6" t="s">
        <v>924</v>
      </c>
      <c r="B89" s="6" t="s">
        <v>929</v>
      </c>
      <c r="C89" s="6" t="s">
        <v>930</v>
      </c>
      <c r="D89" s="6" t="s">
        <v>21</v>
      </c>
      <c r="E89" s="7"/>
      <c r="F89" s="6" t="s">
        <v>931</v>
      </c>
      <c r="G89" s="6" t="s">
        <v>932</v>
      </c>
      <c r="H89" s="8">
        <v>0</v>
      </c>
      <c r="I89" s="16">
        <v>44880</v>
      </c>
      <c r="J89" s="6" t="s">
        <v>59</v>
      </c>
      <c r="K89" s="6" t="s">
        <v>60</v>
      </c>
      <c r="L89" s="8">
        <v>60</v>
      </c>
      <c r="M89" s="11">
        <v>40000000</v>
      </c>
      <c r="N89" s="8">
        <v>874272</v>
      </c>
      <c r="O89" s="8">
        <v>9</v>
      </c>
      <c r="P89" s="6" t="s">
        <v>24</v>
      </c>
      <c r="Q89" s="7">
        <v>44910</v>
      </c>
      <c r="R89" s="7">
        <v>46706</v>
      </c>
      <c r="S89" s="7"/>
      <c r="T89" s="6" t="s">
        <v>28</v>
      </c>
      <c r="U89" s="6" t="s">
        <v>416</v>
      </c>
      <c r="V89" s="14" cm="1">
        <f t="array" ref="V89">CalculerCommissionAnnuelle(M89,Q89,L89,1.7%,2024)</f>
        <v>884000.00000000012</v>
      </c>
      <c r="W89" s="14" cm="1">
        <f t="array" ref="W89">CalculerCommissionAnnuelle(M89,Q89,L89,1.7%,2023)</f>
        <v>1156000</v>
      </c>
      <c r="X89" s="14" cm="1">
        <f t="array" ref="X89">CalculerCommissionAnnuelle(M89,Q89,L89,1.7%,2022)</f>
        <v>680000</v>
      </c>
      <c r="Y89" s="14" cm="1">
        <f t="array" ref="Y89">CalculerCommissionAnnuelle(M89,Q89,L89,1.7%,2021)</f>
        <v>0</v>
      </c>
      <c r="Z89" s="19" t="str">
        <f t="shared" si="1"/>
        <v>GP</v>
      </c>
    </row>
    <row r="90" spans="1:26" s="1" customFormat="1" ht="18.149999999999999" customHeight="1" x14ac:dyDescent="0.25">
      <c r="A90" s="6" t="s">
        <v>315</v>
      </c>
      <c r="B90" s="6" t="s">
        <v>325</v>
      </c>
      <c r="C90" s="6" t="s">
        <v>326</v>
      </c>
      <c r="D90" s="6" t="s">
        <v>21</v>
      </c>
      <c r="E90" s="7"/>
      <c r="F90" s="6" t="s">
        <v>327</v>
      </c>
      <c r="G90" s="6" t="s">
        <v>329</v>
      </c>
      <c r="H90" s="8">
        <v>0</v>
      </c>
      <c r="I90" s="16">
        <v>45215</v>
      </c>
      <c r="J90" s="6" t="s">
        <v>59</v>
      </c>
      <c r="K90" s="6" t="s">
        <v>60</v>
      </c>
      <c r="L90" s="8">
        <v>60</v>
      </c>
      <c r="M90" s="11">
        <v>31000000</v>
      </c>
      <c r="N90" s="8">
        <v>677561</v>
      </c>
      <c r="O90" s="8">
        <v>9</v>
      </c>
      <c r="P90" s="6" t="s">
        <v>24</v>
      </c>
      <c r="Q90" s="7">
        <v>45246</v>
      </c>
      <c r="R90" s="7">
        <v>47042</v>
      </c>
      <c r="S90" s="7"/>
      <c r="T90" s="6" t="s">
        <v>28</v>
      </c>
      <c r="U90" s="6" t="s">
        <v>320</v>
      </c>
      <c r="V90" s="14" cm="1">
        <f t="array" ref="V90">CalculerCommissionAnnuelle(M90,Q90,L90,1.7%,2024)</f>
        <v>878333.33333333337</v>
      </c>
      <c r="W90" s="14" cm="1">
        <f t="array" ref="W90">CalculerCommissionAnnuelle(M90,Q90,L90,1.7%,2023)</f>
        <v>518216.66666666669</v>
      </c>
      <c r="X90" s="14" cm="1">
        <f t="array" ref="X90">CalculerCommissionAnnuelle(M90,Q90,L90,1.7%,2022)</f>
        <v>0</v>
      </c>
      <c r="Y90" s="14" cm="1">
        <f t="array" ref="Y90">CalculerCommissionAnnuelle(M90,Q90,L90,1.7%,2021)</f>
        <v>0</v>
      </c>
      <c r="Z90" s="19" t="str">
        <f t="shared" si="1"/>
        <v>GP</v>
      </c>
    </row>
    <row r="91" spans="1:26" s="1" customFormat="1" ht="18.149999999999999" customHeight="1" x14ac:dyDescent="0.25">
      <c r="A91" s="6" t="s">
        <v>330</v>
      </c>
      <c r="B91" s="6" t="s">
        <v>361</v>
      </c>
      <c r="C91" s="6" t="s">
        <v>362</v>
      </c>
      <c r="D91" s="6" t="s">
        <v>21</v>
      </c>
      <c r="E91" s="7"/>
      <c r="F91" s="6" t="s">
        <v>363</v>
      </c>
      <c r="G91" s="6" t="s">
        <v>364</v>
      </c>
      <c r="H91" s="8">
        <v>0</v>
      </c>
      <c r="I91" s="16">
        <v>44547</v>
      </c>
      <c r="J91" s="6" t="s">
        <v>29</v>
      </c>
      <c r="K91" s="6" t="s">
        <v>30</v>
      </c>
      <c r="L91" s="8">
        <v>36</v>
      </c>
      <c r="M91" s="11">
        <v>153550002</v>
      </c>
      <c r="N91" s="8">
        <v>4825170</v>
      </c>
      <c r="O91" s="8">
        <v>7</v>
      </c>
      <c r="P91" s="6" t="s">
        <v>24</v>
      </c>
      <c r="Q91" s="7">
        <v>44637</v>
      </c>
      <c r="R91" s="7">
        <v>45705</v>
      </c>
      <c r="S91" s="7">
        <v>44759</v>
      </c>
      <c r="T91" s="6" t="s">
        <v>25</v>
      </c>
      <c r="U91" s="6" t="s">
        <v>77</v>
      </c>
      <c r="V91" s="14" cm="1">
        <f t="array" ref="V91">CalculerCommissionAnnuelle(M91,Q91,L91,1.7%,2024)</f>
        <v>870116.67800000007</v>
      </c>
      <c r="W91" s="14" cm="1">
        <f t="array" ref="W91">CalculerCommissionAnnuelle(M91,Q91,L91,1.7%,2023)</f>
        <v>2610350.034</v>
      </c>
      <c r="X91" s="14" cm="1">
        <f t="array" ref="X91">CalculerCommissionAnnuelle(M91,Q91,L91,1.7%,2022)</f>
        <v>4350583.3900000006</v>
      </c>
      <c r="Y91" s="14" cm="1">
        <f t="array" ref="Y91">CalculerCommissionAnnuelle(M91,Q91,L91,1.7%,2021)</f>
        <v>0</v>
      </c>
      <c r="Z91" s="19" t="str">
        <f t="shared" si="1"/>
        <v>GP</v>
      </c>
    </row>
    <row r="92" spans="1:26" s="1" customFormat="1" ht="18.149999999999999" customHeight="1" x14ac:dyDescent="0.25">
      <c r="A92" s="6" t="s">
        <v>702</v>
      </c>
      <c r="B92" s="6" t="s">
        <v>746</v>
      </c>
      <c r="C92" s="6" t="s">
        <v>747</v>
      </c>
      <c r="D92" s="6" t="s">
        <v>21</v>
      </c>
      <c r="E92" s="7"/>
      <c r="F92" s="6" t="s">
        <v>748</v>
      </c>
      <c r="G92" s="6" t="s">
        <v>749</v>
      </c>
      <c r="H92" s="8">
        <v>0</v>
      </c>
      <c r="I92" s="16">
        <v>45229</v>
      </c>
      <c r="J92" s="6" t="s">
        <v>59</v>
      </c>
      <c r="K92" s="6" t="s">
        <v>60</v>
      </c>
      <c r="L92" s="8">
        <v>60</v>
      </c>
      <c r="M92" s="11">
        <v>30000000</v>
      </c>
      <c r="N92" s="8">
        <v>673398</v>
      </c>
      <c r="O92" s="8">
        <v>10</v>
      </c>
      <c r="P92" s="6" t="s">
        <v>24</v>
      </c>
      <c r="Q92" s="7">
        <v>45260</v>
      </c>
      <c r="R92" s="7">
        <v>47056</v>
      </c>
      <c r="S92" s="7"/>
      <c r="T92" s="6" t="s">
        <v>28</v>
      </c>
      <c r="U92" s="6" t="s">
        <v>707</v>
      </c>
      <c r="V92" s="14" cm="1">
        <f t="array" ref="V92">CalculerCommissionAnnuelle(M92,Q92,L92,1.7%,2024)</f>
        <v>850000.00000000012</v>
      </c>
      <c r="W92" s="14" cm="1">
        <f t="array" ref="W92">CalculerCommissionAnnuelle(M92,Q92,L92,1.7%,2023)</f>
        <v>501500.00000000006</v>
      </c>
      <c r="X92" s="14" cm="1">
        <f t="array" ref="X92">CalculerCommissionAnnuelle(M92,Q92,L92,1.7%,2022)</f>
        <v>0</v>
      </c>
      <c r="Y92" s="14" cm="1">
        <f t="array" ref="Y92">CalculerCommissionAnnuelle(M92,Q92,L92,1.7%,2021)</f>
        <v>0</v>
      </c>
      <c r="Z92" s="19" t="str">
        <f t="shared" si="1"/>
        <v>GP</v>
      </c>
    </row>
    <row r="93" spans="1:26" s="1" customFormat="1" ht="18.149999999999999" customHeight="1" x14ac:dyDescent="0.25">
      <c r="A93" s="3" t="s">
        <v>857</v>
      </c>
      <c r="B93" s="3" t="s">
        <v>868</v>
      </c>
      <c r="C93" s="3" t="s">
        <v>869</v>
      </c>
      <c r="D93" s="3" t="s">
        <v>21</v>
      </c>
      <c r="E93" s="4"/>
      <c r="F93" s="3" t="s">
        <v>870</v>
      </c>
      <c r="G93" s="3" t="s">
        <v>872</v>
      </c>
      <c r="H93" s="5">
        <v>0</v>
      </c>
      <c r="I93" s="16">
        <v>45072</v>
      </c>
      <c r="J93" s="3" t="s">
        <v>59</v>
      </c>
      <c r="K93" s="3" t="s">
        <v>60</v>
      </c>
      <c r="L93" s="5">
        <v>48</v>
      </c>
      <c r="M93" s="10">
        <v>34342036</v>
      </c>
      <c r="N93" s="5">
        <v>891412</v>
      </c>
      <c r="O93" s="5">
        <v>9</v>
      </c>
      <c r="P93" s="3" t="s">
        <v>24</v>
      </c>
      <c r="Q93" s="4">
        <v>45103</v>
      </c>
      <c r="R93" s="4">
        <v>46533</v>
      </c>
      <c r="S93" s="4"/>
      <c r="T93" s="3" t="s">
        <v>28</v>
      </c>
      <c r="U93" s="3" t="s">
        <v>416</v>
      </c>
      <c r="V93" s="14" cm="1">
        <f t="array" ref="V93">CalculerCommissionAnnuelle(M93,Q93,L93,1.7%,2024)</f>
        <v>802745.0915000001</v>
      </c>
      <c r="W93" s="14" cm="1">
        <f t="array" ref="W93">CalculerCommissionAnnuelle(M93,Q93,L93,1.7%,2023)</f>
        <v>1094652.3975</v>
      </c>
      <c r="X93" s="14" cm="1">
        <f t="array" ref="X93">CalculerCommissionAnnuelle(M93,Q93,L93,1.7%,2022)</f>
        <v>0</v>
      </c>
      <c r="Y93" s="14" cm="1">
        <f t="array" ref="Y93">CalculerCommissionAnnuelle(M93,Q93,L93,1.7%,2021)</f>
        <v>0</v>
      </c>
      <c r="Z93" s="19" t="str">
        <f t="shared" si="1"/>
        <v>GP</v>
      </c>
    </row>
    <row r="94" spans="1:26" s="1" customFormat="1" ht="18.149999999999999" customHeight="1" x14ac:dyDescent="0.25">
      <c r="A94" s="3" t="s">
        <v>786</v>
      </c>
      <c r="B94" s="3" t="s">
        <v>787</v>
      </c>
      <c r="C94" s="3" t="s">
        <v>788</v>
      </c>
      <c r="D94" s="3" t="s">
        <v>21</v>
      </c>
      <c r="E94" s="4"/>
      <c r="F94" s="3" t="s">
        <v>789</v>
      </c>
      <c r="G94" s="3" t="s">
        <v>791</v>
      </c>
      <c r="H94" s="5">
        <v>0</v>
      </c>
      <c r="I94" s="16">
        <v>45012</v>
      </c>
      <c r="J94" s="3" t="s">
        <v>59</v>
      </c>
      <c r="K94" s="3" t="s">
        <v>60</v>
      </c>
      <c r="L94" s="5">
        <v>36</v>
      </c>
      <c r="M94" s="10">
        <v>44000000</v>
      </c>
      <c r="N94" s="5">
        <v>1469582</v>
      </c>
      <c r="O94" s="5">
        <v>9.99</v>
      </c>
      <c r="P94" s="3" t="s">
        <v>24</v>
      </c>
      <c r="Q94" s="4">
        <v>45043</v>
      </c>
      <c r="R94" s="4">
        <v>46108</v>
      </c>
      <c r="S94" s="4"/>
      <c r="T94" s="3" t="s">
        <v>28</v>
      </c>
      <c r="U94" s="3" t="s">
        <v>598</v>
      </c>
      <c r="V94" s="14" cm="1">
        <f t="array" ref="V94">CalculerCommissionAnnuelle(M94,Q94,L94,1.7%,2024)</f>
        <v>789555.55555555562</v>
      </c>
      <c r="W94" s="14" cm="1">
        <f t="array" ref="W94">CalculerCommissionAnnuelle(M94,Q94,L94,1.7%,2023)</f>
        <v>1288222.2222222222</v>
      </c>
      <c r="X94" s="14" cm="1">
        <f t="array" ref="X94">CalculerCommissionAnnuelle(M94,Q94,L94,1.7%,2022)</f>
        <v>0</v>
      </c>
      <c r="Y94" s="14" cm="1">
        <f t="array" ref="Y94">CalculerCommissionAnnuelle(M94,Q94,L94,1.7%,2021)</f>
        <v>0</v>
      </c>
      <c r="Z94" s="19" t="str">
        <f t="shared" si="1"/>
        <v>GP</v>
      </c>
    </row>
    <row r="95" spans="1:26" s="1" customFormat="1" ht="18.149999999999999" customHeight="1" x14ac:dyDescent="0.25">
      <c r="A95" s="6" t="s">
        <v>528</v>
      </c>
      <c r="B95" s="6" t="s">
        <v>557</v>
      </c>
      <c r="C95" s="6" t="s">
        <v>558</v>
      </c>
      <c r="D95" s="6" t="s">
        <v>21</v>
      </c>
      <c r="E95" s="7"/>
      <c r="F95" s="6" t="s">
        <v>559</v>
      </c>
      <c r="G95" s="6" t="s">
        <v>560</v>
      </c>
      <c r="H95" s="8">
        <v>0</v>
      </c>
      <c r="I95" s="16">
        <v>44904</v>
      </c>
      <c r="J95" s="6" t="s">
        <v>59</v>
      </c>
      <c r="K95" s="6" t="s">
        <v>60</v>
      </c>
      <c r="L95" s="8">
        <v>60</v>
      </c>
      <c r="M95" s="11">
        <v>34000000</v>
      </c>
      <c r="N95" s="8">
        <v>723387</v>
      </c>
      <c r="O95" s="8">
        <v>8</v>
      </c>
      <c r="P95" s="6" t="s">
        <v>24</v>
      </c>
      <c r="Q95" s="7">
        <v>44935</v>
      </c>
      <c r="R95" s="7">
        <v>46730</v>
      </c>
      <c r="S95" s="7"/>
      <c r="T95" s="6" t="s">
        <v>28</v>
      </c>
      <c r="U95" s="6" t="s">
        <v>498</v>
      </c>
      <c r="V95" s="14" cm="1">
        <f t="array" ref="V95">CalculerCommissionAnnuelle(M95,Q95,L95,1.7%,2024)</f>
        <v>770666.66666666674</v>
      </c>
      <c r="W95" s="14" cm="1">
        <f t="array" ref="W95">CalculerCommissionAnnuelle(M95,Q95,L95,1.7%,2023)</f>
        <v>1001866.6666666667</v>
      </c>
      <c r="X95" s="14" cm="1">
        <f t="array" ref="X95">CalculerCommissionAnnuelle(M95,Q95,L95,1.7%,2022)</f>
        <v>0</v>
      </c>
      <c r="Y95" s="14" cm="1">
        <f t="array" ref="Y95">CalculerCommissionAnnuelle(M95,Q95,L95,1.7%,2021)</f>
        <v>0</v>
      </c>
      <c r="Z95" s="19" t="str">
        <f t="shared" si="1"/>
        <v>GP</v>
      </c>
    </row>
    <row r="96" spans="1:26" s="1" customFormat="1" ht="18.149999999999999" customHeight="1" x14ac:dyDescent="0.25">
      <c r="A96" s="3" t="s">
        <v>396</v>
      </c>
      <c r="B96" s="3" t="s">
        <v>397</v>
      </c>
      <c r="C96" s="3" t="s">
        <v>398</v>
      </c>
      <c r="D96" s="3" t="s">
        <v>21</v>
      </c>
      <c r="E96" s="4">
        <v>16567</v>
      </c>
      <c r="F96" s="3" t="s">
        <v>399</v>
      </c>
      <c r="G96" s="3" t="s">
        <v>401</v>
      </c>
      <c r="H96" s="5">
        <v>0</v>
      </c>
      <c r="I96" s="16">
        <v>44993</v>
      </c>
      <c r="J96" s="3" t="s">
        <v>39</v>
      </c>
      <c r="K96" s="3" t="s">
        <v>40</v>
      </c>
      <c r="L96" s="5">
        <v>24</v>
      </c>
      <c r="M96" s="10">
        <v>75000000</v>
      </c>
      <c r="N96" s="5">
        <v>3414599</v>
      </c>
      <c r="O96" s="5">
        <v>7.4</v>
      </c>
      <c r="P96" s="3" t="s">
        <v>24</v>
      </c>
      <c r="Q96" s="4">
        <v>45024</v>
      </c>
      <c r="R96" s="4">
        <v>45724</v>
      </c>
      <c r="S96" s="4"/>
      <c r="T96" s="3" t="s">
        <v>28</v>
      </c>
      <c r="U96" s="3" t="s">
        <v>41</v>
      </c>
      <c r="V96" s="14" cm="1">
        <f t="array" ref="V96">CalculerCommissionAnnuelle(M96,Q96,L96,1.7%,2024)</f>
        <v>743750</v>
      </c>
      <c r="W96" s="14" cm="1">
        <f t="array" ref="W96">CalculerCommissionAnnuelle(M96,Q96,L96,1.7%,2023)</f>
        <v>2018750.0000000002</v>
      </c>
      <c r="X96" s="14" cm="1">
        <f t="array" ref="X96">CalculerCommissionAnnuelle(M96,Q96,L96,1.7%,2022)</f>
        <v>0</v>
      </c>
      <c r="Y96" s="14" cm="1">
        <f t="array" ref="Y96">CalculerCommissionAnnuelle(M96,Q96,L96,1.7%,2021)</f>
        <v>0</v>
      </c>
      <c r="Z96" s="19" t="str">
        <f t="shared" si="1"/>
        <v>GP</v>
      </c>
    </row>
    <row r="97" spans="1:26" s="1" customFormat="1" ht="18.149999999999999" customHeight="1" x14ac:dyDescent="0.25">
      <c r="A97" s="6" t="s">
        <v>702</v>
      </c>
      <c r="B97" s="6" t="s">
        <v>714</v>
      </c>
      <c r="C97" s="6" t="s">
        <v>715</v>
      </c>
      <c r="D97" s="6" t="s">
        <v>21</v>
      </c>
      <c r="E97" s="7"/>
      <c r="F97" s="6" t="s">
        <v>716</v>
      </c>
      <c r="G97" s="6" t="s">
        <v>717</v>
      </c>
      <c r="H97" s="8">
        <v>0</v>
      </c>
      <c r="I97" s="16">
        <v>44497</v>
      </c>
      <c r="J97" s="6" t="s">
        <v>59</v>
      </c>
      <c r="K97" s="6" t="s">
        <v>60</v>
      </c>
      <c r="L97" s="8">
        <v>60</v>
      </c>
      <c r="M97" s="11">
        <v>50000000</v>
      </c>
      <c r="N97" s="8">
        <v>1122033</v>
      </c>
      <c r="O97" s="8">
        <v>9.99</v>
      </c>
      <c r="P97" s="6" t="s">
        <v>24</v>
      </c>
      <c r="Q97" s="7">
        <v>44528</v>
      </c>
      <c r="R97" s="7">
        <v>46323</v>
      </c>
      <c r="S97" s="7"/>
      <c r="T97" s="6" t="s">
        <v>28</v>
      </c>
      <c r="U97" s="6" t="s">
        <v>707</v>
      </c>
      <c r="V97" s="14" cm="1">
        <f t="array" ref="V97">CalculerCommissionAnnuelle(M97,Q97,L97,1.7%,2024)</f>
        <v>736666.66666666674</v>
      </c>
      <c r="W97" s="14" cm="1">
        <f t="array" ref="W97">CalculerCommissionAnnuelle(M97,Q97,L97,1.7%,2023)</f>
        <v>1076666.6666666667</v>
      </c>
      <c r="X97" s="14" cm="1">
        <f t="array" ref="X97">CalculerCommissionAnnuelle(M97,Q97,L97,1.7%,2022)</f>
        <v>1416666.6666666667</v>
      </c>
      <c r="Y97" s="14" cm="1">
        <f t="array" ref="Y97">CalculerCommissionAnnuelle(M97,Q97,L97,1.7%,2021)</f>
        <v>835833.33333333337</v>
      </c>
      <c r="Z97" s="19" t="str">
        <f t="shared" si="1"/>
        <v>GP</v>
      </c>
    </row>
    <row r="98" spans="1:26" s="1" customFormat="1" ht="18.149999999999999" customHeight="1" x14ac:dyDescent="0.25">
      <c r="A98" s="3" t="s">
        <v>257</v>
      </c>
      <c r="B98" s="3" t="s">
        <v>271</v>
      </c>
      <c r="C98" s="3" t="s">
        <v>272</v>
      </c>
      <c r="D98" s="3" t="s">
        <v>21</v>
      </c>
      <c r="E98" s="4"/>
      <c r="F98" s="3" t="s">
        <v>273</v>
      </c>
      <c r="G98" s="3" t="s">
        <v>274</v>
      </c>
      <c r="H98" s="5">
        <v>0</v>
      </c>
      <c r="I98" s="16">
        <v>45222</v>
      </c>
      <c r="J98" s="3" t="s">
        <v>59</v>
      </c>
      <c r="K98" s="3" t="s">
        <v>60</v>
      </c>
      <c r="L98" s="5">
        <v>60</v>
      </c>
      <c r="M98" s="10">
        <v>25000000</v>
      </c>
      <c r="N98" s="5">
        <v>561016</v>
      </c>
      <c r="O98" s="5">
        <v>9.99</v>
      </c>
      <c r="P98" s="3" t="s">
        <v>24</v>
      </c>
      <c r="Q98" s="4">
        <v>45253</v>
      </c>
      <c r="R98" s="4">
        <v>47049</v>
      </c>
      <c r="S98" s="4"/>
      <c r="T98" s="3" t="s">
        <v>28</v>
      </c>
      <c r="U98" s="3" t="s">
        <v>262</v>
      </c>
      <c r="V98" s="14" cm="1">
        <f t="array" ref="V98">CalculerCommissionAnnuelle(M98,Q98,L98,1.7%,2024)</f>
        <v>708333.33333333337</v>
      </c>
      <c r="W98" s="14" cm="1">
        <f t="array" ref="W98">CalculerCommissionAnnuelle(M98,Q98,L98,1.7%,2023)</f>
        <v>417916.66666666669</v>
      </c>
      <c r="X98" s="14" cm="1">
        <f t="array" ref="X98">CalculerCommissionAnnuelle(M98,Q98,L98,1.7%,2022)</f>
        <v>0</v>
      </c>
      <c r="Y98" s="14" cm="1">
        <f t="array" ref="Y98">CalculerCommissionAnnuelle(M98,Q98,L98,1.7%,2021)</f>
        <v>0</v>
      </c>
      <c r="Z98" s="19" t="str">
        <f t="shared" si="1"/>
        <v>GP</v>
      </c>
    </row>
    <row r="99" spans="1:26" s="1" customFormat="1" ht="18.149999999999999" customHeight="1" x14ac:dyDescent="0.25">
      <c r="A99" s="3" t="s">
        <v>26</v>
      </c>
      <c r="B99" s="3" t="s">
        <v>73</v>
      </c>
      <c r="C99" s="3" t="s">
        <v>74</v>
      </c>
      <c r="D99" s="3" t="s">
        <v>21</v>
      </c>
      <c r="E99" s="4"/>
      <c r="F99" s="3" t="s">
        <v>75</v>
      </c>
      <c r="G99" s="3" t="s">
        <v>76</v>
      </c>
      <c r="H99" s="5">
        <v>0</v>
      </c>
      <c r="I99" s="16">
        <v>44546</v>
      </c>
      <c r="J99" s="3" t="s">
        <v>50</v>
      </c>
      <c r="K99" s="3" t="s">
        <v>51</v>
      </c>
      <c r="L99" s="5">
        <v>36</v>
      </c>
      <c r="M99" s="10">
        <v>180000000</v>
      </c>
      <c r="N99" s="5">
        <v>5705121</v>
      </c>
      <c r="O99" s="5">
        <v>7.5</v>
      </c>
      <c r="P99" s="3" t="s">
        <v>24</v>
      </c>
      <c r="Q99" s="4">
        <v>44577</v>
      </c>
      <c r="R99" s="4">
        <v>45642</v>
      </c>
      <c r="S99" s="4"/>
      <c r="T99" s="3" t="s">
        <v>28</v>
      </c>
      <c r="U99" s="3" t="s">
        <v>77</v>
      </c>
      <c r="V99" s="14" cm="1">
        <f t="array" ref="V99">CalculerCommissionAnnuelle(M99,Q99,L99,1.7%,2024)</f>
        <v>680000</v>
      </c>
      <c r="W99" s="14" cm="1">
        <f t="array" ref="W99">CalculerCommissionAnnuelle(M99,Q99,L99,1.7%,2023)</f>
        <v>2720000</v>
      </c>
      <c r="X99" s="14" cm="1">
        <f t="array" ref="X99">CalculerCommissionAnnuelle(M99,Q99,L99,1.7%,2022)</f>
        <v>4760000</v>
      </c>
      <c r="Y99" s="14" cm="1">
        <f t="array" ref="Y99">CalculerCommissionAnnuelle(M99,Q99,L99,1.7%,2021)</f>
        <v>0</v>
      </c>
      <c r="Z99" s="19" t="str">
        <f t="shared" si="1"/>
        <v>GP</v>
      </c>
    </row>
    <row r="100" spans="1:26" s="1" customFormat="1" ht="18.149999999999999" customHeight="1" x14ac:dyDescent="0.25">
      <c r="A100" s="6" t="s">
        <v>636</v>
      </c>
      <c r="B100" s="6" t="s">
        <v>651</v>
      </c>
      <c r="C100" s="6" t="s">
        <v>652</v>
      </c>
      <c r="D100" s="6" t="s">
        <v>21</v>
      </c>
      <c r="E100" s="7"/>
      <c r="F100" s="6" t="s">
        <v>653</v>
      </c>
      <c r="G100" s="6" t="s">
        <v>654</v>
      </c>
      <c r="H100" s="8">
        <v>0</v>
      </c>
      <c r="I100" s="16">
        <v>45093</v>
      </c>
      <c r="J100" s="6" t="s">
        <v>59</v>
      </c>
      <c r="K100" s="6" t="s">
        <v>60</v>
      </c>
      <c r="L100" s="8">
        <v>60</v>
      </c>
      <c r="M100" s="11">
        <v>26000000</v>
      </c>
      <c r="N100" s="8">
        <v>583457</v>
      </c>
      <c r="O100" s="8">
        <v>9.99</v>
      </c>
      <c r="P100" s="6" t="s">
        <v>24</v>
      </c>
      <c r="Q100" s="7">
        <v>45123</v>
      </c>
      <c r="R100" s="7">
        <v>46920</v>
      </c>
      <c r="S100" s="7"/>
      <c r="T100" s="6" t="s">
        <v>28</v>
      </c>
      <c r="U100" s="6" t="s">
        <v>641</v>
      </c>
      <c r="V100" s="14" cm="1">
        <f t="array" ref="V100">CalculerCommissionAnnuelle(M100,Q100,L100,1.7%,2024)</f>
        <v>677733.33333333337</v>
      </c>
      <c r="W100" s="14" cm="1">
        <f t="array" ref="W100">CalculerCommissionAnnuelle(M100,Q100,L100,1.7%,2023)</f>
        <v>405166.66666666669</v>
      </c>
      <c r="X100" s="14" cm="1">
        <f t="array" ref="X100">CalculerCommissionAnnuelle(M100,Q100,L100,1.7%,2022)</f>
        <v>0</v>
      </c>
      <c r="Y100" s="14" cm="1">
        <f t="array" ref="Y100">CalculerCommissionAnnuelle(M100,Q100,L100,1.7%,2021)</f>
        <v>0</v>
      </c>
      <c r="Z100" s="19" t="str">
        <f t="shared" si="1"/>
        <v>GP</v>
      </c>
    </row>
    <row r="101" spans="1:26" s="1" customFormat="1" ht="18.149999999999999" customHeight="1" x14ac:dyDescent="0.25">
      <c r="A101" s="6" t="s">
        <v>407</v>
      </c>
      <c r="B101" s="6" t="s">
        <v>446</v>
      </c>
      <c r="C101" s="6" t="s">
        <v>447</v>
      </c>
      <c r="D101" s="6" t="s">
        <v>21</v>
      </c>
      <c r="E101" s="7"/>
      <c r="F101" s="6" t="s">
        <v>448</v>
      </c>
      <c r="G101" s="6" t="s">
        <v>449</v>
      </c>
      <c r="H101" s="8">
        <v>1</v>
      </c>
      <c r="I101" s="16">
        <v>45134</v>
      </c>
      <c r="J101" s="6" t="s">
        <v>62</v>
      </c>
      <c r="K101" s="6" t="s">
        <v>63</v>
      </c>
      <c r="L101" s="8">
        <v>45</v>
      </c>
      <c r="M101" s="11">
        <v>25000000</v>
      </c>
      <c r="N101" s="8">
        <v>674846</v>
      </c>
      <c r="O101" s="8">
        <v>9</v>
      </c>
      <c r="P101" s="6" t="s">
        <v>24</v>
      </c>
      <c r="Q101" s="7">
        <v>45257</v>
      </c>
      <c r="R101" s="7">
        <v>46595</v>
      </c>
      <c r="S101" s="7"/>
      <c r="T101" s="6" t="s">
        <v>28</v>
      </c>
      <c r="U101" s="6" t="s">
        <v>310</v>
      </c>
      <c r="V101" s="14" cm="1">
        <f t="array" ref="V101">CalculerCommissionAnnuelle(M101,Q101,L101,1.7%,2024)</f>
        <v>661111.11111111112</v>
      </c>
      <c r="W101" s="14" cm="1">
        <f t="array" ref="W101">CalculerCommissionAnnuelle(M101,Q101,L101,1.7%,2023)</f>
        <v>415555.55555555556</v>
      </c>
      <c r="X101" s="14" cm="1">
        <f t="array" ref="X101">CalculerCommissionAnnuelle(M101,Q101,L101,1.7%,2022)</f>
        <v>0</v>
      </c>
      <c r="Y101" s="14" cm="1">
        <f t="array" ref="Y101">CalculerCommissionAnnuelle(M101,Q101,L101,1.7%,2021)</f>
        <v>0</v>
      </c>
      <c r="Z101" s="19" t="str">
        <f t="shared" si="1"/>
        <v>GP</v>
      </c>
    </row>
    <row r="102" spans="1:26" s="1" customFormat="1" ht="18.149999999999999" customHeight="1" x14ac:dyDescent="0.25">
      <c r="A102" s="3" t="s">
        <v>407</v>
      </c>
      <c r="B102" s="3" t="s">
        <v>490</v>
      </c>
      <c r="C102" s="3" t="s">
        <v>491</v>
      </c>
      <c r="D102" s="3" t="s">
        <v>21</v>
      </c>
      <c r="E102" s="4">
        <v>25261</v>
      </c>
      <c r="F102" s="3" t="s">
        <v>492</v>
      </c>
      <c r="G102" s="3" t="s">
        <v>493</v>
      </c>
      <c r="H102" s="5">
        <v>0</v>
      </c>
      <c r="I102" s="16">
        <v>45212</v>
      </c>
      <c r="J102" s="3" t="s">
        <v>59</v>
      </c>
      <c r="K102" s="3" t="s">
        <v>60</v>
      </c>
      <c r="L102" s="5">
        <v>60</v>
      </c>
      <c r="M102" s="10">
        <v>22500000</v>
      </c>
      <c r="N102" s="5">
        <v>491778</v>
      </c>
      <c r="O102" s="5">
        <v>9</v>
      </c>
      <c r="P102" s="3" t="s">
        <v>24</v>
      </c>
      <c r="Q102" s="4">
        <v>45243</v>
      </c>
      <c r="R102" s="4">
        <v>47039</v>
      </c>
      <c r="S102" s="4"/>
      <c r="T102" s="3" t="s">
        <v>28</v>
      </c>
      <c r="U102" s="3" t="s">
        <v>416</v>
      </c>
      <c r="V102" s="14" cm="1">
        <f t="array" ref="V102">CalculerCommissionAnnuelle(M102,Q102,L102,1.7%,2024)</f>
        <v>637500</v>
      </c>
      <c r="W102" s="14" cm="1">
        <f t="array" ref="W102">CalculerCommissionAnnuelle(M102,Q102,L102,1.7%,2023)</f>
        <v>376125</v>
      </c>
      <c r="X102" s="14" cm="1">
        <f t="array" ref="X102">CalculerCommissionAnnuelle(M102,Q102,L102,1.7%,2022)</f>
        <v>0</v>
      </c>
      <c r="Y102" s="14" cm="1">
        <f t="array" ref="Y102">CalculerCommissionAnnuelle(M102,Q102,L102,1.7%,2021)</f>
        <v>0</v>
      </c>
      <c r="Z102" s="19" t="str">
        <f t="shared" si="1"/>
        <v>GP</v>
      </c>
    </row>
    <row r="103" spans="1:26" s="1" customFormat="1" ht="18.149999999999999" customHeight="1" x14ac:dyDescent="0.25">
      <c r="A103" s="3" t="s">
        <v>26</v>
      </c>
      <c r="B103" s="3" t="s">
        <v>35</v>
      </c>
      <c r="C103" s="3" t="s">
        <v>36</v>
      </c>
      <c r="D103" s="3" t="s">
        <v>21</v>
      </c>
      <c r="E103" s="4">
        <v>22283</v>
      </c>
      <c r="F103" s="3" t="s">
        <v>37</v>
      </c>
      <c r="G103" s="3" t="s">
        <v>43</v>
      </c>
      <c r="H103" s="5">
        <v>0</v>
      </c>
      <c r="I103" s="16">
        <v>45243</v>
      </c>
      <c r="J103" s="3" t="s">
        <v>39</v>
      </c>
      <c r="K103" s="3" t="s">
        <v>40</v>
      </c>
      <c r="L103" s="5">
        <v>12</v>
      </c>
      <c r="M103" s="10">
        <v>75000000</v>
      </c>
      <c r="N103" s="5">
        <v>6575358</v>
      </c>
      <c r="O103" s="5">
        <v>7.5</v>
      </c>
      <c r="P103" s="3" t="s">
        <v>24</v>
      </c>
      <c r="Q103" s="4">
        <v>45273</v>
      </c>
      <c r="R103" s="4">
        <v>45609</v>
      </c>
      <c r="S103" s="4"/>
      <c r="T103" s="3" t="s">
        <v>28</v>
      </c>
      <c r="U103" s="3" t="s">
        <v>41</v>
      </c>
      <c r="V103" s="14" cm="1">
        <f t="array" ref="V103">CalculerCommissionAnnuelle(M103,Q103,L103,1.7%,2024)</f>
        <v>637500</v>
      </c>
      <c r="W103" s="14" cm="1">
        <f t="array" ref="W103">CalculerCommissionAnnuelle(M103,Q103,L103,1.7%,2023)</f>
        <v>1275000</v>
      </c>
      <c r="X103" s="14" cm="1">
        <f t="array" ref="X103">CalculerCommissionAnnuelle(M103,Q103,L103,1.7%,2022)</f>
        <v>0</v>
      </c>
      <c r="Y103" s="14" cm="1">
        <f t="array" ref="Y103">CalculerCommissionAnnuelle(M103,Q103,L103,1.7%,2021)</f>
        <v>0</v>
      </c>
      <c r="Z103" s="19" t="str">
        <f t="shared" si="1"/>
        <v>GP</v>
      </c>
    </row>
    <row r="104" spans="1:26" s="1" customFormat="1" ht="18.149999999999999" customHeight="1" x14ac:dyDescent="0.25">
      <c r="A104" s="6" t="s">
        <v>857</v>
      </c>
      <c r="B104" s="6" t="s">
        <v>873</v>
      </c>
      <c r="C104" s="6" t="s">
        <v>874</v>
      </c>
      <c r="D104" s="6" t="s">
        <v>21</v>
      </c>
      <c r="E104" s="7"/>
      <c r="F104" s="6" t="s">
        <v>875</v>
      </c>
      <c r="G104" s="6" t="s">
        <v>876</v>
      </c>
      <c r="H104" s="8">
        <v>0</v>
      </c>
      <c r="I104" s="16">
        <v>44809</v>
      </c>
      <c r="J104" s="6" t="s">
        <v>59</v>
      </c>
      <c r="K104" s="6" t="s">
        <v>60</v>
      </c>
      <c r="L104" s="8">
        <v>60</v>
      </c>
      <c r="M104" s="11">
        <v>30000000</v>
      </c>
      <c r="N104" s="8">
        <v>698670</v>
      </c>
      <c r="O104" s="8">
        <v>12</v>
      </c>
      <c r="P104" s="6" t="s">
        <v>24</v>
      </c>
      <c r="Q104" s="7">
        <v>44839</v>
      </c>
      <c r="R104" s="7">
        <v>46635</v>
      </c>
      <c r="S104" s="7"/>
      <c r="T104" s="6" t="s">
        <v>28</v>
      </c>
      <c r="U104" s="6" t="s">
        <v>310</v>
      </c>
      <c r="V104" s="14" cm="1">
        <f t="array" ref="V104">CalculerCommissionAnnuelle(M104,Q104,L104,1.7%,2024)</f>
        <v>629000</v>
      </c>
      <c r="W104" s="14" cm="1">
        <f t="array" ref="W104">CalculerCommissionAnnuelle(M104,Q104,L104,1.7%,2023)</f>
        <v>833000.00000000012</v>
      </c>
      <c r="X104" s="14" cm="1">
        <f t="array" ref="X104">CalculerCommissionAnnuelle(M104,Q104,L104,1.7%,2022)</f>
        <v>493000.00000000006</v>
      </c>
      <c r="Y104" s="14" cm="1">
        <f t="array" ref="Y104">CalculerCommissionAnnuelle(M104,Q104,L104,1.7%,2021)</f>
        <v>0</v>
      </c>
      <c r="Z104" s="19" t="str">
        <f t="shared" si="1"/>
        <v>GP</v>
      </c>
    </row>
    <row r="105" spans="1:26" s="1" customFormat="1" ht="18.149999999999999" customHeight="1" x14ac:dyDescent="0.25">
      <c r="A105" s="6" t="s">
        <v>593</v>
      </c>
      <c r="B105" s="6" t="s">
        <v>594</v>
      </c>
      <c r="C105" s="6" t="s">
        <v>595</v>
      </c>
      <c r="D105" s="6" t="s">
        <v>21</v>
      </c>
      <c r="E105" s="7"/>
      <c r="F105" s="6" t="s">
        <v>596</v>
      </c>
      <c r="G105" s="6" t="s">
        <v>597</v>
      </c>
      <c r="H105" s="8">
        <v>0</v>
      </c>
      <c r="I105" s="16">
        <v>45036</v>
      </c>
      <c r="J105" s="6" t="s">
        <v>62</v>
      </c>
      <c r="K105" s="6" t="s">
        <v>63</v>
      </c>
      <c r="L105" s="8">
        <v>36</v>
      </c>
      <c r="M105" s="11">
        <v>25000000</v>
      </c>
      <c r="N105" s="8">
        <v>854927</v>
      </c>
      <c r="O105" s="8">
        <v>12</v>
      </c>
      <c r="P105" s="6" t="s">
        <v>24</v>
      </c>
      <c r="Q105" s="7">
        <v>45219</v>
      </c>
      <c r="R105" s="7">
        <v>46285</v>
      </c>
      <c r="S105" s="7">
        <v>45066</v>
      </c>
      <c r="T105" s="6" t="s">
        <v>25</v>
      </c>
      <c r="U105" s="6" t="s">
        <v>598</v>
      </c>
      <c r="V105" s="14" cm="1">
        <f t="array" ref="V105">CalculerCommissionAnnuelle(M105,Q105,L105,1.7%,2024)</f>
        <v>590277.77777777787</v>
      </c>
      <c r="W105" s="14" cm="1">
        <f t="array" ref="W105">CalculerCommissionAnnuelle(M105,Q105,L105,1.7%,2023)</f>
        <v>401388.88888888893</v>
      </c>
      <c r="X105" s="14" cm="1">
        <f t="array" ref="X105">CalculerCommissionAnnuelle(M105,Q105,L105,1.7%,2022)</f>
        <v>0</v>
      </c>
      <c r="Y105" s="14" cm="1">
        <f t="array" ref="Y105">CalculerCommissionAnnuelle(M105,Q105,L105,1.7%,2021)</f>
        <v>0</v>
      </c>
      <c r="Z105" s="19" t="str">
        <f t="shared" si="1"/>
        <v>GP</v>
      </c>
    </row>
    <row r="106" spans="1:26" s="1" customFormat="1" ht="18.149999999999999" customHeight="1" x14ac:dyDescent="0.25">
      <c r="A106" s="3" t="s">
        <v>26</v>
      </c>
      <c r="B106" s="3" t="s">
        <v>79</v>
      </c>
      <c r="C106" s="3" t="s">
        <v>80</v>
      </c>
      <c r="D106" s="3" t="s">
        <v>21</v>
      </c>
      <c r="E106" s="4"/>
      <c r="F106" s="3" t="s">
        <v>81</v>
      </c>
      <c r="G106" s="3" t="s">
        <v>85</v>
      </c>
      <c r="H106" s="5">
        <v>0</v>
      </c>
      <c r="I106" s="16">
        <v>44908</v>
      </c>
      <c r="J106" s="3" t="s">
        <v>39</v>
      </c>
      <c r="K106" s="3" t="s">
        <v>40</v>
      </c>
      <c r="L106" s="5">
        <v>24</v>
      </c>
      <c r="M106" s="10">
        <v>100000000</v>
      </c>
      <c r="N106" s="5">
        <v>4531400</v>
      </c>
      <c r="O106" s="5">
        <v>7</v>
      </c>
      <c r="P106" s="3" t="s">
        <v>24</v>
      </c>
      <c r="Q106" s="4">
        <v>44939</v>
      </c>
      <c r="R106" s="4">
        <v>45639</v>
      </c>
      <c r="S106" s="4"/>
      <c r="T106" s="3" t="s">
        <v>28</v>
      </c>
      <c r="U106" s="3" t="s">
        <v>83</v>
      </c>
      <c r="V106" s="14" cm="1">
        <f t="array" ref="V106">CalculerCommissionAnnuelle(M106,Q106,L106,1.7%,2024)</f>
        <v>566666.66666666674</v>
      </c>
      <c r="W106" s="14" cm="1">
        <f t="array" ref="W106">CalculerCommissionAnnuelle(M106,Q106,L106,1.7%,2023)</f>
        <v>2266666.666666667</v>
      </c>
      <c r="X106" s="14" cm="1">
        <f t="array" ref="X106">CalculerCommissionAnnuelle(M106,Q106,L106,1.7%,2022)</f>
        <v>0</v>
      </c>
      <c r="Y106" s="14" cm="1">
        <f t="array" ref="Y106">CalculerCommissionAnnuelle(M106,Q106,L106,1.7%,2021)</f>
        <v>0</v>
      </c>
      <c r="Z106" s="19" t="str">
        <f t="shared" si="1"/>
        <v>GP</v>
      </c>
    </row>
    <row r="107" spans="1:26" s="1" customFormat="1" ht="18.149999999999999" customHeight="1" x14ac:dyDescent="0.25">
      <c r="A107" s="6" t="s">
        <v>750</v>
      </c>
      <c r="B107" s="6" t="s">
        <v>761</v>
      </c>
      <c r="C107" s="6" t="s">
        <v>762</v>
      </c>
      <c r="D107" s="6" t="s">
        <v>21</v>
      </c>
      <c r="E107" s="7"/>
      <c r="F107" s="6" t="s">
        <v>763</v>
      </c>
      <c r="G107" s="6" t="s">
        <v>764</v>
      </c>
      <c r="H107" s="8">
        <v>0</v>
      </c>
      <c r="I107" s="16">
        <v>44678</v>
      </c>
      <c r="J107" s="6" t="s">
        <v>29</v>
      </c>
      <c r="K107" s="6" t="s">
        <v>30</v>
      </c>
      <c r="L107" s="8">
        <v>60</v>
      </c>
      <c r="M107" s="11">
        <v>27000000</v>
      </c>
      <c r="N107" s="8">
        <v>605898</v>
      </c>
      <c r="O107" s="8">
        <v>9.99</v>
      </c>
      <c r="P107" s="6" t="s">
        <v>24</v>
      </c>
      <c r="Q107" s="7">
        <v>44727</v>
      </c>
      <c r="R107" s="7">
        <v>46522</v>
      </c>
      <c r="S107" s="7"/>
      <c r="T107" s="6" t="s">
        <v>28</v>
      </c>
      <c r="U107" s="6" t="s">
        <v>755</v>
      </c>
      <c r="V107" s="14" cm="1">
        <f t="array" ref="V107">CalculerCommissionAnnuelle(M107,Q107,L107,1.7%,2024)</f>
        <v>504900.00000000006</v>
      </c>
      <c r="W107" s="14" cm="1">
        <f t="array" ref="W107">CalculerCommissionAnnuelle(M107,Q107,L107,1.7%,2023)</f>
        <v>688500</v>
      </c>
      <c r="X107" s="14" cm="1">
        <f t="array" ref="X107">CalculerCommissionAnnuelle(M107,Q107,L107,1.7%,2022)</f>
        <v>872100.00000000012</v>
      </c>
      <c r="Y107" s="14" cm="1">
        <f t="array" ref="Y107">CalculerCommissionAnnuelle(M107,Q107,L107,1.7%,2021)</f>
        <v>0</v>
      </c>
      <c r="Z107" s="19" t="str">
        <f t="shared" si="1"/>
        <v>GP</v>
      </c>
    </row>
    <row r="108" spans="1:26" s="1" customFormat="1" ht="18.149999999999999" customHeight="1" x14ac:dyDescent="0.25">
      <c r="A108" s="3" t="s">
        <v>593</v>
      </c>
      <c r="B108" s="3" t="s">
        <v>594</v>
      </c>
      <c r="C108" s="3" t="s">
        <v>595</v>
      </c>
      <c r="D108" s="3" t="s">
        <v>21</v>
      </c>
      <c r="E108" s="4"/>
      <c r="F108" s="3" t="s">
        <v>596</v>
      </c>
      <c r="G108" s="3" t="s">
        <v>597</v>
      </c>
      <c r="H108" s="5">
        <v>1</v>
      </c>
      <c r="I108" s="16">
        <v>45066</v>
      </c>
      <c r="J108" s="3" t="s">
        <v>62</v>
      </c>
      <c r="K108" s="3" t="s">
        <v>63</v>
      </c>
      <c r="L108" s="5">
        <v>36</v>
      </c>
      <c r="M108" s="10">
        <v>25000000</v>
      </c>
      <c r="N108" s="5">
        <v>341971</v>
      </c>
      <c r="O108" s="5">
        <v>12</v>
      </c>
      <c r="P108" s="3" t="s">
        <v>24</v>
      </c>
      <c r="Q108" s="4">
        <v>45097</v>
      </c>
      <c r="R108" s="4">
        <v>46162</v>
      </c>
      <c r="S108" s="4"/>
      <c r="T108" s="3" t="s">
        <v>28</v>
      </c>
      <c r="U108" s="3" t="s">
        <v>598</v>
      </c>
      <c r="V108" s="14" cm="1">
        <f t="array" ref="V108">CalculerCommissionAnnuelle(M108,Q108,L108,1.7%,2024)</f>
        <v>495833.33333333337</v>
      </c>
      <c r="W108" s="14" cm="1">
        <f t="array" ref="W108">CalculerCommissionAnnuelle(M108,Q108,L108,1.7%,2023)</f>
        <v>779166.66666666674</v>
      </c>
      <c r="X108" s="14" cm="1">
        <f t="array" ref="X108">CalculerCommissionAnnuelle(M108,Q108,L108,1.7%,2022)</f>
        <v>0</v>
      </c>
      <c r="Y108" s="14" cm="1">
        <f t="array" ref="Y108">CalculerCommissionAnnuelle(M108,Q108,L108,1.7%,2021)</f>
        <v>0</v>
      </c>
      <c r="Z108" s="19" t="str">
        <f t="shared" si="1"/>
        <v>GP</v>
      </c>
    </row>
    <row r="109" spans="1:26" s="1" customFormat="1" ht="18.149999999999999" customHeight="1" x14ac:dyDescent="0.25">
      <c r="A109" s="3" t="s">
        <v>796</v>
      </c>
      <c r="B109" s="3" t="s">
        <v>801</v>
      </c>
      <c r="C109" s="3" t="s">
        <v>802</v>
      </c>
      <c r="D109" s="3" t="s">
        <v>21</v>
      </c>
      <c r="E109" s="4"/>
      <c r="F109" s="3" t="s">
        <v>803</v>
      </c>
      <c r="G109" s="3" t="s">
        <v>804</v>
      </c>
      <c r="H109" s="5">
        <v>0</v>
      </c>
      <c r="I109" s="4">
        <v>45169</v>
      </c>
      <c r="J109" s="3" t="s">
        <v>62</v>
      </c>
      <c r="K109" s="3" t="s">
        <v>63</v>
      </c>
      <c r="L109" s="5">
        <v>60</v>
      </c>
      <c r="M109" s="10">
        <v>30000000</v>
      </c>
      <c r="N109" s="5">
        <v>591329</v>
      </c>
      <c r="O109" s="5">
        <v>12</v>
      </c>
      <c r="P109" s="3" t="s">
        <v>24</v>
      </c>
      <c r="Q109" s="4">
        <v>45560</v>
      </c>
      <c r="R109" s="4">
        <v>47355</v>
      </c>
      <c r="S109" s="4"/>
      <c r="T109" s="3" t="s">
        <v>28</v>
      </c>
      <c r="U109" s="3" t="s">
        <v>641</v>
      </c>
      <c r="V109" s="14" cm="1">
        <f t="array" ref="V109">CalculerCommissionAnnuelle(M109,Q109,L109,1.7%,2024)</f>
        <v>484500.00000000006</v>
      </c>
      <c r="W109" s="14" cm="1">
        <f t="array" ref="W109">CalculerCommissionAnnuelle(M109,Q109,L109,1.7%,2023)</f>
        <v>0</v>
      </c>
      <c r="X109" s="14" cm="1">
        <f t="array" ref="X109">CalculerCommissionAnnuelle(M109,Q109,L109,1.7%,2022)</f>
        <v>0</v>
      </c>
      <c r="Y109" s="14" cm="1">
        <f t="array" ref="Y109">CalculerCommissionAnnuelle(M109,Q109,L109,1.7%,2021)</f>
        <v>0</v>
      </c>
      <c r="Z109" s="19" t="str">
        <f t="shared" si="1"/>
        <v>GP</v>
      </c>
    </row>
    <row r="110" spans="1:26" s="1" customFormat="1" ht="18.149999999999999" customHeight="1" x14ac:dyDescent="0.25">
      <c r="A110" s="3" t="s">
        <v>909</v>
      </c>
      <c r="B110" s="3" t="s">
        <v>919</v>
      </c>
      <c r="C110" s="3" t="s">
        <v>920</v>
      </c>
      <c r="D110" s="3" t="s">
        <v>21</v>
      </c>
      <c r="E110" s="4"/>
      <c r="F110" s="3" t="s">
        <v>921</v>
      </c>
      <c r="G110" s="3" t="s">
        <v>923</v>
      </c>
      <c r="H110" s="5">
        <v>0</v>
      </c>
      <c r="I110" s="16">
        <v>45176</v>
      </c>
      <c r="J110" s="3" t="s">
        <v>59</v>
      </c>
      <c r="K110" s="3" t="s">
        <v>60</v>
      </c>
      <c r="L110" s="5">
        <v>36</v>
      </c>
      <c r="M110" s="10">
        <v>20208060</v>
      </c>
      <c r="N110" s="5">
        <v>663780</v>
      </c>
      <c r="O110" s="5">
        <v>9</v>
      </c>
      <c r="P110" s="3" t="s">
        <v>24</v>
      </c>
      <c r="Q110" s="4">
        <v>45206</v>
      </c>
      <c r="R110" s="4">
        <v>46272</v>
      </c>
      <c r="S110" s="4"/>
      <c r="T110" s="3" t="s">
        <v>28</v>
      </c>
      <c r="U110" s="3" t="s">
        <v>256</v>
      </c>
      <c r="V110" s="14" cm="1">
        <f t="array" ref="V110">CalculerCommissionAnnuelle(M110,Q110,L110,1.7%,2024)</f>
        <v>477134.75000000006</v>
      </c>
      <c r="W110" s="14" cm="1">
        <f t="array" ref="W110">CalculerCommissionAnnuelle(M110,Q110,L110,1.7%,2023)</f>
        <v>324451.63</v>
      </c>
      <c r="X110" s="14" cm="1">
        <f t="array" ref="X110">CalculerCommissionAnnuelle(M110,Q110,L110,1.7%,2022)</f>
        <v>0</v>
      </c>
      <c r="Y110" s="14" cm="1">
        <f t="array" ref="Y110">CalculerCommissionAnnuelle(M110,Q110,L110,1.7%,2021)</f>
        <v>0</v>
      </c>
      <c r="Z110" s="19" t="str">
        <f t="shared" si="1"/>
        <v>GP</v>
      </c>
    </row>
    <row r="111" spans="1:26" s="1" customFormat="1" ht="18.149999999999999" customHeight="1" x14ac:dyDescent="0.25">
      <c r="A111" s="6" t="s">
        <v>407</v>
      </c>
      <c r="B111" s="6" t="s">
        <v>442</v>
      </c>
      <c r="C111" s="6" t="s">
        <v>443</v>
      </c>
      <c r="D111" s="6" t="s">
        <v>21</v>
      </c>
      <c r="E111" s="7"/>
      <c r="F111" s="6" t="s">
        <v>444</v>
      </c>
      <c r="G111" s="6" t="s">
        <v>445</v>
      </c>
      <c r="H111" s="8">
        <v>0</v>
      </c>
      <c r="I111" s="16">
        <v>44966</v>
      </c>
      <c r="J111" s="6" t="s">
        <v>59</v>
      </c>
      <c r="K111" s="6" t="s">
        <v>60</v>
      </c>
      <c r="L111" s="8">
        <v>36</v>
      </c>
      <c r="M111" s="11">
        <v>25000000</v>
      </c>
      <c r="N111" s="8">
        <v>821182</v>
      </c>
      <c r="O111" s="8">
        <v>9</v>
      </c>
      <c r="P111" s="6" t="s">
        <v>24</v>
      </c>
      <c r="Q111" s="7">
        <v>44994</v>
      </c>
      <c r="R111" s="7">
        <v>46062</v>
      </c>
      <c r="S111" s="7"/>
      <c r="T111" s="6" t="s">
        <v>28</v>
      </c>
      <c r="U111" s="6" t="s">
        <v>310</v>
      </c>
      <c r="V111" s="14" cm="1">
        <f t="array" ref="V111">CalculerCommissionAnnuelle(M111,Q111,L111,1.7%,2024)</f>
        <v>425000.00000000006</v>
      </c>
      <c r="W111" s="14" cm="1">
        <f t="array" ref="W111">CalculerCommissionAnnuelle(M111,Q111,L111,1.7%,2023)</f>
        <v>708333.33333333337</v>
      </c>
      <c r="X111" s="14" cm="1">
        <f t="array" ref="X111">CalculerCommissionAnnuelle(M111,Q111,L111,1.7%,2022)</f>
        <v>0</v>
      </c>
      <c r="Y111" s="14" cm="1">
        <f t="array" ref="Y111">CalculerCommissionAnnuelle(M111,Q111,L111,1.7%,2021)</f>
        <v>0</v>
      </c>
      <c r="Z111" s="19" t="str">
        <f t="shared" si="1"/>
        <v>GP</v>
      </c>
    </row>
    <row r="112" spans="1:26" s="1" customFormat="1" ht="18.149999999999999" customHeight="1" x14ac:dyDescent="0.25">
      <c r="A112" s="6" t="s">
        <v>593</v>
      </c>
      <c r="B112" s="6" t="s">
        <v>599</v>
      </c>
      <c r="C112" s="6" t="s">
        <v>600</v>
      </c>
      <c r="D112" s="6" t="s">
        <v>21</v>
      </c>
      <c r="E112" s="7">
        <v>25201</v>
      </c>
      <c r="F112" s="6" t="s">
        <v>601</v>
      </c>
      <c r="G112" s="6" t="s">
        <v>602</v>
      </c>
      <c r="H112" s="8">
        <v>0</v>
      </c>
      <c r="I112" s="16">
        <v>45229</v>
      </c>
      <c r="J112" s="6" t="s">
        <v>59</v>
      </c>
      <c r="K112" s="6" t="s">
        <v>60</v>
      </c>
      <c r="L112" s="8">
        <v>36</v>
      </c>
      <c r="M112" s="11">
        <v>16000000</v>
      </c>
      <c r="N112" s="8">
        <v>543499</v>
      </c>
      <c r="O112" s="8">
        <v>11</v>
      </c>
      <c r="P112" s="6" t="s">
        <v>24</v>
      </c>
      <c r="Q112" s="7">
        <v>45260</v>
      </c>
      <c r="R112" s="7">
        <v>46325</v>
      </c>
      <c r="S112" s="7"/>
      <c r="T112" s="6" t="s">
        <v>28</v>
      </c>
      <c r="U112" s="6" t="s">
        <v>598</v>
      </c>
      <c r="V112" s="14" cm="1">
        <f t="array" ref="V112">CalculerCommissionAnnuelle(M112,Q112,L112,1.7%,2024)</f>
        <v>392888.88888888888</v>
      </c>
      <c r="W112" s="14" cm="1">
        <f t="array" ref="W112">CalculerCommissionAnnuelle(M112,Q112,L112,1.7%,2023)</f>
        <v>264444.4444444445</v>
      </c>
      <c r="X112" s="14" cm="1">
        <f t="array" ref="X112">CalculerCommissionAnnuelle(M112,Q112,L112,1.7%,2022)</f>
        <v>0</v>
      </c>
      <c r="Y112" s="14" cm="1">
        <f t="array" ref="Y112">CalculerCommissionAnnuelle(M112,Q112,L112,1.7%,2021)</f>
        <v>0</v>
      </c>
      <c r="Z112" s="19" t="str">
        <f t="shared" si="1"/>
        <v>GP</v>
      </c>
    </row>
    <row r="113" spans="1:26" s="1" customFormat="1" ht="18.149999999999999" customHeight="1" x14ac:dyDescent="0.25">
      <c r="A113" s="3" t="s">
        <v>750</v>
      </c>
      <c r="B113" s="3" t="s">
        <v>782</v>
      </c>
      <c r="C113" s="3" t="s">
        <v>783</v>
      </c>
      <c r="D113" s="3" t="s">
        <v>21</v>
      </c>
      <c r="E113" s="4"/>
      <c r="F113" s="3" t="s">
        <v>784</v>
      </c>
      <c r="G113" s="3" t="s">
        <v>785</v>
      </c>
      <c r="H113" s="5">
        <v>1</v>
      </c>
      <c r="I113" s="16">
        <v>44782</v>
      </c>
      <c r="J113" s="3" t="s">
        <v>62</v>
      </c>
      <c r="K113" s="3" t="s">
        <v>63</v>
      </c>
      <c r="L113" s="5">
        <v>36</v>
      </c>
      <c r="M113" s="10">
        <v>32000000</v>
      </c>
      <c r="N113" s="5">
        <v>492709</v>
      </c>
      <c r="O113" s="5">
        <v>9</v>
      </c>
      <c r="P113" s="3" t="s">
        <v>24</v>
      </c>
      <c r="Q113" s="4">
        <v>44813</v>
      </c>
      <c r="R113" s="4">
        <v>45878</v>
      </c>
      <c r="S113" s="4"/>
      <c r="T113" s="3" t="s">
        <v>28</v>
      </c>
      <c r="U113" s="3" t="s">
        <v>755</v>
      </c>
      <c r="V113" s="14" cm="1">
        <f t="array" ref="V113">CalculerCommissionAnnuelle(M113,Q113,L113,1.7%,2024)</f>
        <v>362666.66666666669</v>
      </c>
      <c r="W113" s="14" cm="1">
        <f t="array" ref="W113">CalculerCommissionAnnuelle(M113,Q113,L113,1.7%,2023)</f>
        <v>725333.33333333337</v>
      </c>
      <c r="X113" s="14" cm="1">
        <f t="array" ref="X113">CalculerCommissionAnnuelle(M113,Q113,L113,1.7%,2022)</f>
        <v>498666.66666666669</v>
      </c>
      <c r="Y113" s="14" cm="1">
        <f t="array" ref="Y113">CalculerCommissionAnnuelle(M113,Q113,L113,1.7%,2021)</f>
        <v>0</v>
      </c>
      <c r="Z113" s="19" t="str">
        <f t="shared" si="1"/>
        <v>GP</v>
      </c>
    </row>
    <row r="114" spans="1:26" s="1" customFormat="1" ht="18.149999999999999" customHeight="1" x14ac:dyDescent="0.25">
      <c r="A114" s="6" t="s">
        <v>750</v>
      </c>
      <c r="B114" s="6" t="s">
        <v>765</v>
      </c>
      <c r="C114" s="6" t="s">
        <v>766</v>
      </c>
      <c r="D114" s="6" t="s">
        <v>21</v>
      </c>
      <c r="E114" s="7"/>
      <c r="F114" s="6" t="s">
        <v>767</v>
      </c>
      <c r="G114" s="6" t="s">
        <v>768</v>
      </c>
      <c r="H114" s="8">
        <v>0</v>
      </c>
      <c r="I114" s="7">
        <v>45281</v>
      </c>
      <c r="J114" s="6" t="s">
        <v>59</v>
      </c>
      <c r="K114" s="6" t="s">
        <v>60</v>
      </c>
      <c r="L114" s="8">
        <v>36</v>
      </c>
      <c r="M114" s="11">
        <v>13000000</v>
      </c>
      <c r="N114" s="8">
        <v>429926</v>
      </c>
      <c r="O114" s="8">
        <v>10</v>
      </c>
      <c r="P114" s="6" t="s">
        <v>24</v>
      </c>
      <c r="Q114" s="7">
        <v>45312</v>
      </c>
      <c r="R114" s="7">
        <v>46377</v>
      </c>
      <c r="S114" s="7"/>
      <c r="T114" s="6" t="s">
        <v>28</v>
      </c>
      <c r="U114" s="6" t="s">
        <v>755</v>
      </c>
      <c r="V114" s="14" cm="1">
        <f t="array" ref="V114">CalculerCommissionAnnuelle(M114,Q114,L114,1.7%,2024)</f>
        <v>343777.77777777781</v>
      </c>
      <c r="W114" s="14" cm="1">
        <f t="array" ref="W114">CalculerCommissionAnnuelle(M114,Q114,L114,1.7%,2023)</f>
        <v>0</v>
      </c>
      <c r="X114" s="14" cm="1">
        <f t="array" ref="X114">CalculerCommissionAnnuelle(M114,Q114,L114,1.7%,2022)</f>
        <v>0</v>
      </c>
      <c r="Y114" s="14" cm="1">
        <f t="array" ref="Y114">CalculerCommissionAnnuelle(M114,Q114,L114,1.7%,2021)</f>
        <v>0</v>
      </c>
      <c r="Z114" s="19" t="str">
        <f t="shared" si="1"/>
        <v>GP</v>
      </c>
    </row>
    <row r="115" spans="1:26" s="1" customFormat="1" ht="17.399999999999999" customHeight="1" x14ac:dyDescent="0.25">
      <c r="A115" s="3" t="s">
        <v>26</v>
      </c>
      <c r="B115" s="3" t="s">
        <v>233</v>
      </c>
      <c r="C115" s="3" t="s">
        <v>234</v>
      </c>
      <c r="D115" s="3" t="s">
        <v>21</v>
      </c>
      <c r="E115" s="4"/>
      <c r="F115" s="3" t="s">
        <v>235</v>
      </c>
      <c r="G115" s="3" t="s">
        <v>236</v>
      </c>
      <c r="H115" s="5">
        <v>0</v>
      </c>
      <c r="I115" s="16">
        <v>45133</v>
      </c>
      <c r="J115" s="3" t="s">
        <v>62</v>
      </c>
      <c r="K115" s="3" t="s">
        <v>63</v>
      </c>
      <c r="L115" s="5">
        <v>36</v>
      </c>
      <c r="M115" s="10">
        <v>15000000</v>
      </c>
      <c r="N115" s="5">
        <v>492709</v>
      </c>
      <c r="O115" s="5">
        <v>9</v>
      </c>
      <c r="P115" s="3" t="s">
        <v>24</v>
      </c>
      <c r="Q115" s="4">
        <v>45164</v>
      </c>
      <c r="R115" s="4">
        <v>46229</v>
      </c>
      <c r="S115" s="4"/>
      <c r="T115" s="3" t="s">
        <v>28</v>
      </c>
      <c r="U115" s="3" t="s">
        <v>96</v>
      </c>
      <c r="V115" s="14" cm="1">
        <f t="array" ref="V115">CalculerCommissionAnnuelle(M115,Q115,L115,1.7%,2024)</f>
        <v>325833.33333333337</v>
      </c>
      <c r="W115" s="14" cm="1">
        <f t="array" ref="W115">CalculerCommissionAnnuelle(M115,Q115,L115,1.7%,2023)</f>
        <v>226666.66666666669</v>
      </c>
      <c r="X115" s="14" cm="1">
        <f t="array" ref="X115">CalculerCommissionAnnuelle(M115,Q115,L115,1.7%,2022)</f>
        <v>0</v>
      </c>
      <c r="Y115" s="14" cm="1">
        <f t="array" ref="Y115">CalculerCommissionAnnuelle(M115,Q115,L115,1.7%,2021)</f>
        <v>0</v>
      </c>
      <c r="Z115" s="19" t="str">
        <f t="shared" si="1"/>
        <v>GP</v>
      </c>
    </row>
    <row r="116" spans="1:26" s="1" customFormat="1" ht="18.149999999999999" customHeight="1" x14ac:dyDescent="0.25">
      <c r="A116" s="6" t="s">
        <v>702</v>
      </c>
      <c r="B116" s="6" t="s">
        <v>730</v>
      </c>
      <c r="C116" s="6" t="s">
        <v>731</v>
      </c>
      <c r="D116" s="6" t="s">
        <v>21</v>
      </c>
      <c r="E116" s="7"/>
      <c r="F116" s="6" t="s">
        <v>732</v>
      </c>
      <c r="G116" s="6" t="s">
        <v>733</v>
      </c>
      <c r="H116" s="8">
        <v>0</v>
      </c>
      <c r="I116" s="16">
        <v>45184</v>
      </c>
      <c r="J116" s="6" t="s">
        <v>59</v>
      </c>
      <c r="K116" s="6" t="s">
        <v>60</v>
      </c>
      <c r="L116" s="8">
        <v>32</v>
      </c>
      <c r="M116" s="11">
        <v>14485473</v>
      </c>
      <c r="N116" s="8">
        <v>529139</v>
      </c>
      <c r="O116" s="8">
        <v>10</v>
      </c>
      <c r="P116" s="6" t="s">
        <v>24</v>
      </c>
      <c r="Q116" s="7">
        <v>45214</v>
      </c>
      <c r="R116" s="7">
        <v>46157</v>
      </c>
      <c r="S116" s="7"/>
      <c r="T116" s="6" t="s">
        <v>28</v>
      </c>
      <c r="U116" s="6" t="s">
        <v>707</v>
      </c>
      <c r="V116" s="14" cm="1">
        <f t="array" ref="V116">CalculerCommissionAnnuelle(M116,Q116,L116,1.7%,2024)</f>
        <v>323207.11631250003</v>
      </c>
      <c r="W116" s="14" cm="1">
        <f t="array" ref="W116">CalculerCommissionAnnuelle(M116,Q116,L116,1.7%,2023)</f>
        <v>230862.22593750001</v>
      </c>
      <c r="X116" s="14" cm="1">
        <f t="array" ref="X116">CalculerCommissionAnnuelle(M116,Q116,L116,1.7%,2022)</f>
        <v>0</v>
      </c>
      <c r="Y116" s="14" cm="1">
        <f t="array" ref="Y116">CalculerCommissionAnnuelle(M116,Q116,L116,1.7%,2021)</f>
        <v>0</v>
      </c>
      <c r="Z116" s="19" t="str">
        <f t="shared" si="1"/>
        <v>GP</v>
      </c>
    </row>
    <row r="117" spans="1:26" s="1" customFormat="1" ht="18.149999999999999" customHeight="1" x14ac:dyDescent="0.25">
      <c r="A117" s="6" t="s">
        <v>407</v>
      </c>
      <c r="B117" s="6" t="s">
        <v>469</v>
      </c>
      <c r="C117" s="6" t="s">
        <v>470</v>
      </c>
      <c r="D117" s="6" t="s">
        <v>21</v>
      </c>
      <c r="E117" s="7"/>
      <c r="F117" s="6" t="s">
        <v>471</v>
      </c>
      <c r="G117" s="6" t="s">
        <v>472</v>
      </c>
      <c r="H117" s="8">
        <v>0</v>
      </c>
      <c r="I117" s="16">
        <v>45007</v>
      </c>
      <c r="J117" s="6" t="s">
        <v>59</v>
      </c>
      <c r="K117" s="6" t="s">
        <v>60</v>
      </c>
      <c r="L117" s="8">
        <v>60</v>
      </c>
      <c r="M117" s="11">
        <v>13086200</v>
      </c>
      <c r="N117" s="8">
        <v>286022</v>
      </c>
      <c r="O117" s="8">
        <v>9</v>
      </c>
      <c r="P117" s="6" t="s">
        <v>24</v>
      </c>
      <c r="Q117" s="7">
        <v>45038</v>
      </c>
      <c r="R117" s="7">
        <v>46834</v>
      </c>
      <c r="S117" s="7"/>
      <c r="T117" s="6" t="s">
        <v>28</v>
      </c>
      <c r="U117" s="6" t="s">
        <v>256</v>
      </c>
      <c r="V117" s="14" cm="1">
        <f t="array" ref="V117">CalculerCommissionAnnuelle(M117,Q117,L117,1.7%,2024)</f>
        <v>318867.07333333336</v>
      </c>
      <c r="W117" s="14" cm="1">
        <f t="array" ref="W117">CalculerCommissionAnnuelle(M117,Q117,L117,1.7%,2023)</f>
        <v>407853.2333333334</v>
      </c>
      <c r="X117" s="14" cm="1">
        <f t="array" ref="X117">CalculerCommissionAnnuelle(M117,Q117,L117,1.7%,2022)</f>
        <v>0</v>
      </c>
      <c r="Y117" s="14" cm="1">
        <f t="array" ref="Y117">CalculerCommissionAnnuelle(M117,Q117,L117,1.7%,2021)</f>
        <v>0</v>
      </c>
      <c r="Z117" s="19" t="str">
        <f t="shared" si="1"/>
        <v>GP</v>
      </c>
    </row>
    <row r="118" spans="1:26" s="1" customFormat="1" ht="18.149999999999999" customHeight="1" x14ac:dyDescent="0.25">
      <c r="A118" s="6" t="s">
        <v>26</v>
      </c>
      <c r="B118" s="6" t="s">
        <v>97</v>
      </c>
      <c r="C118" s="6" t="s">
        <v>98</v>
      </c>
      <c r="D118" s="6" t="s">
        <v>21</v>
      </c>
      <c r="E118" s="7"/>
      <c r="F118" s="6" t="s">
        <v>99</v>
      </c>
      <c r="G118" s="6" t="s">
        <v>101</v>
      </c>
      <c r="H118" s="8">
        <v>0</v>
      </c>
      <c r="I118" s="16">
        <v>44785</v>
      </c>
      <c r="J118" s="6" t="s">
        <v>39</v>
      </c>
      <c r="K118" s="6" t="s">
        <v>40</v>
      </c>
      <c r="L118" s="8">
        <v>24</v>
      </c>
      <c r="M118" s="11">
        <v>150000000</v>
      </c>
      <c r="N118" s="8">
        <v>6917932</v>
      </c>
      <c r="O118" s="8">
        <v>8.5</v>
      </c>
      <c r="P118" s="6" t="s">
        <v>24</v>
      </c>
      <c r="Q118" s="7">
        <v>44816</v>
      </c>
      <c r="R118" s="7">
        <v>45516</v>
      </c>
      <c r="S118" s="7"/>
      <c r="T118" s="6" t="s">
        <v>28</v>
      </c>
      <c r="U118" s="6" t="s">
        <v>41</v>
      </c>
      <c r="V118" s="14" cm="1">
        <f t="array" ref="V118">CalculerCommissionAnnuelle(M118,Q118,L118,1.7%,2024)</f>
        <v>318750</v>
      </c>
      <c r="W118" s="14" cm="1">
        <f t="array" ref="W118">CalculerCommissionAnnuelle(M118,Q118,L118,1.7%,2023)</f>
        <v>2550000</v>
      </c>
      <c r="X118" s="14" cm="1">
        <f t="array" ref="X118">CalculerCommissionAnnuelle(M118,Q118,L118,1.7%,2022)</f>
        <v>2231250</v>
      </c>
      <c r="Y118" s="14" cm="1">
        <f t="array" ref="Y118">CalculerCommissionAnnuelle(M118,Q118,L118,1.7%,2021)</f>
        <v>0</v>
      </c>
      <c r="Z118" s="19" t="str">
        <f t="shared" si="1"/>
        <v>GP</v>
      </c>
    </row>
    <row r="119" spans="1:26" s="1" customFormat="1" ht="18.149999999999999" customHeight="1" x14ac:dyDescent="0.25">
      <c r="A119" s="3" t="s">
        <v>407</v>
      </c>
      <c r="B119" s="3" t="s">
        <v>460</v>
      </c>
      <c r="C119" s="3" t="s">
        <v>461</v>
      </c>
      <c r="D119" s="3" t="s">
        <v>21</v>
      </c>
      <c r="E119" s="4"/>
      <c r="F119" s="3" t="s">
        <v>462</v>
      </c>
      <c r="G119" s="3" t="s">
        <v>463</v>
      </c>
      <c r="H119" s="5">
        <v>0</v>
      </c>
      <c r="I119" s="16">
        <v>44623</v>
      </c>
      <c r="J119" s="3" t="s">
        <v>59</v>
      </c>
      <c r="K119" s="3" t="s">
        <v>60</v>
      </c>
      <c r="L119" s="5">
        <v>60</v>
      </c>
      <c r="M119" s="10">
        <v>17927906</v>
      </c>
      <c r="N119" s="5">
        <v>397113</v>
      </c>
      <c r="O119" s="5">
        <v>9.5</v>
      </c>
      <c r="P119" s="3" t="s">
        <v>24</v>
      </c>
      <c r="Q119" s="4">
        <v>44654</v>
      </c>
      <c r="R119" s="4">
        <v>46449</v>
      </c>
      <c r="S119" s="4"/>
      <c r="T119" s="3" t="s">
        <v>28</v>
      </c>
      <c r="U119" s="3" t="s">
        <v>256</v>
      </c>
      <c r="V119" s="14" cm="1">
        <f t="array" ref="V119">CalculerCommissionAnnuelle(M119,Q119,L119,1.7%,2024)</f>
        <v>314933.54873333336</v>
      </c>
      <c r="W119" s="14" cm="1">
        <f t="array" ref="W119">CalculerCommissionAnnuelle(M119,Q119,L119,1.7%,2023)</f>
        <v>436843.30953333341</v>
      </c>
      <c r="X119" s="14" cm="1">
        <f t="array" ref="X119">CalculerCommissionAnnuelle(M119,Q119,L119,1.7%,2022)</f>
        <v>558753.07033333334</v>
      </c>
      <c r="Y119" s="14" cm="1">
        <f t="array" ref="Y119">CalculerCommissionAnnuelle(M119,Q119,L119,1.7%,2021)</f>
        <v>0</v>
      </c>
      <c r="Z119" s="19" t="str">
        <f t="shared" si="1"/>
        <v>GP</v>
      </c>
    </row>
    <row r="120" spans="1:26" s="1" customFormat="1" ht="18.149999999999999" customHeight="1" x14ac:dyDescent="0.25">
      <c r="A120" s="3" t="s">
        <v>852</v>
      </c>
      <c r="B120" s="3" t="s">
        <v>853</v>
      </c>
      <c r="C120" s="3" t="s">
        <v>854</v>
      </c>
      <c r="D120" s="3" t="s">
        <v>21</v>
      </c>
      <c r="E120" s="4"/>
      <c r="F120" s="3" t="s">
        <v>855</v>
      </c>
      <c r="G120" s="3" t="s">
        <v>856</v>
      </c>
      <c r="H120" s="5">
        <v>0</v>
      </c>
      <c r="I120" s="16">
        <v>44566</v>
      </c>
      <c r="J120" s="3" t="s">
        <v>59</v>
      </c>
      <c r="K120" s="3" t="s">
        <v>60</v>
      </c>
      <c r="L120" s="5">
        <v>54</v>
      </c>
      <c r="M120" s="10">
        <v>17000000</v>
      </c>
      <c r="N120" s="5">
        <v>396625</v>
      </c>
      <c r="O120" s="5">
        <v>9</v>
      </c>
      <c r="P120" s="3" t="s">
        <v>24</v>
      </c>
      <c r="Q120" s="4">
        <v>44778</v>
      </c>
      <c r="R120" s="4">
        <v>46392</v>
      </c>
      <c r="S120" s="4"/>
      <c r="T120" s="3" t="s">
        <v>28</v>
      </c>
      <c r="U120" s="3" t="s">
        <v>592</v>
      </c>
      <c r="V120" s="14" cm="1">
        <f t="array" ref="V120">CalculerCommissionAnnuelle(M120,Q120,L120,1.7%,2024)</f>
        <v>310407.40740740747</v>
      </c>
      <c r="W120" s="14" cm="1">
        <f t="array" ref="W120">CalculerCommissionAnnuelle(M120,Q120,L120,1.7%,2023)</f>
        <v>438851.85185185191</v>
      </c>
      <c r="X120" s="14" cm="1">
        <f t="array" ref="X120">CalculerCommissionAnnuelle(M120,Q120,L120,1.7%,2022)</f>
        <v>267592.59259259258</v>
      </c>
      <c r="Y120" s="14" cm="1">
        <f t="array" ref="Y120">CalculerCommissionAnnuelle(M120,Q120,L120,1.7%,2021)</f>
        <v>0</v>
      </c>
      <c r="Z120" s="19" t="str">
        <f t="shared" si="1"/>
        <v>GP</v>
      </c>
    </row>
    <row r="121" spans="1:26" s="1" customFormat="1" ht="18.149999999999999" customHeight="1" x14ac:dyDescent="0.25">
      <c r="A121" s="3" t="s">
        <v>882</v>
      </c>
      <c r="B121" s="3" t="s">
        <v>883</v>
      </c>
      <c r="C121" s="3" t="s">
        <v>884</v>
      </c>
      <c r="D121" s="3" t="s">
        <v>21</v>
      </c>
      <c r="E121" s="4"/>
      <c r="F121" s="3" t="s">
        <v>885</v>
      </c>
      <c r="G121" s="3" t="s">
        <v>886</v>
      </c>
      <c r="H121" s="5">
        <v>0</v>
      </c>
      <c r="I121" s="16">
        <v>44785</v>
      </c>
      <c r="J121" s="3" t="s">
        <v>59</v>
      </c>
      <c r="K121" s="3" t="s">
        <v>60</v>
      </c>
      <c r="L121" s="5">
        <v>60</v>
      </c>
      <c r="M121" s="10">
        <v>15000000</v>
      </c>
      <c r="N121" s="5">
        <v>354797</v>
      </c>
      <c r="O121" s="5">
        <v>12</v>
      </c>
      <c r="P121" s="3" t="s">
        <v>24</v>
      </c>
      <c r="Q121" s="4">
        <v>44816</v>
      </c>
      <c r="R121" s="4">
        <v>46611</v>
      </c>
      <c r="S121" s="4"/>
      <c r="T121" s="3" t="s">
        <v>28</v>
      </c>
      <c r="U121" s="3" t="s">
        <v>505</v>
      </c>
      <c r="V121" s="14" cm="1">
        <f t="array" ref="V121">CalculerCommissionAnnuelle(M121,Q121,L121,1.7%,2024)</f>
        <v>306000</v>
      </c>
      <c r="W121" s="14" cm="1">
        <f t="array" ref="W121">CalculerCommissionAnnuelle(M121,Q121,L121,1.7%,2023)</f>
        <v>408000.00000000006</v>
      </c>
      <c r="X121" s="14" cm="1">
        <f t="array" ref="X121">CalculerCommissionAnnuelle(M121,Q121,L121,1.7%,2022)</f>
        <v>242250.00000000003</v>
      </c>
      <c r="Y121" s="14" cm="1">
        <f t="array" ref="Y121">CalculerCommissionAnnuelle(M121,Q121,L121,1.7%,2021)</f>
        <v>0</v>
      </c>
      <c r="Z121" s="19" t="str">
        <f t="shared" si="1"/>
        <v>GP</v>
      </c>
    </row>
    <row r="122" spans="1:26" s="1" customFormat="1" ht="18.149999999999999" customHeight="1" x14ac:dyDescent="0.25">
      <c r="A122" s="3" t="s">
        <v>330</v>
      </c>
      <c r="B122" s="3" t="s">
        <v>378</v>
      </c>
      <c r="C122" s="3" t="s">
        <v>379</v>
      </c>
      <c r="D122" s="3" t="s">
        <v>21</v>
      </c>
      <c r="E122" s="4"/>
      <c r="F122" s="3" t="s">
        <v>380</v>
      </c>
      <c r="G122" s="3" t="s">
        <v>382</v>
      </c>
      <c r="H122" s="5">
        <v>0</v>
      </c>
      <c r="I122" s="16">
        <v>44433</v>
      </c>
      <c r="J122" s="3" t="s">
        <v>383</v>
      </c>
      <c r="K122" s="3" t="s">
        <v>384</v>
      </c>
      <c r="L122" s="5">
        <v>36</v>
      </c>
      <c r="M122" s="10">
        <v>215000000</v>
      </c>
      <c r="N122" s="5">
        <v>6638576</v>
      </c>
      <c r="O122" s="5">
        <v>7</v>
      </c>
      <c r="P122" s="3" t="s">
        <v>24</v>
      </c>
      <c r="Q122" s="4">
        <v>44464</v>
      </c>
      <c r="R122" s="4">
        <v>45529</v>
      </c>
      <c r="S122" s="4"/>
      <c r="T122" s="3" t="s">
        <v>28</v>
      </c>
      <c r="U122" s="3" t="s">
        <v>141</v>
      </c>
      <c r="V122" s="14" cm="1">
        <f t="array" ref="V122">CalculerCommissionAnnuelle(M122,Q122,L122,1.7%,2024)</f>
        <v>304583.33333333337</v>
      </c>
      <c r="W122" s="14" cm="1">
        <f t="array" ref="W122">CalculerCommissionAnnuelle(M122,Q122,L122,1.7%,2023)</f>
        <v>2436666.666666667</v>
      </c>
      <c r="X122" s="14" cm="1">
        <f t="array" ref="X122">CalculerCommissionAnnuelle(M122,Q122,L122,1.7%,2022)</f>
        <v>4873333.333333334</v>
      </c>
      <c r="Y122" s="14" cm="1">
        <f t="array" ref="Y122">CalculerCommissionAnnuelle(M122,Q122,L122,1.7%,2021)</f>
        <v>3350416.666666667</v>
      </c>
      <c r="Z122" s="19" t="str">
        <f t="shared" si="1"/>
        <v>GI</v>
      </c>
    </row>
    <row r="123" spans="1:26" s="1" customFormat="1" ht="18.149999999999999" customHeight="1" x14ac:dyDescent="0.25">
      <c r="A123" s="6" t="s">
        <v>251</v>
      </c>
      <c r="B123" s="6" t="s">
        <v>252</v>
      </c>
      <c r="C123" s="6" t="s">
        <v>253</v>
      </c>
      <c r="D123" s="6" t="s">
        <v>21</v>
      </c>
      <c r="E123" s="7"/>
      <c r="F123" s="6" t="s">
        <v>254</v>
      </c>
      <c r="G123" s="6" t="s">
        <v>255</v>
      </c>
      <c r="H123" s="8">
        <v>0</v>
      </c>
      <c r="I123" s="16">
        <v>44925</v>
      </c>
      <c r="J123" s="6" t="s">
        <v>59</v>
      </c>
      <c r="K123" s="6" t="s">
        <v>60</v>
      </c>
      <c r="L123" s="8">
        <v>36</v>
      </c>
      <c r="M123" s="11">
        <v>20000000</v>
      </c>
      <c r="N123" s="8">
        <v>667992</v>
      </c>
      <c r="O123" s="8">
        <v>9.99</v>
      </c>
      <c r="P123" s="6" t="s">
        <v>24</v>
      </c>
      <c r="Q123" s="7">
        <v>44949</v>
      </c>
      <c r="R123" s="7">
        <v>46014</v>
      </c>
      <c r="S123" s="7"/>
      <c r="T123" s="6" t="s">
        <v>28</v>
      </c>
      <c r="U123" s="6" t="s">
        <v>256</v>
      </c>
      <c r="V123" s="14" cm="1">
        <f t="array" ref="V123">CalculerCommissionAnnuelle(M123,Q123,L123,1.7%,2024)</f>
        <v>302222.22222222225</v>
      </c>
      <c r="W123" s="14" cm="1">
        <f t="array" ref="W123">CalculerCommissionAnnuelle(M123,Q123,L123,1.7%,2023)</f>
        <v>528888.88888888899</v>
      </c>
      <c r="X123" s="14" cm="1">
        <f t="array" ref="X123">CalculerCommissionAnnuelle(M123,Q123,L123,1.7%,2022)</f>
        <v>0</v>
      </c>
      <c r="Y123" s="14" cm="1">
        <f t="array" ref="Y123">CalculerCommissionAnnuelle(M123,Q123,L123,1.7%,2021)</f>
        <v>0</v>
      </c>
      <c r="Z123" s="19" t="str">
        <f t="shared" si="1"/>
        <v>GP</v>
      </c>
    </row>
    <row r="124" spans="1:26" s="1" customFormat="1" ht="18.149999999999999" customHeight="1" x14ac:dyDescent="0.25">
      <c r="A124" s="6" t="s">
        <v>305</v>
      </c>
      <c r="B124" s="6" t="s">
        <v>311</v>
      </c>
      <c r="C124" s="6" t="s">
        <v>312</v>
      </c>
      <c r="D124" s="6" t="s">
        <v>21</v>
      </c>
      <c r="E124" s="7"/>
      <c r="F124" s="6" t="s">
        <v>313</v>
      </c>
      <c r="G124" s="6" t="s">
        <v>314</v>
      </c>
      <c r="H124" s="8">
        <v>0</v>
      </c>
      <c r="I124" s="16">
        <v>44459</v>
      </c>
      <c r="J124" s="6" t="s">
        <v>59</v>
      </c>
      <c r="K124" s="6" t="s">
        <v>60</v>
      </c>
      <c r="L124" s="8">
        <v>60</v>
      </c>
      <c r="M124" s="11">
        <v>20000000</v>
      </c>
      <c r="N124" s="8">
        <v>448813</v>
      </c>
      <c r="O124" s="8">
        <v>9.99</v>
      </c>
      <c r="P124" s="6" t="s">
        <v>24</v>
      </c>
      <c r="Q124" s="7">
        <v>44489</v>
      </c>
      <c r="R124" s="7">
        <v>46285</v>
      </c>
      <c r="S124" s="7"/>
      <c r="T124" s="6" t="s">
        <v>28</v>
      </c>
      <c r="U124" s="6" t="s">
        <v>310</v>
      </c>
      <c r="V124" s="14" cm="1">
        <f t="array" ref="V124">CalculerCommissionAnnuelle(M124,Q124,L124,1.7%,2024)</f>
        <v>283333.33333333337</v>
      </c>
      <c r="W124" s="14" cm="1">
        <f t="array" ref="W124">CalculerCommissionAnnuelle(M124,Q124,L124,1.7%,2023)</f>
        <v>419333.33333333337</v>
      </c>
      <c r="X124" s="14" cm="1">
        <f t="array" ref="X124">CalculerCommissionAnnuelle(M124,Q124,L124,1.7%,2022)</f>
        <v>555333.33333333337</v>
      </c>
      <c r="Y124" s="14" cm="1">
        <f t="array" ref="Y124">CalculerCommissionAnnuelle(M124,Q124,L124,1.7%,2021)</f>
        <v>328666.66666666669</v>
      </c>
      <c r="Z124" s="19" t="str">
        <f t="shared" si="1"/>
        <v>GP</v>
      </c>
    </row>
    <row r="125" spans="1:26" s="1" customFormat="1" ht="18.149999999999999" customHeight="1" x14ac:dyDescent="0.25">
      <c r="A125" s="3" t="s">
        <v>407</v>
      </c>
      <c r="B125" s="3" t="s">
        <v>412</v>
      </c>
      <c r="C125" s="3" t="s">
        <v>413</v>
      </c>
      <c r="D125" s="3" t="s">
        <v>21</v>
      </c>
      <c r="E125" s="4">
        <v>20506</v>
      </c>
      <c r="F125" s="3" t="s">
        <v>414</v>
      </c>
      <c r="G125" s="3" t="s">
        <v>415</v>
      </c>
      <c r="H125" s="5">
        <v>0</v>
      </c>
      <c r="I125" s="16">
        <v>44629</v>
      </c>
      <c r="J125" s="3" t="s">
        <v>59</v>
      </c>
      <c r="K125" s="3" t="s">
        <v>60</v>
      </c>
      <c r="L125" s="5">
        <v>60</v>
      </c>
      <c r="M125" s="10">
        <v>15587000</v>
      </c>
      <c r="N125" s="5">
        <v>339794</v>
      </c>
      <c r="O125" s="5">
        <v>9.5</v>
      </c>
      <c r="P125" s="3" t="s">
        <v>24</v>
      </c>
      <c r="Q125" s="4">
        <v>44660</v>
      </c>
      <c r="R125" s="4">
        <v>46455</v>
      </c>
      <c r="S125" s="4"/>
      <c r="T125" s="3" t="s">
        <v>28</v>
      </c>
      <c r="U125" s="3" t="s">
        <v>416</v>
      </c>
      <c r="V125" s="14" cm="1">
        <f t="array" ref="V125">CalculerCommissionAnnuelle(M125,Q125,L125,1.7%,2024)</f>
        <v>273811.63333333336</v>
      </c>
      <c r="W125" s="14" cm="1">
        <f t="array" ref="W125">CalculerCommissionAnnuelle(M125,Q125,L125,1.7%,2023)</f>
        <v>379803.2333333334</v>
      </c>
      <c r="X125" s="14" cm="1">
        <f t="array" ref="X125">CalculerCommissionAnnuelle(M125,Q125,L125,1.7%,2022)</f>
        <v>485794.83333333337</v>
      </c>
      <c r="Y125" s="14" cm="1">
        <f t="array" ref="Y125">CalculerCommissionAnnuelle(M125,Q125,L125,1.7%,2021)</f>
        <v>0</v>
      </c>
      <c r="Z125" s="19" t="str">
        <f t="shared" si="1"/>
        <v>GP</v>
      </c>
    </row>
    <row r="126" spans="1:26" s="1" customFormat="1" ht="18.149999999999999" customHeight="1" x14ac:dyDescent="0.25">
      <c r="A126" s="3" t="s">
        <v>257</v>
      </c>
      <c r="B126" s="3" t="s">
        <v>281</v>
      </c>
      <c r="C126" s="3" t="s">
        <v>282</v>
      </c>
      <c r="D126" s="3" t="s">
        <v>21</v>
      </c>
      <c r="E126" s="4"/>
      <c r="F126" s="3" t="s">
        <v>283</v>
      </c>
      <c r="G126" s="3" t="s">
        <v>284</v>
      </c>
      <c r="H126" s="5">
        <v>0</v>
      </c>
      <c r="I126" s="16">
        <v>44986</v>
      </c>
      <c r="J126" s="3" t="s">
        <v>59</v>
      </c>
      <c r="K126" s="3" t="s">
        <v>60</v>
      </c>
      <c r="L126" s="5">
        <v>36</v>
      </c>
      <c r="M126" s="10">
        <v>15000000</v>
      </c>
      <c r="N126" s="5">
        <v>492709</v>
      </c>
      <c r="O126" s="5">
        <v>9</v>
      </c>
      <c r="P126" s="3" t="s">
        <v>24</v>
      </c>
      <c r="Q126" s="4">
        <v>45017</v>
      </c>
      <c r="R126" s="4">
        <v>46082</v>
      </c>
      <c r="S126" s="4"/>
      <c r="T126" s="3" t="s">
        <v>28</v>
      </c>
      <c r="U126" s="3" t="s">
        <v>285</v>
      </c>
      <c r="V126" s="14" cm="1">
        <f t="array" ref="V126">CalculerCommissionAnnuelle(M126,Q126,L126,1.7%,2024)</f>
        <v>269166.66666666669</v>
      </c>
      <c r="W126" s="14" cm="1">
        <f t="array" ref="W126">CalculerCommissionAnnuelle(M126,Q126,L126,1.7%,2023)</f>
        <v>439166.66666666669</v>
      </c>
      <c r="X126" s="14" cm="1">
        <f t="array" ref="X126">CalculerCommissionAnnuelle(M126,Q126,L126,1.7%,2022)</f>
        <v>0</v>
      </c>
      <c r="Y126" s="14" cm="1">
        <f t="array" ref="Y126">CalculerCommissionAnnuelle(M126,Q126,L126,1.7%,2021)</f>
        <v>0</v>
      </c>
      <c r="Z126" s="19" t="str">
        <f t="shared" si="1"/>
        <v>GP</v>
      </c>
    </row>
    <row r="127" spans="1:26" s="1" customFormat="1" ht="18.149999999999999" customHeight="1" x14ac:dyDescent="0.25">
      <c r="A127" s="6" t="s">
        <v>626</v>
      </c>
      <c r="B127" s="6" t="s">
        <v>627</v>
      </c>
      <c r="C127" s="6" t="s">
        <v>628</v>
      </c>
      <c r="D127" s="6" t="s">
        <v>21</v>
      </c>
      <c r="E127" s="7"/>
      <c r="F127" s="6" t="s">
        <v>629</v>
      </c>
      <c r="G127" s="6" t="s">
        <v>630</v>
      </c>
      <c r="H127" s="8">
        <v>0</v>
      </c>
      <c r="I127" s="16">
        <v>44469</v>
      </c>
      <c r="J127" s="6" t="s">
        <v>50</v>
      </c>
      <c r="K127" s="6" t="s">
        <v>51</v>
      </c>
      <c r="L127" s="8">
        <v>60</v>
      </c>
      <c r="M127" s="11">
        <v>18000815</v>
      </c>
      <c r="N127" s="8">
        <v>425776</v>
      </c>
      <c r="O127" s="8">
        <v>12</v>
      </c>
      <c r="P127" s="6" t="s">
        <v>24</v>
      </c>
      <c r="Q127" s="7">
        <v>44499</v>
      </c>
      <c r="R127" s="7">
        <v>46295</v>
      </c>
      <c r="S127" s="7">
        <v>45199</v>
      </c>
      <c r="T127" s="6" t="s">
        <v>25</v>
      </c>
      <c r="U127" s="6" t="s">
        <v>631</v>
      </c>
      <c r="V127" s="14" cm="1">
        <f t="array" ref="V127">CalculerCommissionAnnuelle(M127,Q127,L127,1.7%,2024)</f>
        <v>255011.54583333337</v>
      </c>
      <c r="W127" s="14" cm="1">
        <f t="array" ref="W127">CalculerCommissionAnnuelle(M127,Q127,L127,1.7%,2023)</f>
        <v>377417.08783333335</v>
      </c>
      <c r="X127" s="14" cm="1">
        <f t="array" ref="X127">CalculerCommissionAnnuelle(M127,Q127,L127,1.7%,2022)</f>
        <v>499822.62983333337</v>
      </c>
      <c r="Y127" s="14" cm="1">
        <f t="array" ref="Y127">CalculerCommissionAnnuelle(M127,Q127,L127,1.7%,2021)</f>
        <v>295813.39316666668</v>
      </c>
      <c r="Z127" s="19" t="str">
        <f t="shared" si="1"/>
        <v>GP</v>
      </c>
    </row>
    <row r="128" spans="1:26" s="1" customFormat="1" ht="18.149999999999999" customHeight="1" x14ac:dyDescent="0.25">
      <c r="A128" s="3" t="s">
        <v>636</v>
      </c>
      <c r="B128" s="3" t="s">
        <v>647</v>
      </c>
      <c r="C128" s="3" t="s">
        <v>648</v>
      </c>
      <c r="D128" s="3" t="s">
        <v>21</v>
      </c>
      <c r="E128" s="4"/>
      <c r="F128" s="3" t="s">
        <v>649</v>
      </c>
      <c r="G128" s="3" t="s">
        <v>650</v>
      </c>
      <c r="H128" s="5">
        <v>0</v>
      </c>
      <c r="I128" s="16">
        <v>44249</v>
      </c>
      <c r="J128" s="3" t="s">
        <v>59</v>
      </c>
      <c r="K128" s="3" t="s">
        <v>60</v>
      </c>
      <c r="L128" s="5">
        <v>60</v>
      </c>
      <c r="M128" s="10">
        <v>25000000</v>
      </c>
      <c r="N128" s="5">
        <v>561016</v>
      </c>
      <c r="O128" s="5">
        <v>9.99</v>
      </c>
      <c r="P128" s="3" t="s">
        <v>24</v>
      </c>
      <c r="Q128" s="4">
        <v>44277</v>
      </c>
      <c r="R128" s="4">
        <v>46075</v>
      </c>
      <c r="S128" s="4"/>
      <c r="T128" s="3" t="s">
        <v>28</v>
      </c>
      <c r="U128" s="3" t="s">
        <v>641</v>
      </c>
      <c r="V128" s="14" cm="1">
        <f t="array" ref="V128">CalculerCommissionAnnuelle(M128,Q128,L128,1.7%,2024)</f>
        <v>255000.00000000003</v>
      </c>
      <c r="W128" s="14" cm="1">
        <f t="array" ref="W128">CalculerCommissionAnnuelle(M128,Q128,L128,1.7%,2023)</f>
        <v>425000.00000000006</v>
      </c>
      <c r="X128" s="14" cm="1">
        <f t="array" ref="X128">CalculerCommissionAnnuelle(M128,Q128,L128,1.7%,2022)</f>
        <v>595000</v>
      </c>
      <c r="Y128" s="14" cm="1">
        <f t="array" ref="Y128">CalculerCommissionAnnuelle(M128,Q128,L128,1.7%,2021)</f>
        <v>765000</v>
      </c>
      <c r="Z128" s="19" t="str">
        <f t="shared" si="1"/>
        <v>GP</v>
      </c>
    </row>
    <row r="129" spans="1:26" s="1" customFormat="1" ht="18.149999999999999" customHeight="1" x14ac:dyDescent="0.25">
      <c r="A129" s="6" t="s">
        <v>569</v>
      </c>
      <c r="B129" s="6" t="s">
        <v>570</v>
      </c>
      <c r="C129" s="6" t="s">
        <v>571</v>
      </c>
      <c r="D129" s="6" t="s">
        <v>21</v>
      </c>
      <c r="E129" s="7"/>
      <c r="F129" s="6" t="s">
        <v>572</v>
      </c>
      <c r="G129" s="6" t="s">
        <v>573</v>
      </c>
      <c r="H129" s="8">
        <v>0</v>
      </c>
      <c r="I129" s="16">
        <v>44245</v>
      </c>
      <c r="J129" s="6" t="s">
        <v>59</v>
      </c>
      <c r="K129" s="6" t="s">
        <v>60</v>
      </c>
      <c r="L129" s="8">
        <v>60</v>
      </c>
      <c r="M129" s="11">
        <v>24800000</v>
      </c>
      <c r="N129" s="8">
        <v>542049</v>
      </c>
      <c r="O129" s="8">
        <v>9</v>
      </c>
      <c r="P129" s="6" t="s">
        <v>24</v>
      </c>
      <c r="Q129" s="7">
        <v>44273</v>
      </c>
      <c r="R129" s="7">
        <v>46071</v>
      </c>
      <c r="S129" s="7"/>
      <c r="T129" s="6" t="s">
        <v>28</v>
      </c>
      <c r="U129" s="6" t="s">
        <v>300</v>
      </c>
      <c r="V129" s="14" cm="1">
        <f t="array" ref="V129">CalculerCommissionAnnuelle(M129,Q129,L129,1.7%,2024)</f>
        <v>252960.00000000003</v>
      </c>
      <c r="W129" s="14" cm="1">
        <f t="array" ref="W129">CalculerCommissionAnnuelle(M129,Q129,L129,1.7%,2023)</f>
        <v>421600.00000000006</v>
      </c>
      <c r="X129" s="14" cm="1">
        <f t="array" ref="X129">CalculerCommissionAnnuelle(M129,Q129,L129,1.7%,2022)</f>
        <v>590240</v>
      </c>
      <c r="Y129" s="14" cm="1">
        <f t="array" ref="Y129">CalculerCommissionAnnuelle(M129,Q129,L129,1.7%,2021)</f>
        <v>758880</v>
      </c>
      <c r="Z129" s="19" t="str">
        <f t="shared" si="1"/>
        <v>GP</v>
      </c>
    </row>
    <row r="130" spans="1:26" s="1" customFormat="1" ht="18.149999999999999" customHeight="1" x14ac:dyDescent="0.25">
      <c r="A130" s="3" t="s">
        <v>702</v>
      </c>
      <c r="B130" s="3" t="s">
        <v>734</v>
      </c>
      <c r="C130" s="3" t="s">
        <v>735</v>
      </c>
      <c r="D130" s="3" t="s">
        <v>21</v>
      </c>
      <c r="E130" s="4"/>
      <c r="F130" s="3" t="s">
        <v>736</v>
      </c>
      <c r="G130" s="3" t="s">
        <v>737</v>
      </c>
      <c r="H130" s="5">
        <v>0</v>
      </c>
      <c r="I130" s="16">
        <v>44529</v>
      </c>
      <c r="J130" s="3" t="s">
        <v>59</v>
      </c>
      <c r="K130" s="3" t="s">
        <v>60</v>
      </c>
      <c r="L130" s="5">
        <v>36</v>
      </c>
      <c r="M130" s="10">
        <v>88000000</v>
      </c>
      <c r="N130" s="5">
        <v>2905364</v>
      </c>
      <c r="O130" s="5">
        <v>9.9</v>
      </c>
      <c r="P130" s="3" t="s">
        <v>24</v>
      </c>
      <c r="Q130" s="4">
        <v>44559</v>
      </c>
      <c r="R130" s="4">
        <v>45625</v>
      </c>
      <c r="S130" s="4"/>
      <c r="T130" s="3" t="s">
        <v>28</v>
      </c>
      <c r="U130" s="3" t="s">
        <v>83</v>
      </c>
      <c r="V130" s="14" cm="1">
        <f t="array" ref="V130">CalculerCommissionAnnuelle(M130,Q130,L130,1.7%,2024)</f>
        <v>249333.33333333334</v>
      </c>
      <c r="W130" s="14" cm="1">
        <f t="array" ref="W130">CalculerCommissionAnnuelle(M130,Q130,L130,1.7%,2023)</f>
        <v>1246666.6666666667</v>
      </c>
      <c r="X130" s="14" cm="1">
        <f t="array" ref="X130">CalculerCommissionAnnuelle(M130,Q130,L130,1.7%,2022)</f>
        <v>2244000</v>
      </c>
      <c r="Y130" s="14" cm="1">
        <f t="array" ref="Y130">CalculerCommissionAnnuelle(M130,Q130,L130,1.7%,2021)</f>
        <v>1496000</v>
      </c>
      <c r="Z130" s="19" t="str">
        <f t="shared" ref="Z130:Z193" si="2">IF(M130&lt;=200000000,"GP","GI")</f>
        <v>GP</v>
      </c>
    </row>
    <row r="131" spans="1:26" s="1" customFormat="1" ht="18.149999999999999" customHeight="1" x14ac:dyDescent="0.25">
      <c r="A131" s="3" t="s">
        <v>528</v>
      </c>
      <c r="B131" s="3" t="s">
        <v>537</v>
      </c>
      <c r="C131" s="3" t="s">
        <v>538</v>
      </c>
      <c r="D131" s="3" t="s">
        <v>21</v>
      </c>
      <c r="E131" s="4"/>
      <c r="F131" s="3" t="s">
        <v>539</v>
      </c>
      <c r="G131" s="3" t="s">
        <v>540</v>
      </c>
      <c r="H131" s="5">
        <v>0</v>
      </c>
      <c r="I131" s="16">
        <v>44771</v>
      </c>
      <c r="J131" s="3" t="s">
        <v>59</v>
      </c>
      <c r="K131" s="3" t="s">
        <v>60</v>
      </c>
      <c r="L131" s="5">
        <v>30</v>
      </c>
      <c r="M131" s="10">
        <v>20000000</v>
      </c>
      <c r="N131" s="5">
        <v>767708</v>
      </c>
      <c r="O131" s="5">
        <v>9</v>
      </c>
      <c r="P131" s="3" t="s">
        <v>24</v>
      </c>
      <c r="Q131" s="4">
        <v>44985</v>
      </c>
      <c r="R131" s="4">
        <v>45866</v>
      </c>
      <c r="S131" s="4"/>
      <c r="T131" s="3" t="s">
        <v>28</v>
      </c>
      <c r="U131" s="3" t="s">
        <v>320</v>
      </c>
      <c r="V131" s="14" cm="1">
        <f t="array" ref="V131">CalculerCommissionAnnuelle(M131,Q131,L131,1.7%,2024)</f>
        <v>249333.33333333334</v>
      </c>
      <c r="W131" s="14" cm="1">
        <f t="array" ref="W131">CalculerCommissionAnnuelle(M131,Q131,L131,1.7%,2023)</f>
        <v>521333.33333333337</v>
      </c>
      <c r="X131" s="14" cm="1">
        <f t="array" ref="X131">CalculerCommissionAnnuelle(M131,Q131,L131,1.7%,2022)</f>
        <v>0</v>
      </c>
      <c r="Y131" s="14" cm="1">
        <f t="array" ref="Y131">CalculerCommissionAnnuelle(M131,Q131,L131,1.7%,2021)</f>
        <v>0</v>
      </c>
      <c r="Z131" s="19" t="str">
        <f t="shared" si="2"/>
        <v>GP</v>
      </c>
    </row>
    <row r="132" spans="1:26" s="1" customFormat="1" ht="18.149999999999999" customHeight="1" x14ac:dyDescent="0.25">
      <c r="A132" s="6" t="s">
        <v>569</v>
      </c>
      <c r="B132" s="6" t="s">
        <v>583</v>
      </c>
      <c r="C132" s="6" t="s">
        <v>584</v>
      </c>
      <c r="D132" s="6" t="s">
        <v>21</v>
      </c>
      <c r="E132" s="7"/>
      <c r="F132" s="6" t="s">
        <v>585</v>
      </c>
      <c r="G132" s="6" t="s">
        <v>586</v>
      </c>
      <c r="H132" s="8">
        <v>0</v>
      </c>
      <c r="I132" s="16">
        <v>44867</v>
      </c>
      <c r="J132" s="6" t="s">
        <v>59</v>
      </c>
      <c r="K132" s="6" t="s">
        <v>60</v>
      </c>
      <c r="L132" s="8">
        <v>36</v>
      </c>
      <c r="M132" s="11">
        <v>16500000</v>
      </c>
      <c r="N132" s="8">
        <v>551186</v>
      </c>
      <c r="O132" s="8">
        <v>10</v>
      </c>
      <c r="P132" s="6" t="s">
        <v>24</v>
      </c>
      <c r="Q132" s="7">
        <v>44897</v>
      </c>
      <c r="R132" s="7">
        <v>45963</v>
      </c>
      <c r="S132" s="7"/>
      <c r="T132" s="6" t="s">
        <v>28</v>
      </c>
      <c r="U132" s="6" t="s">
        <v>300</v>
      </c>
      <c r="V132" s="14" cm="1">
        <f t="array" ref="V132">CalculerCommissionAnnuelle(M132,Q132,L132,1.7%,2024)</f>
        <v>233750.00000000003</v>
      </c>
      <c r="W132" s="14" cm="1">
        <f t="array" ref="W132">CalculerCommissionAnnuelle(M132,Q132,L132,1.7%,2023)</f>
        <v>420750.00000000006</v>
      </c>
      <c r="X132" s="14" cm="1">
        <f t="array" ref="X132">CalculerCommissionAnnuelle(M132,Q132,L132,1.7%,2022)</f>
        <v>280500</v>
      </c>
      <c r="Y132" s="14" cm="1">
        <f t="array" ref="Y132">CalculerCommissionAnnuelle(M132,Q132,L132,1.7%,2021)</f>
        <v>0</v>
      </c>
      <c r="Z132" s="19" t="str">
        <f t="shared" si="2"/>
        <v>GP</v>
      </c>
    </row>
    <row r="133" spans="1:26" s="1" customFormat="1" ht="18.149999999999999" customHeight="1" x14ac:dyDescent="0.25">
      <c r="A133" s="6" t="s">
        <v>857</v>
      </c>
      <c r="B133" s="6" t="s">
        <v>863</v>
      </c>
      <c r="C133" s="6" t="s">
        <v>864</v>
      </c>
      <c r="D133" s="6" t="s">
        <v>21</v>
      </c>
      <c r="E133" s="7"/>
      <c r="F133" s="6" t="s">
        <v>865</v>
      </c>
      <c r="G133" s="6" t="s">
        <v>866</v>
      </c>
      <c r="H133" s="8">
        <v>0</v>
      </c>
      <c r="I133" s="16">
        <v>44925</v>
      </c>
      <c r="J133" s="6" t="s">
        <v>29</v>
      </c>
      <c r="K133" s="6" t="s">
        <v>30</v>
      </c>
      <c r="L133" s="8">
        <v>60</v>
      </c>
      <c r="M133" s="11">
        <v>10009800</v>
      </c>
      <c r="N133" s="8">
        <v>218782</v>
      </c>
      <c r="O133" s="8">
        <v>9</v>
      </c>
      <c r="P133" s="6" t="s">
        <v>24</v>
      </c>
      <c r="Q133" s="7">
        <v>44956</v>
      </c>
      <c r="R133" s="7">
        <v>46751</v>
      </c>
      <c r="S133" s="7"/>
      <c r="T133" s="6" t="s">
        <v>28</v>
      </c>
      <c r="U133" s="6" t="s">
        <v>416</v>
      </c>
      <c r="V133" s="14" cm="1">
        <f t="array" ref="V133">CalculerCommissionAnnuelle(M133,Q133,L133,1.7%,2024)</f>
        <v>226888.80000000002</v>
      </c>
      <c r="W133" s="14" cm="1">
        <f t="array" ref="W133">CalculerCommissionAnnuelle(M133,Q133,L133,1.7%,2023)</f>
        <v>294955.44</v>
      </c>
      <c r="X133" s="14" cm="1">
        <f t="array" ref="X133">CalculerCommissionAnnuelle(M133,Q133,L133,1.7%,2022)</f>
        <v>0</v>
      </c>
      <c r="Y133" s="14" cm="1">
        <f t="array" ref="Y133">CalculerCommissionAnnuelle(M133,Q133,L133,1.7%,2021)</f>
        <v>0</v>
      </c>
      <c r="Z133" s="19" t="str">
        <f t="shared" si="2"/>
        <v>GP</v>
      </c>
    </row>
    <row r="134" spans="1:26" s="1" customFormat="1" ht="18.149999999999999" customHeight="1" x14ac:dyDescent="0.25">
      <c r="A134" s="3" t="s">
        <v>857</v>
      </c>
      <c r="B134" s="3" t="s">
        <v>863</v>
      </c>
      <c r="C134" s="3" t="s">
        <v>864</v>
      </c>
      <c r="D134" s="3" t="s">
        <v>21</v>
      </c>
      <c r="E134" s="4"/>
      <c r="F134" s="3" t="s">
        <v>33</v>
      </c>
      <c r="G134" s="3" t="s">
        <v>867</v>
      </c>
      <c r="H134" s="5">
        <v>0</v>
      </c>
      <c r="I134" s="16">
        <v>44925</v>
      </c>
      <c r="J134" s="3" t="s">
        <v>59</v>
      </c>
      <c r="K134" s="3" t="s">
        <v>60</v>
      </c>
      <c r="L134" s="5">
        <v>60</v>
      </c>
      <c r="M134" s="10">
        <v>10009800</v>
      </c>
      <c r="N134" s="5">
        <v>218782</v>
      </c>
      <c r="O134" s="5">
        <v>9</v>
      </c>
      <c r="P134" s="3" t="s">
        <v>24</v>
      </c>
      <c r="Q134" s="4">
        <v>44956</v>
      </c>
      <c r="R134" s="4">
        <v>46751</v>
      </c>
      <c r="S134" s="4">
        <v>44925</v>
      </c>
      <c r="T134" s="3" t="s">
        <v>25</v>
      </c>
      <c r="U134" s="3" t="s">
        <v>416</v>
      </c>
      <c r="V134" s="14" cm="1">
        <f t="array" ref="V134">CalculerCommissionAnnuelle(M134,Q134,L134,1.7%,2024)</f>
        <v>226888.80000000002</v>
      </c>
      <c r="W134" s="14" cm="1">
        <f t="array" ref="W134">CalculerCommissionAnnuelle(M134,Q134,L134,1.7%,2023)</f>
        <v>294955.44</v>
      </c>
      <c r="X134" s="14" cm="1">
        <f t="array" ref="X134">CalculerCommissionAnnuelle(M134,Q134,L134,1.7%,2022)</f>
        <v>0</v>
      </c>
      <c r="Y134" s="14" cm="1">
        <f t="array" ref="Y134">CalculerCommissionAnnuelle(M134,Q134,L134,1.7%,2021)</f>
        <v>0</v>
      </c>
      <c r="Z134" s="19" t="str">
        <f t="shared" si="2"/>
        <v>GP</v>
      </c>
    </row>
    <row r="135" spans="1:26" s="1" customFormat="1" ht="18.149999999999999" customHeight="1" x14ac:dyDescent="0.25">
      <c r="A135" s="6" t="s">
        <v>407</v>
      </c>
      <c r="B135" s="6" t="s">
        <v>417</v>
      </c>
      <c r="C135" s="6" t="s">
        <v>418</v>
      </c>
      <c r="D135" s="6" t="s">
        <v>21</v>
      </c>
      <c r="E135" s="7"/>
      <c r="F135" s="6" t="s">
        <v>419</v>
      </c>
      <c r="G135" s="6" t="s">
        <v>420</v>
      </c>
      <c r="H135" s="8">
        <v>0</v>
      </c>
      <c r="I135" s="16">
        <v>44799</v>
      </c>
      <c r="J135" s="6" t="s">
        <v>59</v>
      </c>
      <c r="K135" s="6" t="s">
        <v>60</v>
      </c>
      <c r="L135" s="8">
        <v>36</v>
      </c>
      <c r="M135" s="11">
        <v>20000000</v>
      </c>
      <c r="N135" s="8">
        <v>690753</v>
      </c>
      <c r="O135" s="8">
        <v>12</v>
      </c>
      <c r="P135" s="6" t="s">
        <v>24</v>
      </c>
      <c r="Q135" s="7">
        <v>44830</v>
      </c>
      <c r="R135" s="7">
        <v>45895</v>
      </c>
      <c r="S135" s="7"/>
      <c r="T135" s="6" t="s">
        <v>28</v>
      </c>
      <c r="U135" s="6" t="s">
        <v>310</v>
      </c>
      <c r="V135" s="14" cm="1">
        <f t="array" ref="V135">CalculerCommissionAnnuelle(M135,Q135,L135,1.7%,2024)</f>
        <v>226666.66666666669</v>
      </c>
      <c r="W135" s="14" cm="1">
        <f t="array" ref="W135">CalculerCommissionAnnuelle(M135,Q135,L135,1.7%,2023)</f>
        <v>453333.33333333337</v>
      </c>
      <c r="X135" s="14" cm="1">
        <f t="array" ref="X135">CalculerCommissionAnnuelle(M135,Q135,L135,1.7%,2022)</f>
        <v>311666.66666666669</v>
      </c>
      <c r="Y135" s="14" cm="1">
        <f t="array" ref="Y135">CalculerCommissionAnnuelle(M135,Q135,L135,1.7%,2021)</f>
        <v>0</v>
      </c>
      <c r="Z135" s="19" t="str">
        <f t="shared" si="2"/>
        <v>GP</v>
      </c>
    </row>
    <row r="136" spans="1:26" s="1" customFormat="1" ht="18.149999999999999" customHeight="1" x14ac:dyDescent="0.25">
      <c r="A136" s="6" t="s">
        <v>839</v>
      </c>
      <c r="B136" s="6" t="s">
        <v>848</v>
      </c>
      <c r="C136" s="6" t="s">
        <v>849</v>
      </c>
      <c r="D136" s="6" t="s">
        <v>21</v>
      </c>
      <c r="E136" s="7"/>
      <c r="F136" s="6" t="s">
        <v>850</v>
      </c>
      <c r="G136" s="6" t="s">
        <v>851</v>
      </c>
      <c r="H136" s="8">
        <v>0</v>
      </c>
      <c r="I136" s="16">
        <v>44867</v>
      </c>
      <c r="J136" s="6" t="s">
        <v>59</v>
      </c>
      <c r="K136" s="6" t="s">
        <v>60</v>
      </c>
      <c r="L136" s="8">
        <v>60</v>
      </c>
      <c r="M136" s="11">
        <v>10000000</v>
      </c>
      <c r="N136" s="8">
        <v>224407</v>
      </c>
      <c r="O136" s="8">
        <v>9.99</v>
      </c>
      <c r="P136" s="6" t="s">
        <v>24</v>
      </c>
      <c r="Q136" s="7">
        <v>44897</v>
      </c>
      <c r="R136" s="7">
        <v>46693</v>
      </c>
      <c r="S136" s="7"/>
      <c r="T136" s="6" t="s">
        <v>28</v>
      </c>
      <c r="U136" s="6" t="s">
        <v>285</v>
      </c>
      <c r="V136" s="14" cm="1">
        <f t="array" ref="V136">CalculerCommissionAnnuelle(M136,Q136,L136,1.7%,2024)</f>
        <v>221000.00000000003</v>
      </c>
      <c r="W136" s="14" cm="1">
        <f t="array" ref="W136">CalculerCommissionAnnuelle(M136,Q136,L136,1.7%,2023)</f>
        <v>289000</v>
      </c>
      <c r="X136" s="14" cm="1">
        <f t="array" ref="X136">CalculerCommissionAnnuelle(M136,Q136,L136,1.7%,2022)</f>
        <v>170000</v>
      </c>
      <c r="Y136" s="14" cm="1">
        <f t="array" ref="Y136">CalculerCommissionAnnuelle(M136,Q136,L136,1.7%,2021)</f>
        <v>0</v>
      </c>
      <c r="Z136" s="19" t="str">
        <f t="shared" si="2"/>
        <v>GP</v>
      </c>
    </row>
    <row r="137" spans="1:26" s="1" customFormat="1" ht="18.149999999999999" customHeight="1" x14ac:dyDescent="0.25">
      <c r="A137" s="6" t="s">
        <v>900</v>
      </c>
      <c r="B137" s="6" t="s">
        <v>901</v>
      </c>
      <c r="C137" s="6" t="s">
        <v>902</v>
      </c>
      <c r="D137" s="6" t="s">
        <v>21</v>
      </c>
      <c r="E137" s="7"/>
      <c r="F137" s="6" t="s">
        <v>903</v>
      </c>
      <c r="G137" s="6" t="s">
        <v>904</v>
      </c>
      <c r="H137" s="8">
        <v>0</v>
      </c>
      <c r="I137" s="16">
        <v>44890</v>
      </c>
      <c r="J137" s="6" t="s">
        <v>59</v>
      </c>
      <c r="K137" s="6" t="s">
        <v>60</v>
      </c>
      <c r="L137" s="8">
        <v>36</v>
      </c>
      <c r="M137" s="11">
        <v>15000000</v>
      </c>
      <c r="N137" s="8">
        <v>492709</v>
      </c>
      <c r="O137" s="8">
        <v>9</v>
      </c>
      <c r="P137" s="6" t="s">
        <v>24</v>
      </c>
      <c r="Q137" s="7">
        <v>44920</v>
      </c>
      <c r="R137" s="7">
        <v>45986</v>
      </c>
      <c r="S137" s="7"/>
      <c r="T137" s="6" t="s">
        <v>28</v>
      </c>
      <c r="U137" s="6" t="s">
        <v>755</v>
      </c>
      <c r="V137" s="14" cm="1">
        <f t="array" ref="V137">CalculerCommissionAnnuelle(M137,Q137,L137,1.7%,2024)</f>
        <v>212500.00000000003</v>
      </c>
      <c r="W137" s="14" cm="1">
        <f t="array" ref="W137">CalculerCommissionAnnuelle(M137,Q137,L137,1.7%,2023)</f>
        <v>382500</v>
      </c>
      <c r="X137" s="14" cm="1">
        <f t="array" ref="X137">CalculerCommissionAnnuelle(M137,Q137,L137,1.7%,2022)</f>
        <v>255000.00000000003</v>
      </c>
      <c r="Y137" s="14" cm="1">
        <f t="array" ref="Y137">CalculerCommissionAnnuelle(M137,Q137,L137,1.7%,2021)</f>
        <v>0</v>
      </c>
      <c r="Z137" s="19" t="str">
        <f t="shared" si="2"/>
        <v>GP</v>
      </c>
    </row>
    <row r="138" spans="1:26" s="1" customFormat="1" ht="18.149999999999999" customHeight="1" x14ac:dyDescent="0.25">
      <c r="A138" s="3" t="s">
        <v>569</v>
      </c>
      <c r="B138" s="3" t="s">
        <v>578</v>
      </c>
      <c r="C138" s="3" t="s">
        <v>579</v>
      </c>
      <c r="D138" s="3" t="s">
        <v>21</v>
      </c>
      <c r="E138" s="4"/>
      <c r="F138" s="3" t="s">
        <v>580</v>
      </c>
      <c r="G138" s="3" t="s">
        <v>582</v>
      </c>
      <c r="H138" s="5">
        <v>0</v>
      </c>
      <c r="I138" s="16">
        <v>45100</v>
      </c>
      <c r="J138" s="3" t="s">
        <v>22</v>
      </c>
      <c r="K138" s="3" t="s">
        <v>23</v>
      </c>
      <c r="L138" s="5">
        <v>24</v>
      </c>
      <c r="M138" s="10">
        <v>15000000</v>
      </c>
      <c r="N138" s="5">
        <v>700713</v>
      </c>
      <c r="O138" s="5">
        <v>9</v>
      </c>
      <c r="P138" s="3" t="s">
        <v>24</v>
      </c>
      <c r="Q138" s="4">
        <v>45130</v>
      </c>
      <c r="R138" s="4">
        <v>45831</v>
      </c>
      <c r="S138" s="4"/>
      <c r="T138" s="3" t="s">
        <v>28</v>
      </c>
      <c r="U138" s="3" t="s">
        <v>300</v>
      </c>
      <c r="V138" s="14" cm="1">
        <f t="array" ref="V138">CalculerCommissionAnnuelle(M138,Q138,L138,1.7%,2024)</f>
        <v>212500.00000000003</v>
      </c>
      <c r="W138" s="14" cm="1">
        <f t="array" ref="W138">CalculerCommissionAnnuelle(M138,Q138,L138,1.7%,2023)</f>
        <v>201875</v>
      </c>
      <c r="X138" s="14" cm="1">
        <f t="array" ref="X138">CalculerCommissionAnnuelle(M138,Q138,L138,1.7%,2022)</f>
        <v>0</v>
      </c>
      <c r="Y138" s="14" cm="1">
        <f t="array" ref="Y138">CalculerCommissionAnnuelle(M138,Q138,L138,1.7%,2021)</f>
        <v>0</v>
      </c>
      <c r="Z138" s="19" t="str">
        <f t="shared" si="2"/>
        <v>GP</v>
      </c>
    </row>
    <row r="139" spans="1:26" s="1" customFormat="1" ht="18.149999999999999" customHeight="1" x14ac:dyDescent="0.25">
      <c r="A139" s="6" t="s">
        <v>407</v>
      </c>
      <c r="B139" s="6" t="s">
        <v>486</v>
      </c>
      <c r="C139" s="6" t="s">
        <v>487</v>
      </c>
      <c r="D139" s="6" t="s">
        <v>21</v>
      </c>
      <c r="E139" s="7"/>
      <c r="F139" s="6" t="s">
        <v>488</v>
      </c>
      <c r="G139" s="6" t="s">
        <v>489</v>
      </c>
      <c r="H139" s="8">
        <v>0</v>
      </c>
      <c r="I139" s="16">
        <v>44942</v>
      </c>
      <c r="J139" s="6" t="s">
        <v>22</v>
      </c>
      <c r="K139" s="6" t="s">
        <v>23</v>
      </c>
      <c r="L139" s="8">
        <v>24</v>
      </c>
      <c r="M139" s="11">
        <v>30000000</v>
      </c>
      <c r="N139" s="8">
        <v>1401427</v>
      </c>
      <c r="O139" s="8">
        <v>9</v>
      </c>
      <c r="P139" s="6" t="s">
        <v>24</v>
      </c>
      <c r="Q139" s="7">
        <v>44973</v>
      </c>
      <c r="R139" s="7">
        <v>45673</v>
      </c>
      <c r="S139" s="7"/>
      <c r="T139" s="6" t="s">
        <v>28</v>
      </c>
      <c r="U139" s="6" t="s">
        <v>310</v>
      </c>
      <c r="V139" s="14" cm="1">
        <f t="array" ref="V139">CalculerCommissionAnnuelle(M139,Q139,L139,1.7%,2024)</f>
        <v>212500.00000000003</v>
      </c>
      <c r="W139" s="14" cm="1">
        <f t="array" ref="W139">CalculerCommissionAnnuelle(M139,Q139,L139,1.7%,2023)</f>
        <v>722500</v>
      </c>
      <c r="X139" s="14" cm="1">
        <f t="array" ref="X139">CalculerCommissionAnnuelle(M139,Q139,L139,1.7%,2022)</f>
        <v>0</v>
      </c>
      <c r="Y139" s="14" cm="1">
        <f t="array" ref="Y139">CalculerCommissionAnnuelle(M139,Q139,L139,1.7%,2021)</f>
        <v>0</v>
      </c>
      <c r="Z139" s="19" t="str">
        <f t="shared" si="2"/>
        <v>GP</v>
      </c>
    </row>
    <row r="140" spans="1:26" s="1" customFormat="1" ht="18.149999999999999" customHeight="1" x14ac:dyDescent="0.25">
      <c r="A140" s="3" t="s">
        <v>796</v>
      </c>
      <c r="B140" s="3" t="s">
        <v>825</v>
      </c>
      <c r="C140" s="3" t="s">
        <v>826</v>
      </c>
      <c r="D140" s="3" t="s">
        <v>21</v>
      </c>
      <c r="E140" s="4"/>
      <c r="F140" s="3" t="s">
        <v>827</v>
      </c>
      <c r="G140" s="3" t="s">
        <v>828</v>
      </c>
      <c r="H140" s="5">
        <v>0</v>
      </c>
      <c r="I140" s="16">
        <v>44336</v>
      </c>
      <c r="J140" s="3" t="s">
        <v>59</v>
      </c>
      <c r="K140" s="3" t="s">
        <v>60</v>
      </c>
      <c r="L140" s="5">
        <v>60</v>
      </c>
      <c r="M140" s="10">
        <v>17000000</v>
      </c>
      <c r="N140" s="5">
        <v>381491</v>
      </c>
      <c r="O140" s="5">
        <v>9.99</v>
      </c>
      <c r="P140" s="3" t="s">
        <v>24</v>
      </c>
      <c r="Q140" s="4">
        <v>44367</v>
      </c>
      <c r="R140" s="4">
        <v>46162</v>
      </c>
      <c r="S140" s="4"/>
      <c r="T140" s="3" t="s">
        <v>28</v>
      </c>
      <c r="U140" s="3" t="s">
        <v>829</v>
      </c>
      <c r="V140" s="14" cm="1">
        <f t="array" ref="V140">CalculerCommissionAnnuelle(M140,Q140,L140,1.7%,2024)</f>
        <v>202300</v>
      </c>
      <c r="W140" s="14" cm="1">
        <f t="array" ref="W140">CalculerCommissionAnnuelle(M140,Q140,L140,1.7%,2023)</f>
        <v>317900</v>
      </c>
      <c r="X140" s="14" cm="1">
        <f t="array" ref="X140">CalculerCommissionAnnuelle(M140,Q140,L140,1.7%,2022)</f>
        <v>433500.00000000006</v>
      </c>
      <c r="Y140" s="14" cm="1">
        <f t="array" ref="Y140">CalculerCommissionAnnuelle(M140,Q140,L140,1.7%,2021)</f>
        <v>549100</v>
      </c>
      <c r="Z140" s="19" t="str">
        <f t="shared" si="2"/>
        <v>GP</v>
      </c>
    </row>
    <row r="141" spans="1:26" s="1" customFormat="1" ht="18.149999999999999" customHeight="1" x14ac:dyDescent="0.25">
      <c r="A141" s="6" t="s">
        <v>593</v>
      </c>
      <c r="B141" s="6" t="s">
        <v>611</v>
      </c>
      <c r="C141" s="6" t="s">
        <v>612</v>
      </c>
      <c r="D141" s="6" t="s">
        <v>21</v>
      </c>
      <c r="E141" s="7"/>
      <c r="F141" s="6" t="s">
        <v>613</v>
      </c>
      <c r="G141" s="6" t="s">
        <v>614</v>
      </c>
      <c r="H141" s="8">
        <v>0</v>
      </c>
      <c r="I141" s="16">
        <v>44383</v>
      </c>
      <c r="J141" s="6" t="s">
        <v>59</v>
      </c>
      <c r="K141" s="6" t="s">
        <v>60</v>
      </c>
      <c r="L141" s="8">
        <v>48</v>
      </c>
      <c r="M141" s="11">
        <v>25000000</v>
      </c>
      <c r="N141" s="8">
        <v>663110</v>
      </c>
      <c r="O141" s="8">
        <v>9.99</v>
      </c>
      <c r="P141" s="6" t="s">
        <v>24</v>
      </c>
      <c r="Q141" s="7">
        <v>44414</v>
      </c>
      <c r="R141" s="7">
        <v>45844</v>
      </c>
      <c r="S141" s="7"/>
      <c r="T141" s="6" t="s">
        <v>28</v>
      </c>
      <c r="U141" s="6" t="s">
        <v>598</v>
      </c>
      <c r="V141" s="14" cm="1">
        <f t="array" ref="V141">CalculerCommissionAnnuelle(M141,Q141,L141,1.7%,2024)</f>
        <v>194791.66666666669</v>
      </c>
      <c r="W141" s="14" cm="1">
        <f t="array" ref="W141">CalculerCommissionAnnuelle(M141,Q141,L141,1.7%,2023)</f>
        <v>407291.66666666669</v>
      </c>
      <c r="X141" s="14" cm="1">
        <f t="array" ref="X141">CalculerCommissionAnnuelle(M141,Q141,L141,1.7%,2022)</f>
        <v>619791.66666666674</v>
      </c>
      <c r="Y141" s="14" cm="1">
        <f t="array" ref="Y141">CalculerCommissionAnnuelle(M141,Q141,L141,1.7%,2021)</f>
        <v>389583.33333333337</v>
      </c>
      <c r="Z141" s="19" t="str">
        <f t="shared" si="2"/>
        <v>GP</v>
      </c>
    </row>
    <row r="142" spans="1:26" s="1" customFormat="1" ht="18.149999999999999" customHeight="1" x14ac:dyDescent="0.25">
      <c r="A142" s="3" t="s">
        <v>702</v>
      </c>
      <c r="B142" s="3" t="s">
        <v>726</v>
      </c>
      <c r="C142" s="3" t="s">
        <v>727</v>
      </c>
      <c r="D142" s="3" t="s">
        <v>21</v>
      </c>
      <c r="E142" s="4"/>
      <c r="F142" s="3" t="s">
        <v>728</v>
      </c>
      <c r="G142" s="3" t="s">
        <v>729</v>
      </c>
      <c r="H142" s="5">
        <v>0</v>
      </c>
      <c r="I142" s="16">
        <v>44950</v>
      </c>
      <c r="J142" s="3" t="s">
        <v>22</v>
      </c>
      <c r="K142" s="3" t="s">
        <v>23</v>
      </c>
      <c r="L142" s="5">
        <v>24</v>
      </c>
      <c r="M142" s="10">
        <v>27000000</v>
      </c>
      <c r="N142" s="5">
        <v>1305794</v>
      </c>
      <c r="O142" s="5">
        <v>12</v>
      </c>
      <c r="P142" s="3" t="s">
        <v>24</v>
      </c>
      <c r="Q142" s="4">
        <v>44981</v>
      </c>
      <c r="R142" s="4">
        <v>45681</v>
      </c>
      <c r="S142" s="4"/>
      <c r="T142" s="3" t="s">
        <v>28</v>
      </c>
      <c r="U142" s="3" t="s">
        <v>707</v>
      </c>
      <c r="V142" s="14" cm="1">
        <f t="array" ref="V142">CalculerCommissionAnnuelle(M142,Q142,L142,1.7%,2024)</f>
        <v>191250</v>
      </c>
      <c r="W142" s="14" cm="1">
        <f t="array" ref="W142">CalculerCommissionAnnuelle(M142,Q142,L142,1.7%,2023)</f>
        <v>650250</v>
      </c>
      <c r="X142" s="14" cm="1">
        <f t="array" ref="X142">CalculerCommissionAnnuelle(M142,Q142,L142,1.7%,2022)</f>
        <v>0</v>
      </c>
      <c r="Y142" s="14" cm="1">
        <f t="array" ref="Y142">CalculerCommissionAnnuelle(M142,Q142,L142,1.7%,2021)</f>
        <v>0</v>
      </c>
      <c r="Z142" s="19" t="str">
        <f t="shared" si="2"/>
        <v>GP</v>
      </c>
    </row>
    <row r="143" spans="1:26" s="1" customFormat="1" ht="18.149999999999999" customHeight="1" x14ac:dyDescent="0.25">
      <c r="A143" s="6" t="s">
        <v>924</v>
      </c>
      <c r="B143" s="6" t="s">
        <v>933</v>
      </c>
      <c r="C143" s="6" t="s">
        <v>934</v>
      </c>
      <c r="D143" s="6" t="s">
        <v>21</v>
      </c>
      <c r="E143" s="7"/>
      <c r="F143" s="6" t="s">
        <v>935</v>
      </c>
      <c r="G143" s="6" t="s">
        <v>937</v>
      </c>
      <c r="H143" s="8">
        <v>0</v>
      </c>
      <c r="I143" s="16">
        <v>45036</v>
      </c>
      <c r="J143" s="6" t="s">
        <v>22</v>
      </c>
      <c r="K143" s="6" t="s">
        <v>23</v>
      </c>
      <c r="L143" s="8">
        <v>18</v>
      </c>
      <c r="M143" s="11">
        <v>40000000</v>
      </c>
      <c r="N143" s="8">
        <v>2468536</v>
      </c>
      <c r="O143" s="8">
        <v>11</v>
      </c>
      <c r="P143" s="6" t="s">
        <v>24</v>
      </c>
      <c r="Q143" s="7">
        <v>45066</v>
      </c>
      <c r="R143" s="7">
        <v>45585</v>
      </c>
      <c r="S143" s="7"/>
      <c r="T143" s="6" t="s">
        <v>28</v>
      </c>
      <c r="U143" s="6" t="s">
        <v>416</v>
      </c>
      <c r="V143" s="14" cm="1">
        <f t="array" ref="V143">CalculerCommissionAnnuelle(M143,Q143,L143,1.7%,2024)</f>
        <v>188888.88888888891</v>
      </c>
      <c r="W143" s="14" cm="1">
        <f t="array" ref="W143">CalculerCommissionAnnuelle(M143,Q143,L143,1.7%,2023)</f>
        <v>1057777.7777777778</v>
      </c>
      <c r="X143" s="14" cm="1">
        <f t="array" ref="X143">CalculerCommissionAnnuelle(M143,Q143,L143,1.7%,2022)</f>
        <v>0</v>
      </c>
      <c r="Y143" s="14" cm="1">
        <f t="array" ref="Y143">CalculerCommissionAnnuelle(M143,Q143,L143,1.7%,2021)</f>
        <v>0</v>
      </c>
      <c r="Z143" s="19" t="str">
        <f t="shared" si="2"/>
        <v>GP</v>
      </c>
    </row>
    <row r="144" spans="1:26" s="1" customFormat="1" ht="18.149999999999999" customHeight="1" x14ac:dyDescent="0.25">
      <c r="A144" s="6" t="s">
        <v>796</v>
      </c>
      <c r="B144" s="6" t="s">
        <v>805</v>
      </c>
      <c r="C144" s="6" t="s">
        <v>806</v>
      </c>
      <c r="D144" s="6" t="s">
        <v>21</v>
      </c>
      <c r="E144" s="7"/>
      <c r="F144" s="6" t="s">
        <v>807</v>
      </c>
      <c r="G144" s="6" t="s">
        <v>808</v>
      </c>
      <c r="H144" s="8">
        <v>0</v>
      </c>
      <c r="I144" s="16">
        <v>44375</v>
      </c>
      <c r="J144" s="6" t="s">
        <v>59</v>
      </c>
      <c r="K144" s="6" t="s">
        <v>60</v>
      </c>
      <c r="L144" s="8">
        <v>60</v>
      </c>
      <c r="M144" s="11">
        <v>15000000</v>
      </c>
      <c r="N144" s="8">
        <v>336610</v>
      </c>
      <c r="O144" s="8">
        <v>9.99</v>
      </c>
      <c r="P144" s="6" t="s">
        <v>24</v>
      </c>
      <c r="Q144" s="7">
        <v>44405</v>
      </c>
      <c r="R144" s="7">
        <v>46201</v>
      </c>
      <c r="S144" s="7"/>
      <c r="T144" s="6" t="s">
        <v>28</v>
      </c>
      <c r="U144" s="6" t="s">
        <v>641</v>
      </c>
      <c r="V144" s="14" cm="1">
        <f t="array" ref="V144">CalculerCommissionAnnuelle(M144,Q144,L144,1.7%,2024)</f>
        <v>187000</v>
      </c>
      <c r="W144" s="14" cm="1">
        <f t="array" ref="W144">CalculerCommissionAnnuelle(M144,Q144,L144,1.7%,2023)</f>
        <v>289000</v>
      </c>
      <c r="X144" s="14" cm="1">
        <f t="array" ref="X144">CalculerCommissionAnnuelle(M144,Q144,L144,1.7%,2022)</f>
        <v>391000</v>
      </c>
      <c r="Y144" s="14" cm="1">
        <f t="array" ref="Y144">CalculerCommissionAnnuelle(M144,Q144,L144,1.7%,2021)</f>
        <v>233750.00000000003</v>
      </c>
      <c r="Z144" s="19" t="str">
        <f t="shared" si="2"/>
        <v>GP</v>
      </c>
    </row>
    <row r="145" spans="1:26" s="1" customFormat="1" ht="18.149999999999999" customHeight="1" x14ac:dyDescent="0.25">
      <c r="A145" s="6" t="s">
        <v>407</v>
      </c>
      <c r="B145" s="6" t="s">
        <v>455</v>
      </c>
      <c r="C145" s="6" t="s">
        <v>456</v>
      </c>
      <c r="D145" s="6" t="s">
        <v>21</v>
      </c>
      <c r="E145" s="7"/>
      <c r="F145" s="6" t="s">
        <v>457</v>
      </c>
      <c r="G145" s="6" t="s">
        <v>459</v>
      </c>
      <c r="H145" s="8">
        <v>0</v>
      </c>
      <c r="I145" s="16">
        <v>44834</v>
      </c>
      <c r="J145" s="6" t="s">
        <v>59</v>
      </c>
      <c r="K145" s="6" t="s">
        <v>60</v>
      </c>
      <c r="L145" s="8">
        <v>36</v>
      </c>
      <c r="M145" s="11">
        <v>15000000</v>
      </c>
      <c r="N145" s="8">
        <v>492709</v>
      </c>
      <c r="O145" s="8">
        <v>9</v>
      </c>
      <c r="P145" s="6" t="s">
        <v>24</v>
      </c>
      <c r="Q145" s="7">
        <v>44864</v>
      </c>
      <c r="R145" s="7">
        <v>45930</v>
      </c>
      <c r="S145" s="7"/>
      <c r="T145" s="6" t="s">
        <v>28</v>
      </c>
      <c r="U145" s="6" t="s">
        <v>416</v>
      </c>
      <c r="V145" s="14" cm="1">
        <f t="array" ref="V145">CalculerCommissionAnnuelle(M145,Q145,L145,1.7%,2024)</f>
        <v>184166.66666666669</v>
      </c>
      <c r="W145" s="14" cm="1">
        <f t="array" ref="W145">CalculerCommissionAnnuelle(M145,Q145,L145,1.7%,2023)</f>
        <v>354166.66666666669</v>
      </c>
      <c r="X145" s="14" cm="1">
        <f t="array" ref="X145">CalculerCommissionAnnuelle(M145,Q145,L145,1.7%,2022)</f>
        <v>240833.33333333334</v>
      </c>
      <c r="Y145" s="14" cm="1">
        <f t="array" ref="Y145">CalculerCommissionAnnuelle(M145,Q145,L145,1.7%,2021)</f>
        <v>0</v>
      </c>
      <c r="Z145" s="19" t="str">
        <f t="shared" si="2"/>
        <v>GP</v>
      </c>
    </row>
    <row r="146" spans="1:26" s="1" customFormat="1" ht="18.149999999999999" customHeight="1" x14ac:dyDescent="0.25">
      <c r="A146" s="3" t="s">
        <v>528</v>
      </c>
      <c r="B146" s="3" t="s">
        <v>545</v>
      </c>
      <c r="C146" s="3" t="s">
        <v>546</v>
      </c>
      <c r="D146" s="3" t="s">
        <v>21</v>
      </c>
      <c r="E146" s="4"/>
      <c r="F146" s="3" t="s">
        <v>547</v>
      </c>
      <c r="G146" s="3" t="s">
        <v>548</v>
      </c>
      <c r="H146" s="5">
        <v>0</v>
      </c>
      <c r="I146" s="16">
        <v>45251</v>
      </c>
      <c r="J146" s="3" t="s">
        <v>22</v>
      </c>
      <c r="K146" s="3" t="s">
        <v>23</v>
      </c>
      <c r="L146" s="5">
        <v>12</v>
      </c>
      <c r="M146" s="10">
        <v>20000000</v>
      </c>
      <c r="N146" s="5">
        <v>1780711</v>
      </c>
      <c r="O146" s="5">
        <v>10</v>
      </c>
      <c r="P146" s="3" t="s">
        <v>24</v>
      </c>
      <c r="Q146" s="4">
        <v>45281</v>
      </c>
      <c r="R146" s="4">
        <v>45617</v>
      </c>
      <c r="S146" s="4"/>
      <c r="T146" s="3" t="s">
        <v>28</v>
      </c>
      <c r="U146" s="3" t="s">
        <v>406</v>
      </c>
      <c r="V146" s="14" cm="1">
        <f t="array" ref="V146">CalculerCommissionAnnuelle(M146,Q146,L146,1.7%,2024)</f>
        <v>170000</v>
      </c>
      <c r="W146" s="14" cm="1">
        <f t="array" ref="W146">CalculerCommissionAnnuelle(M146,Q146,L146,1.7%,2023)</f>
        <v>340000</v>
      </c>
      <c r="X146" s="14" cm="1">
        <f t="array" ref="X146">CalculerCommissionAnnuelle(M146,Q146,L146,1.7%,2022)</f>
        <v>0</v>
      </c>
      <c r="Y146" s="14" cm="1">
        <f t="array" ref="Y146">CalculerCommissionAnnuelle(M146,Q146,L146,1.7%,2021)</f>
        <v>0</v>
      </c>
      <c r="Z146" s="19" t="str">
        <f t="shared" si="2"/>
        <v>GP</v>
      </c>
    </row>
    <row r="147" spans="1:26" s="1" customFormat="1" ht="18.149999999999999" customHeight="1" x14ac:dyDescent="0.25">
      <c r="A147" s="6" t="s">
        <v>26</v>
      </c>
      <c r="B147" s="6" t="s">
        <v>237</v>
      </c>
      <c r="C147" s="6" t="s">
        <v>238</v>
      </c>
      <c r="D147" s="6" t="s">
        <v>21</v>
      </c>
      <c r="E147" s="7"/>
      <c r="F147" s="6" t="s">
        <v>239</v>
      </c>
      <c r="G147" s="6" t="s">
        <v>242</v>
      </c>
      <c r="H147" s="8">
        <v>0</v>
      </c>
      <c r="I147" s="16">
        <v>45191</v>
      </c>
      <c r="J147" s="6" t="s">
        <v>22</v>
      </c>
      <c r="K147" s="6" t="s">
        <v>23</v>
      </c>
      <c r="L147" s="8">
        <v>12</v>
      </c>
      <c r="M147" s="11">
        <v>30000000</v>
      </c>
      <c r="N147" s="8">
        <v>2694178</v>
      </c>
      <c r="O147" s="8">
        <v>12</v>
      </c>
      <c r="P147" s="6" t="s">
        <v>24</v>
      </c>
      <c r="Q147" s="7">
        <v>45221</v>
      </c>
      <c r="R147" s="7">
        <v>45557</v>
      </c>
      <c r="S147" s="7"/>
      <c r="T147" s="6" t="s">
        <v>28</v>
      </c>
      <c r="U147" s="6" t="s">
        <v>151</v>
      </c>
      <c r="V147" s="14" cm="1">
        <f t="array" ref="V147">CalculerCommissionAnnuelle(M147,Q147,L147,1.7%,2024)</f>
        <v>170000</v>
      </c>
      <c r="W147" s="14" cm="1">
        <f t="array" ref="W147">CalculerCommissionAnnuelle(M147,Q147,L147,1.7%,2023)</f>
        <v>425000.00000000006</v>
      </c>
      <c r="X147" s="14" cm="1">
        <f t="array" ref="X147">CalculerCommissionAnnuelle(M147,Q147,L147,1.7%,2022)</f>
        <v>0</v>
      </c>
      <c r="Y147" s="14" cm="1">
        <f t="array" ref="Y147">CalculerCommissionAnnuelle(M147,Q147,L147,1.7%,2021)</f>
        <v>0</v>
      </c>
      <c r="Z147" s="19" t="str">
        <f t="shared" si="2"/>
        <v>GP</v>
      </c>
    </row>
    <row r="148" spans="1:26" s="1" customFormat="1" ht="18.149999999999999" customHeight="1" x14ac:dyDescent="0.25">
      <c r="A148" s="6" t="s">
        <v>909</v>
      </c>
      <c r="B148" s="6" t="s">
        <v>919</v>
      </c>
      <c r="C148" s="6" t="s">
        <v>920</v>
      </c>
      <c r="D148" s="6" t="s">
        <v>21</v>
      </c>
      <c r="E148" s="7"/>
      <c r="F148" s="6" t="s">
        <v>921</v>
      </c>
      <c r="G148" s="6" t="s">
        <v>922</v>
      </c>
      <c r="H148" s="8">
        <v>0</v>
      </c>
      <c r="I148" s="16">
        <v>44796</v>
      </c>
      <c r="J148" s="6" t="s">
        <v>59</v>
      </c>
      <c r="K148" s="6" t="s">
        <v>60</v>
      </c>
      <c r="L148" s="8">
        <v>36</v>
      </c>
      <c r="M148" s="11">
        <v>14986000</v>
      </c>
      <c r="N148" s="8">
        <v>492249</v>
      </c>
      <c r="O148" s="8">
        <v>9</v>
      </c>
      <c r="P148" s="6" t="s">
        <v>24</v>
      </c>
      <c r="Q148" s="7">
        <v>44827</v>
      </c>
      <c r="R148" s="7">
        <v>45892</v>
      </c>
      <c r="S148" s="7"/>
      <c r="T148" s="6" t="s">
        <v>28</v>
      </c>
      <c r="U148" s="6" t="s">
        <v>256</v>
      </c>
      <c r="V148" s="14" cm="1">
        <f t="array" ref="V148">CalculerCommissionAnnuelle(M148,Q148,L148,1.7%,2024)</f>
        <v>169841.33333333334</v>
      </c>
      <c r="W148" s="14" cm="1">
        <f t="array" ref="W148">CalculerCommissionAnnuelle(M148,Q148,L148,1.7%,2023)</f>
        <v>339682.66666666669</v>
      </c>
      <c r="X148" s="14" cm="1">
        <f t="array" ref="X148">CalculerCommissionAnnuelle(M148,Q148,L148,1.7%,2022)</f>
        <v>233531.83333333334</v>
      </c>
      <c r="Y148" s="14" cm="1">
        <f t="array" ref="Y148">CalculerCommissionAnnuelle(M148,Q148,L148,1.7%,2021)</f>
        <v>0</v>
      </c>
      <c r="Z148" s="19" t="str">
        <f t="shared" si="2"/>
        <v>GP</v>
      </c>
    </row>
    <row r="149" spans="1:26" s="1" customFormat="1" ht="18.149999999999999" customHeight="1" x14ac:dyDescent="0.25">
      <c r="A149" s="6" t="s">
        <v>857</v>
      </c>
      <c r="B149" s="6" t="s">
        <v>868</v>
      </c>
      <c r="C149" s="6" t="s">
        <v>869</v>
      </c>
      <c r="D149" s="6" t="s">
        <v>21</v>
      </c>
      <c r="E149" s="7"/>
      <c r="F149" s="6" t="s">
        <v>870</v>
      </c>
      <c r="G149" s="6" t="s">
        <v>871</v>
      </c>
      <c r="H149" s="8">
        <v>0</v>
      </c>
      <c r="I149" s="16">
        <v>44553</v>
      </c>
      <c r="J149" s="6" t="s">
        <v>59</v>
      </c>
      <c r="K149" s="6" t="s">
        <v>60</v>
      </c>
      <c r="L149" s="8">
        <v>60</v>
      </c>
      <c r="M149" s="11">
        <v>10000000</v>
      </c>
      <c r="N149" s="8">
        <v>218568</v>
      </c>
      <c r="O149" s="8">
        <v>9</v>
      </c>
      <c r="P149" s="6" t="s">
        <v>24</v>
      </c>
      <c r="Q149" s="7">
        <v>44584</v>
      </c>
      <c r="R149" s="7">
        <v>46379</v>
      </c>
      <c r="S149" s="7"/>
      <c r="T149" s="6" t="s">
        <v>28</v>
      </c>
      <c r="U149" s="6" t="s">
        <v>416</v>
      </c>
      <c r="V149" s="14" cm="1">
        <f t="array" ref="V149">CalculerCommissionAnnuelle(M149,Q149,L149,1.7%,2024)</f>
        <v>158666.66666666669</v>
      </c>
      <c r="W149" s="14" cm="1">
        <f t="array" ref="W149">CalculerCommissionAnnuelle(M149,Q149,L149,1.7%,2023)</f>
        <v>226666.66666666669</v>
      </c>
      <c r="X149" s="14" cm="1">
        <f t="array" ref="X149">CalculerCommissionAnnuelle(M149,Q149,L149,1.7%,2022)</f>
        <v>294666.66666666669</v>
      </c>
      <c r="Y149" s="14" cm="1">
        <f t="array" ref="Y149">CalculerCommissionAnnuelle(M149,Q149,L149,1.7%,2021)</f>
        <v>0</v>
      </c>
      <c r="Z149" s="19" t="str">
        <f t="shared" si="2"/>
        <v>GP</v>
      </c>
    </row>
    <row r="150" spans="1:26" s="1" customFormat="1" ht="18.149999999999999" customHeight="1" x14ac:dyDescent="0.25">
      <c r="A150" s="6" t="s">
        <v>407</v>
      </c>
      <c r="B150" s="6" t="s">
        <v>437</v>
      </c>
      <c r="C150" s="6" t="s">
        <v>438</v>
      </c>
      <c r="D150" s="6" t="s">
        <v>21</v>
      </c>
      <c r="E150" s="7"/>
      <c r="F150" s="6" t="s">
        <v>439</v>
      </c>
      <c r="G150" s="6" t="s">
        <v>441</v>
      </c>
      <c r="H150" s="8">
        <v>0</v>
      </c>
      <c r="I150" s="16">
        <v>44757</v>
      </c>
      <c r="J150" s="6" t="s">
        <v>59</v>
      </c>
      <c r="K150" s="6" t="s">
        <v>60</v>
      </c>
      <c r="L150" s="8">
        <v>36</v>
      </c>
      <c r="M150" s="11">
        <v>14783394</v>
      </c>
      <c r="N150" s="8">
        <v>485594</v>
      </c>
      <c r="O150" s="8">
        <v>9</v>
      </c>
      <c r="P150" s="6" t="s">
        <v>24</v>
      </c>
      <c r="Q150" s="7">
        <v>44788</v>
      </c>
      <c r="R150" s="7">
        <v>45853</v>
      </c>
      <c r="S150" s="7"/>
      <c r="T150" s="6" t="s">
        <v>28</v>
      </c>
      <c r="U150" s="6" t="s">
        <v>416</v>
      </c>
      <c r="V150" s="14" cm="1">
        <f t="array" ref="V150">CalculerCommissionAnnuelle(M150,Q150,L150,1.7%,2024)</f>
        <v>153583.03766666667</v>
      </c>
      <c r="W150" s="14" cm="1">
        <f t="array" ref="W150">CalculerCommissionAnnuelle(M150,Q150,L150,1.7%,2023)</f>
        <v>321128.16966666671</v>
      </c>
      <c r="X150" s="14" cm="1">
        <f t="array" ref="X150">CalculerCommissionAnnuelle(M150,Q150,L150,1.7%,2022)</f>
        <v>223393.50933333335</v>
      </c>
      <c r="Y150" s="14" cm="1">
        <f t="array" ref="Y150">CalculerCommissionAnnuelle(M150,Q150,L150,1.7%,2021)</f>
        <v>0</v>
      </c>
      <c r="Z150" s="19" t="str">
        <f t="shared" si="2"/>
        <v>GP</v>
      </c>
    </row>
    <row r="151" spans="1:26" s="1" customFormat="1" ht="18.149999999999999" customHeight="1" x14ac:dyDescent="0.25">
      <c r="A151" s="3" t="s">
        <v>750</v>
      </c>
      <c r="B151" s="3" t="s">
        <v>757</v>
      </c>
      <c r="C151" s="3" t="s">
        <v>758</v>
      </c>
      <c r="D151" s="3" t="s">
        <v>21</v>
      </c>
      <c r="E151" s="4"/>
      <c r="F151" s="3" t="s">
        <v>759</v>
      </c>
      <c r="G151" s="3" t="s">
        <v>760</v>
      </c>
      <c r="H151" s="5">
        <v>0</v>
      </c>
      <c r="I151" s="16">
        <v>45229</v>
      </c>
      <c r="J151" s="3" t="s">
        <v>22</v>
      </c>
      <c r="K151" s="3" t="s">
        <v>23</v>
      </c>
      <c r="L151" s="5">
        <v>18</v>
      </c>
      <c r="M151" s="10">
        <v>10000000</v>
      </c>
      <c r="N151" s="5">
        <v>600842</v>
      </c>
      <c r="O151" s="5">
        <v>8</v>
      </c>
      <c r="P151" s="3" t="s">
        <v>24</v>
      </c>
      <c r="Q151" s="4">
        <v>45260</v>
      </c>
      <c r="R151" s="4">
        <v>45777</v>
      </c>
      <c r="S151" s="4"/>
      <c r="T151" s="3" t="s">
        <v>28</v>
      </c>
      <c r="U151" s="3" t="s">
        <v>755</v>
      </c>
      <c r="V151" s="14" cm="1">
        <f t="array" ref="V151">CalculerCommissionAnnuelle(M151,Q151,L151,1.7%,2024)</f>
        <v>151111.11111111112</v>
      </c>
      <c r="W151" s="14" cm="1">
        <f t="array" ref="W151">CalculerCommissionAnnuelle(M151,Q151,L151,1.7%,2023)</f>
        <v>160555.55555555556</v>
      </c>
      <c r="X151" s="14" cm="1">
        <f t="array" ref="X151">CalculerCommissionAnnuelle(M151,Q151,L151,1.7%,2022)</f>
        <v>0</v>
      </c>
      <c r="Y151" s="14" cm="1">
        <f t="array" ref="Y151">CalculerCommissionAnnuelle(M151,Q151,L151,1.7%,2021)</f>
        <v>0</v>
      </c>
      <c r="Z151" s="19" t="str">
        <f t="shared" si="2"/>
        <v>GP</v>
      </c>
    </row>
    <row r="152" spans="1:26" s="1" customFormat="1" ht="18.149999999999999" customHeight="1" x14ac:dyDescent="0.25">
      <c r="A152" s="3" t="s">
        <v>407</v>
      </c>
      <c r="B152" s="3" t="s">
        <v>421</v>
      </c>
      <c r="C152" s="3" t="s">
        <v>422</v>
      </c>
      <c r="D152" s="3" t="s">
        <v>21</v>
      </c>
      <c r="E152" s="4"/>
      <c r="F152" s="3" t="s">
        <v>423</v>
      </c>
      <c r="G152" s="3" t="s">
        <v>424</v>
      </c>
      <c r="H152" s="5">
        <v>0</v>
      </c>
      <c r="I152" s="16">
        <v>44918</v>
      </c>
      <c r="J152" s="3" t="s">
        <v>22</v>
      </c>
      <c r="K152" s="3" t="s">
        <v>23</v>
      </c>
      <c r="L152" s="5">
        <v>24</v>
      </c>
      <c r="M152" s="10">
        <v>25000000</v>
      </c>
      <c r="N152" s="5">
        <v>1167856</v>
      </c>
      <c r="O152" s="5">
        <v>9</v>
      </c>
      <c r="P152" s="3" t="s">
        <v>24</v>
      </c>
      <c r="Q152" s="4">
        <v>44949</v>
      </c>
      <c r="R152" s="4">
        <v>45649</v>
      </c>
      <c r="S152" s="4"/>
      <c r="T152" s="3" t="s">
        <v>28</v>
      </c>
      <c r="U152" s="3" t="s">
        <v>310</v>
      </c>
      <c r="V152" s="14" cm="1">
        <f t="array" ref="V152">CalculerCommissionAnnuelle(M152,Q152,L152,1.7%,2024)</f>
        <v>141666.66666666669</v>
      </c>
      <c r="W152" s="14" cm="1">
        <f t="array" ref="W152">CalculerCommissionAnnuelle(M152,Q152,L152,1.7%,2023)</f>
        <v>566666.66666666674</v>
      </c>
      <c r="X152" s="14" cm="1">
        <f t="array" ref="X152">CalculerCommissionAnnuelle(M152,Q152,L152,1.7%,2022)</f>
        <v>0</v>
      </c>
      <c r="Y152" s="14" cm="1">
        <f t="array" ref="Y152">CalculerCommissionAnnuelle(M152,Q152,L152,1.7%,2021)</f>
        <v>0</v>
      </c>
      <c r="Z152" s="19" t="str">
        <f t="shared" si="2"/>
        <v>GP</v>
      </c>
    </row>
    <row r="153" spans="1:26" s="1" customFormat="1" ht="18.149999999999999" customHeight="1" x14ac:dyDescent="0.25">
      <c r="A153" s="3" t="s">
        <v>26</v>
      </c>
      <c r="B153" s="3" t="s">
        <v>123</v>
      </c>
      <c r="C153" s="3" t="s">
        <v>124</v>
      </c>
      <c r="D153" s="3" t="s">
        <v>21</v>
      </c>
      <c r="E153" s="4"/>
      <c r="F153" s="3" t="s">
        <v>125</v>
      </c>
      <c r="G153" s="3" t="s">
        <v>126</v>
      </c>
      <c r="H153" s="5">
        <v>0</v>
      </c>
      <c r="I153" s="16">
        <v>44711</v>
      </c>
      <c r="J153" s="3" t="s">
        <v>59</v>
      </c>
      <c r="K153" s="3" t="s">
        <v>60</v>
      </c>
      <c r="L153" s="5">
        <v>36</v>
      </c>
      <c r="M153" s="10">
        <v>16000000</v>
      </c>
      <c r="N153" s="5">
        <v>525556</v>
      </c>
      <c r="O153" s="5">
        <v>9</v>
      </c>
      <c r="P153" s="3" t="s">
        <v>24</v>
      </c>
      <c r="Q153" s="4">
        <v>44742</v>
      </c>
      <c r="R153" s="4">
        <v>45807</v>
      </c>
      <c r="S153" s="4"/>
      <c r="T153" s="3" t="s">
        <v>28</v>
      </c>
      <c r="U153" s="3" t="s">
        <v>127</v>
      </c>
      <c r="V153" s="14" cm="1">
        <f t="array" ref="V153">CalculerCommissionAnnuelle(M153,Q153,L153,1.7%,2024)</f>
        <v>136000</v>
      </c>
      <c r="W153" s="14" cm="1">
        <f t="array" ref="W153">CalculerCommissionAnnuelle(M153,Q153,L153,1.7%,2023)</f>
        <v>317333.33333333337</v>
      </c>
      <c r="X153" s="14" cm="1">
        <f t="array" ref="X153">CalculerCommissionAnnuelle(M153,Q153,L153,1.7%,2022)</f>
        <v>498666.66666666669</v>
      </c>
      <c r="Y153" s="14" cm="1">
        <f t="array" ref="Y153">CalculerCommissionAnnuelle(M153,Q153,L153,1.7%,2021)</f>
        <v>0</v>
      </c>
      <c r="Z153" s="19" t="str">
        <f t="shared" si="2"/>
        <v>GP</v>
      </c>
    </row>
    <row r="154" spans="1:26" s="1" customFormat="1" ht="18.149999999999999" customHeight="1" x14ac:dyDescent="0.25">
      <c r="A154" s="6" t="s">
        <v>291</v>
      </c>
      <c r="B154" s="6" t="s">
        <v>296</v>
      </c>
      <c r="C154" s="6" t="s">
        <v>297</v>
      </c>
      <c r="D154" s="6" t="s">
        <v>21</v>
      </c>
      <c r="E154" s="7">
        <v>22831</v>
      </c>
      <c r="F154" s="6" t="s">
        <v>298</v>
      </c>
      <c r="G154" s="6" t="s">
        <v>299</v>
      </c>
      <c r="H154" s="8">
        <v>0</v>
      </c>
      <c r="I154" s="16">
        <v>44638</v>
      </c>
      <c r="J154" s="6" t="s">
        <v>59</v>
      </c>
      <c r="K154" s="6" t="s">
        <v>60</v>
      </c>
      <c r="L154" s="8">
        <v>48</v>
      </c>
      <c r="M154" s="11">
        <v>10000000</v>
      </c>
      <c r="N154" s="8">
        <v>259569</v>
      </c>
      <c r="O154" s="8">
        <v>9</v>
      </c>
      <c r="P154" s="6" t="s">
        <v>24</v>
      </c>
      <c r="Q154" s="7">
        <v>44669</v>
      </c>
      <c r="R154" s="7">
        <v>46099</v>
      </c>
      <c r="S154" s="7"/>
      <c r="T154" s="6" t="s">
        <v>28</v>
      </c>
      <c r="U154" s="6" t="s">
        <v>300</v>
      </c>
      <c r="V154" s="14" cm="1">
        <f t="array" ref="V154">CalculerCommissionAnnuelle(M154,Q154,L154,1.7%,2024)</f>
        <v>134583.33333333334</v>
      </c>
      <c r="W154" s="14" cm="1">
        <f t="array" ref="W154">CalculerCommissionAnnuelle(M154,Q154,L154,1.7%,2023)</f>
        <v>219583.33333333334</v>
      </c>
      <c r="X154" s="14" cm="1">
        <f t="array" ref="X154">CalculerCommissionAnnuelle(M154,Q154,L154,1.7%,2022)</f>
        <v>304583.33333333337</v>
      </c>
      <c r="Y154" s="14" cm="1">
        <f t="array" ref="Y154">CalculerCommissionAnnuelle(M154,Q154,L154,1.7%,2021)</f>
        <v>0</v>
      </c>
      <c r="Z154" s="19" t="str">
        <f t="shared" si="2"/>
        <v>GP</v>
      </c>
    </row>
    <row r="155" spans="1:26" s="1" customFormat="1" ht="17.399999999999999" customHeight="1" x14ac:dyDescent="0.25">
      <c r="A155" s="6" t="s">
        <v>656</v>
      </c>
      <c r="B155" s="6" t="s">
        <v>689</v>
      </c>
      <c r="C155" s="6" t="s">
        <v>690</v>
      </c>
      <c r="D155" s="6" t="s">
        <v>21</v>
      </c>
      <c r="E155" s="7"/>
      <c r="F155" s="6" t="s">
        <v>691</v>
      </c>
      <c r="G155" s="6" t="s">
        <v>692</v>
      </c>
      <c r="H155" s="8">
        <v>0</v>
      </c>
      <c r="I155" s="16">
        <v>44638</v>
      </c>
      <c r="J155" s="6" t="s">
        <v>59</v>
      </c>
      <c r="K155" s="6" t="s">
        <v>60</v>
      </c>
      <c r="L155" s="8">
        <v>36</v>
      </c>
      <c r="M155" s="11">
        <v>20000000</v>
      </c>
      <c r="N155" s="8">
        <v>656945</v>
      </c>
      <c r="O155" s="8">
        <v>9</v>
      </c>
      <c r="P155" s="6" t="s">
        <v>24</v>
      </c>
      <c r="Q155" s="7">
        <v>44669</v>
      </c>
      <c r="R155" s="7">
        <v>45734</v>
      </c>
      <c r="S155" s="7"/>
      <c r="T155" s="6" t="s">
        <v>28</v>
      </c>
      <c r="U155" s="6" t="s">
        <v>641</v>
      </c>
      <c r="V155" s="14" cm="1">
        <f t="array" ref="V155">CalculerCommissionAnnuelle(M155,Q155,L155,1.7%,2024)</f>
        <v>132222.22222222225</v>
      </c>
      <c r="W155" s="14" cm="1">
        <f t="array" ref="W155">CalculerCommissionAnnuelle(M155,Q155,L155,1.7%,2023)</f>
        <v>358888.88888888888</v>
      </c>
      <c r="X155" s="14" cm="1">
        <f t="array" ref="X155">CalculerCommissionAnnuelle(M155,Q155,L155,1.7%,2022)</f>
        <v>585555.55555555562</v>
      </c>
      <c r="Y155" s="14" cm="1">
        <f t="array" ref="Y155">CalculerCommissionAnnuelle(M155,Q155,L155,1.7%,2021)</f>
        <v>0</v>
      </c>
      <c r="Z155" s="19" t="str">
        <f t="shared" si="2"/>
        <v>GP</v>
      </c>
    </row>
    <row r="156" spans="1:26" s="1" customFormat="1" ht="18.149999999999999" customHeight="1" x14ac:dyDescent="0.25">
      <c r="A156" s="6" t="s">
        <v>407</v>
      </c>
      <c r="B156" s="6" t="s">
        <v>464</v>
      </c>
      <c r="C156" s="6" t="s">
        <v>465</v>
      </c>
      <c r="D156" s="6" t="s">
        <v>21</v>
      </c>
      <c r="E156" s="7"/>
      <c r="F156" s="6" t="s">
        <v>466</v>
      </c>
      <c r="G156" s="6" t="s">
        <v>467</v>
      </c>
      <c r="H156" s="8">
        <v>0</v>
      </c>
      <c r="I156" s="16">
        <v>44686</v>
      </c>
      <c r="J156" s="6" t="s">
        <v>59</v>
      </c>
      <c r="K156" s="6" t="s">
        <v>60</v>
      </c>
      <c r="L156" s="8">
        <v>36</v>
      </c>
      <c r="M156" s="11">
        <v>15000000</v>
      </c>
      <c r="N156" s="8">
        <v>492709</v>
      </c>
      <c r="O156" s="8">
        <v>9</v>
      </c>
      <c r="P156" s="6" t="s">
        <v>24</v>
      </c>
      <c r="Q156" s="7">
        <v>44717</v>
      </c>
      <c r="R156" s="7">
        <v>45782</v>
      </c>
      <c r="S156" s="7"/>
      <c r="T156" s="6" t="s">
        <v>28</v>
      </c>
      <c r="U156" s="6" t="s">
        <v>310</v>
      </c>
      <c r="V156" s="14" cm="1">
        <f t="array" ref="V156">CalculerCommissionAnnuelle(M156,Q156,L156,1.7%,2024)</f>
        <v>127500.00000000001</v>
      </c>
      <c r="W156" s="14" cm="1">
        <f t="array" ref="W156">CalculerCommissionAnnuelle(M156,Q156,L156,1.7%,2023)</f>
        <v>297500</v>
      </c>
      <c r="X156" s="14" cm="1">
        <f t="array" ref="X156">CalculerCommissionAnnuelle(M156,Q156,L156,1.7%,2022)</f>
        <v>467500.00000000006</v>
      </c>
      <c r="Y156" s="14" cm="1">
        <f t="array" ref="Y156">CalculerCommissionAnnuelle(M156,Q156,L156,1.7%,2021)</f>
        <v>0</v>
      </c>
      <c r="Z156" s="19" t="str">
        <f t="shared" si="2"/>
        <v>GP</v>
      </c>
    </row>
    <row r="157" spans="1:26" s="1" customFormat="1" ht="18.149999999999999" customHeight="1" x14ac:dyDescent="0.25">
      <c r="A157" s="3" t="s">
        <v>407</v>
      </c>
      <c r="B157" s="3" t="s">
        <v>464</v>
      </c>
      <c r="C157" s="3" t="s">
        <v>465</v>
      </c>
      <c r="D157" s="3" t="s">
        <v>21</v>
      </c>
      <c r="E157" s="4"/>
      <c r="F157" s="3" t="s">
        <v>466</v>
      </c>
      <c r="G157" s="3" t="s">
        <v>468</v>
      </c>
      <c r="H157" s="5">
        <v>0</v>
      </c>
      <c r="I157" s="16">
        <v>45051</v>
      </c>
      <c r="J157" s="3" t="s">
        <v>22</v>
      </c>
      <c r="K157" s="3" t="s">
        <v>23</v>
      </c>
      <c r="L157" s="5">
        <v>24</v>
      </c>
      <c r="M157" s="10">
        <v>10000000</v>
      </c>
      <c r="N157" s="5">
        <v>478099</v>
      </c>
      <c r="O157" s="5">
        <v>11</v>
      </c>
      <c r="P157" s="3" t="s">
        <v>24</v>
      </c>
      <c r="Q157" s="4">
        <v>45082</v>
      </c>
      <c r="R157" s="4">
        <v>45782</v>
      </c>
      <c r="S157" s="4"/>
      <c r="T157" s="3" t="s">
        <v>28</v>
      </c>
      <c r="U157" s="3" t="s">
        <v>310</v>
      </c>
      <c r="V157" s="14" cm="1">
        <f t="array" ref="V157">CalculerCommissionAnnuelle(M157,Q157,L157,1.7%,2024)</f>
        <v>127500.00000000001</v>
      </c>
      <c r="W157" s="14" cm="1">
        <f t="array" ref="W157">CalculerCommissionAnnuelle(M157,Q157,L157,1.7%,2023)</f>
        <v>297500</v>
      </c>
      <c r="X157" s="14" cm="1">
        <f t="array" ref="X157">CalculerCommissionAnnuelle(M157,Q157,L157,1.7%,2022)</f>
        <v>0</v>
      </c>
      <c r="Y157" s="14" cm="1">
        <f t="array" ref="Y157">CalculerCommissionAnnuelle(M157,Q157,L157,1.7%,2021)</f>
        <v>0</v>
      </c>
      <c r="Z157" s="19" t="str">
        <f t="shared" si="2"/>
        <v>GP</v>
      </c>
    </row>
    <row r="158" spans="1:26" s="1" customFormat="1" ht="18.149999999999999" customHeight="1" x14ac:dyDescent="0.25">
      <c r="A158" s="6" t="s">
        <v>593</v>
      </c>
      <c r="B158" s="6" t="s">
        <v>620</v>
      </c>
      <c r="C158" s="6" t="s">
        <v>621</v>
      </c>
      <c r="D158" s="6" t="s">
        <v>21</v>
      </c>
      <c r="E158" s="7"/>
      <c r="F158" s="6" t="s">
        <v>622</v>
      </c>
      <c r="G158" s="6" t="s">
        <v>625</v>
      </c>
      <c r="H158" s="8">
        <v>0</v>
      </c>
      <c r="I158" s="16">
        <v>45146</v>
      </c>
      <c r="J158" s="6" t="s">
        <v>22</v>
      </c>
      <c r="K158" s="6" t="s">
        <v>23</v>
      </c>
      <c r="L158" s="8">
        <v>12</v>
      </c>
      <c r="M158" s="11">
        <v>30000000</v>
      </c>
      <c r="N158" s="8">
        <v>2704056</v>
      </c>
      <c r="O158" s="8">
        <v>12</v>
      </c>
      <c r="P158" s="6" t="s">
        <v>24</v>
      </c>
      <c r="Q158" s="7">
        <v>45177</v>
      </c>
      <c r="R158" s="7">
        <v>45512</v>
      </c>
      <c r="S158" s="7"/>
      <c r="T158" s="6" t="s">
        <v>28</v>
      </c>
      <c r="U158" s="6" t="s">
        <v>598</v>
      </c>
      <c r="V158" s="14" cm="1">
        <f t="array" ref="V158">CalculerCommissionAnnuelle(M158,Q158,L158,1.7%,2024)</f>
        <v>127500.00000000001</v>
      </c>
      <c r="W158" s="14" cm="1">
        <f t="array" ref="W158">CalculerCommissionAnnuelle(M158,Q158,L158,1.7%,2023)</f>
        <v>382500</v>
      </c>
      <c r="X158" s="14" cm="1">
        <f t="array" ref="X158">CalculerCommissionAnnuelle(M158,Q158,L158,1.7%,2022)</f>
        <v>0</v>
      </c>
      <c r="Y158" s="14" cm="1">
        <f t="array" ref="Y158">CalculerCommissionAnnuelle(M158,Q158,L158,1.7%,2021)</f>
        <v>0</v>
      </c>
      <c r="Z158" s="19" t="str">
        <f t="shared" si="2"/>
        <v>GP</v>
      </c>
    </row>
    <row r="159" spans="1:26" s="1" customFormat="1" ht="18.149999999999999" customHeight="1" x14ac:dyDescent="0.25">
      <c r="A159" s="3" t="s">
        <v>796</v>
      </c>
      <c r="B159" s="3" t="s">
        <v>817</v>
      </c>
      <c r="C159" s="3" t="s">
        <v>818</v>
      </c>
      <c r="D159" s="3" t="s">
        <v>21</v>
      </c>
      <c r="E159" s="4"/>
      <c r="F159" s="3" t="s">
        <v>819</v>
      </c>
      <c r="G159" s="3" t="s">
        <v>820</v>
      </c>
      <c r="H159" s="5">
        <v>0</v>
      </c>
      <c r="I159" s="16">
        <v>44875</v>
      </c>
      <c r="J159" s="3" t="s">
        <v>59</v>
      </c>
      <c r="K159" s="3" t="s">
        <v>60</v>
      </c>
      <c r="L159" s="5">
        <v>36</v>
      </c>
      <c r="M159" s="10">
        <v>7500000</v>
      </c>
      <c r="N159" s="5">
        <v>250497</v>
      </c>
      <c r="O159" s="5">
        <v>9.99</v>
      </c>
      <c r="P159" s="3" t="s">
        <v>24</v>
      </c>
      <c r="Q159" s="4">
        <v>44922</v>
      </c>
      <c r="R159" s="4">
        <v>45988</v>
      </c>
      <c r="S159" s="4"/>
      <c r="T159" s="3" t="s">
        <v>28</v>
      </c>
      <c r="U159" s="3" t="s">
        <v>641</v>
      </c>
      <c r="V159" s="14" cm="1">
        <f t="array" ref="V159">CalculerCommissionAnnuelle(M159,Q159,L159,1.7%,2024)</f>
        <v>106250.00000000001</v>
      </c>
      <c r="W159" s="14" cm="1">
        <f t="array" ref="W159">CalculerCommissionAnnuelle(M159,Q159,L159,1.7%,2023)</f>
        <v>191250</v>
      </c>
      <c r="X159" s="14" cm="1">
        <f t="array" ref="X159">CalculerCommissionAnnuelle(M159,Q159,L159,1.7%,2022)</f>
        <v>127500.00000000001</v>
      </c>
      <c r="Y159" s="14" cm="1">
        <f t="array" ref="Y159">CalculerCommissionAnnuelle(M159,Q159,L159,1.7%,2021)</f>
        <v>0</v>
      </c>
      <c r="Z159" s="19" t="str">
        <f t="shared" si="2"/>
        <v>GP</v>
      </c>
    </row>
    <row r="160" spans="1:26" s="1" customFormat="1" ht="18.149999999999999" customHeight="1" x14ac:dyDescent="0.25">
      <c r="A160" s="6" t="s">
        <v>656</v>
      </c>
      <c r="B160" s="6" t="s">
        <v>673</v>
      </c>
      <c r="C160" s="6" t="s">
        <v>674</v>
      </c>
      <c r="D160" s="6" t="s">
        <v>21</v>
      </c>
      <c r="E160" s="7"/>
      <c r="F160" s="6" t="s">
        <v>675</v>
      </c>
      <c r="G160" s="6" t="s">
        <v>676</v>
      </c>
      <c r="H160" s="8">
        <v>0</v>
      </c>
      <c r="I160" s="16">
        <v>44743</v>
      </c>
      <c r="J160" s="6" t="s">
        <v>59</v>
      </c>
      <c r="K160" s="6" t="s">
        <v>60</v>
      </c>
      <c r="L160" s="8">
        <v>60</v>
      </c>
      <c r="M160" s="11">
        <v>5000000</v>
      </c>
      <c r="N160" s="8">
        <v>109284</v>
      </c>
      <c r="O160" s="8">
        <v>9</v>
      </c>
      <c r="P160" s="6" t="s">
        <v>24</v>
      </c>
      <c r="Q160" s="7">
        <v>44774</v>
      </c>
      <c r="R160" s="7">
        <v>46569</v>
      </c>
      <c r="S160" s="7"/>
      <c r="T160" s="6" t="s">
        <v>28</v>
      </c>
      <c r="U160" s="6" t="s">
        <v>641</v>
      </c>
      <c r="V160" s="14" cm="1">
        <f t="array" ref="V160">CalculerCommissionAnnuelle(M160,Q160,L160,1.7%,2024)</f>
        <v>99166.666666666672</v>
      </c>
      <c r="W160" s="14" cm="1">
        <f t="array" ref="W160">CalculerCommissionAnnuelle(M160,Q160,L160,1.7%,2023)</f>
        <v>133166.66666666666</v>
      </c>
      <c r="X160" s="14" cm="1">
        <f t="array" ref="X160">CalculerCommissionAnnuelle(M160,Q160,L160,1.7%,2022)</f>
        <v>79333.333333333343</v>
      </c>
      <c r="Y160" s="14" cm="1">
        <f t="array" ref="Y160">CalculerCommissionAnnuelle(M160,Q160,L160,1.7%,2021)</f>
        <v>0</v>
      </c>
      <c r="Z160" s="19" t="str">
        <f t="shared" si="2"/>
        <v>GP</v>
      </c>
    </row>
    <row r="161" spans="1:26" s="1" customFormat="1" ht="18.149999999999999" customHeight="1" x14ac:dyDescent="0.25">
      <c r="A161" s="6" t="s">
        <v>407</v>
      </c>
      <c r="B161" s="6" t="s">
        <v>478</v>
      </c>
      <c r="C161" s="6" t="s">
        <v>479</v>
      </c>
      <c r="D161" s="6" t="s">
        <v>21</v>
      </c>
      <c r="E161" s="7"/>
      <c r="F161" s="6" t="s">
        <v>480</v>
      </c>
      <c r="G161" s="6" t="s">
        <v>481</v>
      </c>
      <c r="H161" s="8">
        <v>0</v>
      </c>
      <c r="I161" s="16">
        <v>44875</v>
      </c>
      <c r="J161" s="6" t="s">
        <v>59</v>
      </c>
      <c r="K161" s="6" t="s">
        <v>60</v>
      </c>
      <c r="L161" s="8">
        <v>36</v>
      </c>
      <c r="M161" s="11">
        <v>7000000</v>
      </c>
      <c r="N161" s="8">
        <v>229931</v>
      </c>
      <c r="O161" s="8">
        <v>9</v>
      </c>
      <c r="P161" s="6" t="s">
        <v>24</v>
      </c>
      <c r="Q161" s="7">
        <v>44905</v>
      </c>
      <c r="R161" s="7">
        <v>45971</v>
      </c>
      <c r="S161" s="7"/>
      <c r="T161" s="6" t="s">
        <v>28</v>
      </c>
      <c r="U161" s="6" t="s">
        <v>416</v>
      </c>
      <c r="V161" s="14" cm="1">
        <f t="array" ref="V161">CalculerCommissionAnnuelle(M161,Q161,L161,1.7%,2024)</f>
        <v>99166.666666666672</v>
      </c>
      <c r="W161" s="14" cm="1">
        <f t="array" ref="W161">CalculerCommissionAnnuelle(M161,Q161,L161,1.7%,2023)</f>
        <v>178500</v>
      </c>
      <c r="X161" s="14" cm="1">
        <f t="array" ref="X161">CalculerCommissionAnnuelle(M161,Q161,L161,1.7%,2022)</f>
        <v>119000.00000000001</v>
      </c>
      <c r="Y161" s="14" cm="1">
        <f t="array" ref="Y161">CalculerCommissionAnnuelle(M161,Q161,L161,1.7%,2021)</f>
        <v>0</v>
      </c>
      <c r="Z161" s="19" t="str">
        <f t="shared" si="2"/>
        <v>GP</v>
      </c>
    </row>
    <row r="162" spans="1:26" s="1" customFormat="1" ht="18.149999999999999" customHeight="1" x14ac:dyDescent="0.25">
      <c r="A162" s="6" t="s">
        <v>407</v>
      </c>
      <c r="B162" s="6" t="s">
        <v>425</v>
      </c>
      <c r="C162" s="6" t="s">
        <v>426</v>
      </c>
      <c r="D162" s="6" t="s">
        <v>21</v>
      </c>
      <c r="E162" s="7"/>
      <c r="F162" s="6" t="s">
        <v>427</v>
      </c>
      <c r="G162" s="6" t="s">
        <v>428</v>
      </c>
      <c r="H162" s="8">
        <v>0</v>
      </c>
      <c r="I162" s="7">
        <v>45271</v>
      </c>
      <c r="J162" s="6" t="s">
        <v>22</v>
      </c>
      <c r="K162" s="6" t="s">
        <v>23</v>
      </c>
      <c r="L162" s="8">
        <v>24</v>
      </c>
      <c r="M162" s="11">
        <v>4000000</v>
      </c>
      <c r="N162" s="8">
        <v>189018</v>
      </c>
      <c r="O162" s="8">
        <v>9.99</v>
      </c>
      <c r="P162" s="6" t="s">
        <v>24</v>
      </c>
      <c r="Q162" s="7">
        <v>45302</v>
      </c>
      <c r="R162" s="7">
        <v>46002</v>
      </c>
      <c r="S162" s="7"/>
      <c r="T162" s="6" t="s">
        <v>28</v>
      </c>
      <c r="U162" s="6" t="s">
        <v>256</v>
      </c>
      <c r="V162" s="14" cm="1">
        <f t="array" ref="V162">CalculerCommissionAnnuelle(M162,Q162,L162,1.7%,2024)</f>
        <v>90666.666666666672</v>
      </c>
      <c r="W162" s="14" cm="1">
        <f t="array" ref="W162">CalculerCommissionAnnuelle(M162,Q162,L162,1.7%,2023)</f>
        <v>0</v>
      </c>
      <c r="X162" s="14" cm="1">
        <f t="array" ref="X162">CalculerCommissionAnnuelle(M162,Q162,L162,1.7%,2022)</f>
        <v>0</v>
      </c>
      <c r="Y162" s="14" cm="1">
        <f t="array" ref="Y162">CalculerCommissionAnnuelle(M162,Q162,L162,1.7%,2021)</f>
        <v>0</v>
      </c>
      <c r="Z162" s="19" t="str">
        <f t="shared" si="2"/>
        <v>GP</v>
      </c>
    </row>
    <row r="163" spans="1:26" s="1" customFormat="1" ht="18.149999999999999" customHeight="1" x14ac:dyDescent="0.25">
      <c r="A163" s="6" t="s">
        <v>26</v>
      </c>
      <c r="B163" s="6" t="s">
        <v>147</v>
      </c>
      <c r="C163" s="6" t="s">
        <v>148</v>
      </c>
      <c r="D163" s="6" t="s">
        <v>21</v>
      </c>
      <c r="E163" s="7"/>
      <c r="F163" s="6" t="s">
        <v>149</v>
      </c>
      <c r="G163" s="6" t="s">
        <v>150</v>
      </c>
      <c r="H163" s="8">
        <v>0</v>
      </c>
      <c r="I163" s="16">
        <v>44911</v>
      </c>
      <c r="J163" s="6" t="s">
        <v>22</v>
      </c>
      <c r="K163" s="6" t="s">
        <v>23</v>
      </c>
      <c r="L163" s="8">
        <v>24</v>
      </c>
      <c r="M163" s="11">
        <v>15000000</v>
      </c>
      <c r="N163" s="8">
        <v>725441</v>
      </c>
      <c r="O163" s="8">
        <v>12</v>
      </c>
      <c r="P163" s="6" t="s">
        <v>24</v>
      </c>
      <c r="Q163" s="7">
        <v>44942</v>
      </c>
      <c r="R163" s="7">
        <v>45642</v>
      </c>
      <c r="S163" s="7"/>
      <c r="T163" s="6" t="s">
        <v>28</v>
      </c>
      <c r="U163" s="6" t="s">
        <v>151</v>
      </c>
      <c r="V163" s="14" cm="1">
        <f t="array" ref="V163">CalculerCommissionAnnuelle(M163,Q163,L163,1.7%,2024)</f>
        <v>85000</v>
      </c>
      <c r="W163" s="14" cm="1">
        <f t="array" ref="W163">CalculerCommissionAnnuelle(M163,Q163,L163,1.7%,2023)</f>
        <v>340000</v>
      </c>
      <c r="X163" s="14" cm="1">
        <f t="array" ref="X163">CalculerCommissionAnnuelle(M163,Q163,L163,1.7%,2022)</f>
        <v>0</v>
      </c>
      <c r="Y163" s="14" cm="1">
        <f t="array" ref="Y163">CalculerCommissionAnnuelle(M163,Q163,L163,1.7%,2021)</f>
        <v>0</v>
      </c>
      <c r="Z163" s="19" t="str">
        <f t="shared" si="2"/>
        <v>GP</v>
      </c>
    </row>
    <row r="164" spans="1:26" s="1" customFormat="1" ht="18.149999999999999" customHeight="1" x14ac:dyDescent="0.25">
      <c r="A164" s="6" t="s">
        <v>500</v>
      </c>
      <c r="B164" s="6" t="s">
        <v>501</v>
      </c>
      <c r="C164" s="6" t="s">
        <v>502</v>
      </c>
      <c r="D164" s="6" t="s">
        <v>21</v>
      </c>
      <c r="E164" s="7"/>
      <c r="F164" s="6" t="s">
        <v>503</v>
      </c>
      <c r="G164" s="6" t="s">
        <v>504</v>
      </c>
      <c r="H164" s="8">
        <v>0</v>
      </c>
      <c r="I164" s="16">
        <v>44923</v>
      </c>
      <c r="J164" s="6" t="s">
        <v>22</v>
      </c>
      <c r="K164" s="6" t="s">
        <v>23</v>
      </c>
      <c r="L164" s="8">
        <v>36</v>
      </c>
      <c r="M164" s="11">
        <v>5000000</v>
      </c>
      <c r="N164" s="8">
        <v>164236</v>
      </c>
      <c r="O164" s="8">
        <v>9</v>
      </c>
      <c r="P164" s="6" t="s">
        <v>24</v>
      </c>
      <c r="Q164" s="7">
        <v>44954</v>
      </c>
      <c r="R164" s="7">
        <v>46019</v>
      </c>
      <c r="S164" s="7"/>
      <c r="T164" s="6" t="s">
        <v>28</v>
      </c>
      <c r="U164" s="6" t="s">
        <v>505</v>
      </c>
      <c r="V164" s="14" cm="1">
        <f t="array" ref="V164">CalculerCommissionAnnuelle(M164,Q164,L164,1.7%,2024)</f>
        <v>75555.555555555562</v>
      </c>
      <c r="W164" s="14" cm="1">
        <f t="array" ref="W164">CalculerCommissionAnnuelle(M164,Q164,L164,1.7%,2023)</f>
        <v>132222.22222222225</v>
      </c>
      <c r="X164" s="14" cm="1">
        <f t="array" ref="X164">CalculerCommissionAnnuelle(M164,Q164,L164,1.7%,2022)</f>
        <v>0</v>
      </c>
      <c r="Y164" s="14" cm="1">
        <f t="array" ref="Y164">CalculerCommissionAnnuelle(M164,Q164,L164,1.7%,2021)</f>
        <v>0</v>
      </c>
      <c r="Z164" s="19" t="str">
        <f t="shared" si="2"/>
        <v>GP</v>
      </c>
    </row>
    <row r="165" spans="1:26" s="1" customFormat="1" ht="18.149999999999999" customHeight="1" x14ac:dyDescent="0.25">
      <c r="A165" s="6" t="s">
        <v>909</v>
      </c>
      <c r="B165" s="6" t="s">
        <v>915</v>
      </c>
      <c r="C165" s="6" t="s">
        <v>916</v>
      </c>
      <c r="D165" s="6" t="s">
        <v>21</v>
      </c>
      <c r="E165" s="7"/>
      <c r="F165" s="6" t="s">
        <v>917</v>
      </c>
      <c r="G165" s="6" t="s">
        <v>918</v>
      </c>
      <c r="H165" s="8">
        <v>0</v>
      </c>
      <c r="I165" s="16">
        <v>44748</v>
      </c>
      <c r="J165" s="6" t="s">
        <v>59</v>
      </c>
      <c r="K165" s="6" t="s">
        <v>60</v>
      </c>
      <c r="L165" s="8">
        <v>36</v>
      </c>
      <c r="M165" s="11">
        <v>7000000</v>
      </c>
      <c r="N165" s="8">
        <v>229931</v>
      </c>
      <c r="O165" s="8">
        <v>9</v>
      </c>
      <c r="P165" s="6" t="s">
        <v>24</v>
      </c>
      <c r="Q165" s="7">
        <v>44779</v>
      </c>
      <c r="R165" s="7">
        <v>45844</v>
      </c>
      <c r="S165" s="7"/>
      <c r="T165" s="6" t="s">
        <v>28</v>
      </c>
      <c r="U165" s="6" t="s">
        <v>310</v>
      </c>
      <c r="V165" s="14" cm="1">
        <f t="array" ref="V165">CalculerCommissionAnnuelle(M165,Q165,L165,1.7%,2024)</f>
        <v>72722.222222222219</v>
      </c>
      <c r="W165" s="14" cm="1">
        <f t="array" ref="W165">CalculerCommissionAnnuelle(M165,Q165,L165,1.7%,2023)</f>
        <v>152055.55555555556</v>
      </c>
      <c r="X165" s="14" cm="1">
        <f t="array" ref="X165">CalculerCommissionAnnuelle(M165,Q165,L165,1.7%,2022)</f>
        <v>105777.77777777778</v>
      </c>
      <c r="Y165" s="14" cm="1">
        <f t="array" ref="Y165">CalculerCommissionAnnuelle(M165,Q165,L165,1.7%,2021)</f>
        <v>0</v>
      </c>
      <c r="Z165" s="19" t="str">
        <f t="shared" si="2"/>
        <v>GP</v>
      </c>
    </row>
    <row r="166" spans="1:26" s="1" customFormat="1" ht="18.149999999999999" customHeight="1" x14ac:dyDescent="0.25">
      <c r="A166" s="3" t="s">
        <v>26</v>
      </c>
      <c r="B166" s="3" t="s">
        <v>55</v>
      </c>
      <c r="C166" s="3" t="s">
        <v>56</v>
      </c>
      <c r="D166" s="3" t="s">
        <v>21</v>
      </c>
      <c r="E166" s="4">
        <v>17601</v>
      </c>
      <c r="F166" s="3" t="s">
        <v>57</v>
      </c>
      <c r="G166" s="3" t="s">
        <v>58</v>
      </c>
      <c r="H166" s="5">
        <v>0</v>
      </c>
      <c r="I166" s="16">
        <v>45069</v>
      </c>
      <c r="J166" s="3" t="s">
        <v>59</v>
      </c>
      <c r="K166" s="3" t="s">
        <v>60</v>
      </c>
      <c r="L166" s="5">
        <v>12</v>
      </c>
      <c r="M166" s="10">
        <v>25500000</v>
      </c>
      <c r="N166" s="5">
        <v>2549881</v>
      </c>
      <c r="O166" s="5">
        <v>9.99</v>
      </c>
      <c r="P166" s="3" t="s">
        <v>24</v>
      </c>
      <c r="Q166" s="4">
        <v>45161</v>
      </c>
      <c r="R166" s="4">
        <v>46165</v>
      </c>
      <c r="S166" s="4"/>
      <c r="T166" s="3" t="s">
        <v>28</v>
      </c>
      <c r="U166" s="3" t="s">
        <v>61</v>
      </c>
      <c r="V166" s="14" cm="1">
        <f t="array" ref="V166">CalculerCommissionAnnuelle(M166,Q166,L166,1.7%,2024)</f>
        <v>72250</v>
      </c>
      <c r="W166" s="14" cm="1">
        <f t="array" ref="W166">CalculerCommissionAnnuelle(M166,Q166,L166,1.7%,2023)</f>
        <v>289000</v>
      </c>
      <c r="X166" s="14" cm="1">
        <f t="array" ref="X166">CalculerCommissionAnnuelle(M166,Q166,L166,1.7%,2022)</f>
        <v>0</v>
      </c>
      <c r="Y166" s="14" cm="1">
        <f t="array" ref="Y166">CalculerCommissionAnnuelle(M166,Q166,L166,1.7%,2021)</f>
        <v>0</v>
      </c>
      <c r="Z166" s="19" t="str">
        <f t="shared" si="2"/>
        <v>GP</v>
      </c>
    </row>
    <row r="167" spans="1:26" s="1" customFormat="1" ht="18.149999999999999" customHeight="1" x14ac:dyDescent="0.25">
      <c r="A167" s="6" t="s">
        <v>26</v>
      </c>
      <c r="B167" s="6" t="s">
        <v>133</v>
      </c>
      <c r="C167" s="6" t="s">
        <v>134</v>
      </c>
      <c r="D167" s="6" t="s">
        <v>21</v>
      </c>
      <c r="E167" s="7"/>
      <c r="F167" s="6" t="s">
        <v>135</v>
      </c>
      <c r="G167" s="6" t="s">
        <v>137</v>
      </c>
      <c r="H167" s="8">
        <v>0</v>
      </c>
      <c r="I167" s="16">
        <v>44547</v>
      </c>
      <c r="J167" s="6" t="s">
        <v>59</v>
      </c>
      <c r="K167" s="6" t="s">
        <v>60</v>
      </c>
      <c r="L167" s="8">
        <v>36</v>
      </c>
      <c r="M167" s="11">
        <v>15000000</v>
      </c>
      <c r="N167" s="8">
        <v>500994</v>
      </c>
      <c r="O167" s="8">
        <v>9.99</v>
      </c>
      <c r="P167" s="6" t="s">
        <v>24</v>
      </c>
      <c r="Q167" s="7">
        <v>44578</v>
      </c>
      <c r="R167" s="7">
        <v>45643</v>
      </c>
      <c r="S167" s="7"/>
      <c r="T167" s="6" t="s">
        <v>28</v>
      </c>
      <c r="U167" s="6" t="s">
        <v>127</v>
      </c>
      <c r="V167" s="14" cm="1">
        <f t="array" ref="V167">CalculerCommissionAnnuelle(M167,Q167,L167,1.7%,2024)</f>
        <v>56666.666666666672</v>
      </c>
      <c r="W167" s="14" cm="1">
        <f t="array" ref="W167">CalculerCommissionAnnuelle(M167,Q167,L167,1.7%,2023)</f>
        <v>226666.66666666669</v>
      </c>
      <c r="X167" s="14" cm="1">
        <f t="array" ref="X167">CalculerCommissionAnnuelle(M167,Q167,L167,1.7%,2022)</f>
        <v>396666.66666666669</v>
      </c>
      <c r="Y167" s="14" cm="1">
        <f t="array" ref="Y167">CalculerCommissionAnnuelle(M167,Q167,L167,1.7%,2021)</f>
        <v>0</v>
      </c>
      <c r="Z167" s="19" t="str">
        <f t="shared" si="2"/>
        <v>GP</v>
      </c>
    </row>
    <row r="168" spans="1:26" s="1" customFormat="1" ht="18.149999999999999" customHeight="1" x14ac:dyDescent="0.25">
      <c r="A168" s="6" t="s">
        <v>960</v>
      </c>
      <c r="B168" s="6" t="s">
        <v>969</v>
      </c>
      <c r="C168" s="6" t="s">
        <v>970</v>
      </c>
      <c r="D168" s="6" t="s">
        <v>21</v>
      </c>
      <c r="E168" s="7"/>
      <c r="F168" s="6" t="s">
        <v>971</v>
      </c>
      <c r="G168" s="6" t="s">
        <v>972</v>
      </c>
      <c r="H168" s="8">
        <v>0</v>
      </c>
      <c r="I168" s="16">
        <v>44956</v>
      </c>
      <c r="J168" s="6" t="s">
        <v>22</v>
      </c>
      <c r="K168" s="6" t="s">
        <v>23</v>
      </c>
      <c r="L168" s="8">
        <v>18</v>
      </c>
      <c r="M168" s="11">
        <v>30000000</v>
      </c>
      <c r="N168" s="8">
        <v>1826708</v>
      </c>
      <c r="O168" s="8">
        <v>9.49</v>
      </c>
      <c r="P168" s="6" t="s">
        <v>24</v>
      </c>
      <c r="Q168" s="7">
        <v>44985</v>
      </c>
      <c r="R168" s="7">
        <v>45501</v>
      </c>
      <c r="S168" s="7"/>
      <c r="T168" s="6" t="s">
        <v>28</v>
      </c>
      <c r="U168" s="6" t="s">
        <v>285</v>
      </c>
      <c r="V168" s="14" cm="1">
        <f t="array" ref="V168">CalculerCommissionAnnuelle(M168,Q168,L168,1.7%,2024)</f>
        <v>56666.666666666672</v>
      </c>
      <c r="W168" s="14" cm="1">
        <f t="array" ref="W168">CalculerCommissionAnnuelle(M168,Q168,L168,1.7%,2023)</f>
        <v>623333.33333333337</v>
      </c>
      <c r="X168" s="14" cm="1">
        <f t="array" ref="X168">CalculerCommissionAnnuelle(M168,Q168,L168,1.7%,2022)</f>
        <v>0</v>
      </c>
      <c r="Y168" s="14" cm="1">
        <f t="array" ref="Y168">CalculerCommissionAnnuelle(M168,Q168,L168,1.7%,2021)</f>
        <v>0</v>
      </c>
      <c r="Z168" s="19" t="str">
        <f t="shared" si="2"/>
        <v>GP</v>
      </c>
    </row>
    <row r="169" spans="1:26" s="1" customFormat="1" ht="18.149999999999999" customHeight="1" x14ac:dyDescent="0.25">
      <c r="A169" s="6" t="s">
        <v>407</v>
      </c>
      <c r="B169" s="6" t="s">
        <v>433</v>
      </c>
      <c r="C169" s="6" t="s">
        <v>434</v>
      </c>
      <c r="D169" s="6" t="s">
        <v>21</v>
      </c>
      <c r="E169" s="7"/>
      <c r="F169" s="6" t="s">
        <v>435</v>
      </c>
      <c r="G169" s="6" t="s">
        <v>436</v>
      </c>
      <c r="H169" s="8">
        <v>0</v>
      </c>
      <c r="I169" s="16">
        <v>44615</v>
      </c>
      <c r="J169" s="6" t="s">
        <v>59</v>
      </c>
      <c r="K169" s="6" t="s">
        <v>60</v>
      </c>
      <c r="L169" s="8">
        <v>36</v>
      </c>
      <c r="M169" s="11">
        <v>8642768</v>
      </c>
      <c r="N169" s="8">
        <v>283891</v>
      </c>
      <c r="O169" s="8">
        <v>9</v>
      </c>
      <c r="P169" s="6" t="s">
        <v>24</v>
      </c>
      <c r="Q169" s="7">
        <v>44643</v>
      </c>
      <c r="R169" s="7">
        <v>45711</v>
      </c>
      <c r="S169" s="7"/>
      <c r="T169" s="6" t="s">
        <v>28</v>
      </c>
      <c r="U169" s="6" t="s">
        <v>416</v>
      </c>
      <c r="V169" s="14" cm="1">
        <f t="array" ref="V169">CalculerCommissionAnnuelle(M169,Q169,L169,1.7%,2024)</f>
        <v>48975.685333333335</v>
      </c>
      <c r="W169" s="14" cm="1">
        <f t="array" ref="W169">CalculerCommissionAnnuelle(M169,Q169,L169,1.7%,2023)</f>
        <v>146927.05600000001</v>
      </c>
      <c r="X169" s="14" cm="1">
        <f t="array" ref="X169">CalculerCommissionAnnuelle(M169,Q169,L169,1.7%,2022)</f>
        <v>244878.42666666667</v>
      </c>
      <c r="Y169" s="14" cm="1">
        <f t="array" ref="Y169">CalculerCommissionAnnuelle(M169,Q169,L169,1.7%,2021)</f>
        <v>0</v>
      </c>
      <c r="Z169" s="19" t="str">
        <f t="shared" si="2"/>
        <v>GP</v>
      </c>
    </row>
    <row r="170" spans="1:26" s="1" customFormat="1" ht="18.149999999999999" customHeight="1" x14ac:dyDescent="0.25">
      <c r="A170" s="6" t="s">
        <v>973</v>
      </c>
      <c r="B170" s="6" t="s">
        <v>978</v>
      </c>
      <c r="C170" s="6" t="s">
        <v>979</v>
      </c>
      <c r="D170" s="6" t="s">
        <v>21</v>
      </c>
      <c r="E170" s="7"/>
      <c r="F170" s="6" t="s">
        <v>980</v>
      </c>
      <c r="G170" s="6" t="s">
        <v>981</v>
      </c>
      <c r="H170" s="8">
        <v>0</v>
      </c>
      <c r="I170" s="16">
        <v>44449</v>
      </c>
      <c r="J170" s="6" t="s">
        <v>59</v>
      </c>
      <c r="K170" s="6" t="s">
        <v>60</v>
      </c>
      <c r="L170" s="8">
        <v>36</v>
      </c>
      <c r="M170" s="11">
        <v>22400000</v>
      </c>
      <c r="N170" s="8">
        <v>735779</v>
      </c>
      <c r="O170" s="8">
        <v>9</v>
      </c>
      <c r="P170" s="6" t="s">
        <v>24</v>
      </c>
      <c r="Q170" s="7">
        <v>44479</v>
      </c>
      <c r="R170" s="7">
        <v>45545</v>
      </c>
      <c r="S170" s="7">
        <v>45260</v>
      </c>
      <c r="T170" s="6" t="s">
        <v>25</v>
      </c>
      <c r="U170" s="6" t="s">
        <v>300</v>
      </c>
      <c r="V170" s="14" cm="1">
        <f t="array" ref="V170">CalculerCommissionAnnuelle(M170,Q170,L170,1.7%,2024)</f>
        <v>42311.111111111117</v>
      </c>
      <c r="W170" s="14" cm="1">
        <f t="array" ref="W170">CalculerCommissionAnnuelle(M170,Q170,L170,1.7%,2023)</f>
        <v>275022.22222222225</v>
      </c>
      <c r="X170" s="14" cm="1">
        <f t="array" ref="X170">CalculerCommissionAnnuelle(M170,Q170,L170,1.7%,2022)</f>
        <v>528888.88888888899</v>
      </c>
      <c r="Y170" s="14" cm="1">
        <f t="array" ref="Y170">CalculerCommissionAnnuelle(M170,Q170,L170,1.7%,2021)</f>
        <v>359644.4444444445</v>
      </c>
      <c r="Z170" s="19" t="str">
        <f t="shared" si="2"/>
        <v>GP</v>
      </c>
    </row>
    <row r="171" spans="1:26" s="1" customFormat="1" ht="18.149999999999999" customHeight="1" x14ac:dyDescent="0.25">
      <c r="A171" s="6" t="s">
        <v>257</v>
      </c>
      <c r="B171" s="6" t="s">
        <v>286</v>
      </c>
      <c r="C171" s="6" t="s">
        <v>287</v>
      </c>
      <c r="D171" s="6" t="s">
        <v>21</v>
      </c>
      <c r="E171" s="7">
        <v>24117</v>
      </c>
      <c r="F171" s="6" t="s">
        <v>288</v>
      </c>
      <c r="G171" s="6" t="s">
        <v>290</v>
      </c>
      <c r="H171" s="8">
        <v>0</v>
      </c>
      <c r="I171" s="16">
        <v>44904</v>
      </c>
      <c r="J171" s="6" t="s">
        <v>22</v>
      </c>
      <c r="K171" s="6" t="s">
        <v>23</v>
      </c>
      <c r="L171" s="8">
        <v>18</v>
      </c>
      <c r="M171" s="11">
        <v>40000000</v>
      </c>
      <c r="N171" s="8">
        <v>2490481</v>
      </c>
      <c r="O171" s="8">
        <v>12</v>
      </c>
      <c r="P171" s="6" t="s">
        <v>24</v>
      </c>
      <c r="Q171" s="7">
        <v>44935</v>
      </c>
      <c r="R171" s="7">
        <v>45452</v>
      </c>
      <c r="S171" s="7">
        <v>45223</v>
      </c>
      <c r="T171" s="6" t="s">
        <v>25</v>
      </c>
      <c r="U171" s="6" t="s">
        <v>262</v>
      </c>
      <c r="V171" s="14" cm="1">
        <f t="array" ref="V171">CalculerCommissionAnnuelle(M171,Q171,L171,1.7%,2024)</f>
        <v>37777.777777777774</v>
      </c>
      <c r="W171" s="14" cm="1">
        <f t="array" ref="W171">CalculerCommissionAnnuelle(M171,Q171,L171,1.7%,2023)</f>
        <v>755555.55555555562</v>
      </c>
      <c r="X171" s="14" cm="1">
        <f t="array" ref="X171">CalculerCommissionAnnuelle(M171,Q171,L171,1.7%,2022)</f>
        <v>0</v>
      </c>
      <c r="Y171" s="14" cm="1">
        <f t="array" ref="Y171">CalculerCommissionAnnuelle(M171,Q171,L171,1.7%,2021)</f>
        <v>0</v>
      </c>
      <c r="Z171" s="19" t="str">
        <f t="shared" si="2"/>
        <v>GP</v>
      </c>
    </row>
    <row r="172" spans="1:26" s="1" customFormat="1" ht="18.149999999999999" customHeight="1" x14ac:dyDescent="0.25">
      <c r="A172" s="6" t="s">
        <v>500</v>
      </c>
      <c r="B172" s="6" t="s">
        <v>511</v>
      </c>
      <c r="C172" s="6" t="s">
        <v>512</v>
      </c>
      <c r="D172" s="6" t="s">
        <v>21</v>
      </c>
      <c r="E172" s="7"/>
      <c r="F172" s="6" t="s">
        <v>513</v>
      </c>
      <c r="G172" s="6" t="s">
        <v>514</v>
      </c>
      <c r="H172" s="8">
        <v>0</v>
      </c>
      <c r="I172" s="7">
        <v>45280</v>
      </c>
      <c r="J172" s="6" t="s">
        <v>22</v>
      </c>
      <c r="K172" s="6" t="s">
        <v>23</v>
      </c>
      <c r="L172" s="8">
        <v>6</v>
      </c>
      <c r="M172" s="11">
        <v>10000000</v>
      </c>
      <c r="N172" s="8">
        <v>1718789</v>
      </c>
      <c r="O172" s="8">
        <v>8.5</v>
      </c>
      <c r="P172" s="6" t="s">
        <v>24</v>
      </c>
      <c r="Q172" s="7">
        <v>45311</v>
      </c>
      <c r="R172" s="7">
        <v>45463</v>
      </c>
      <c r="S172" s="7"/>
      <c r="T172" s="6" t="s">
        <v>28</v>
      </c>
      <c r="U172" s="6" t="s">
        <v>505</v>
      </c>
      <c r="V172" s="14" cm="1">
        <f t="array" ref="V172">CalculerCommissionAnnuelle(M172,Q172,L172,1.7%,2024)</f>
        <v>28333.333333333336</v>
      </c>
      <c r="W172" s="14" cm="1">
        <f t="array" ref="W172">CalculerCommissionAnnuelle(M172,Q172,L172,1.7%,2023)</f>
        <v>0</v>
      </c>
      <c r="X172" s="14" cm="1">
        <f t="array" ref="X172">CalculerCommissionAnnuelle(M172,Q172,L172,1.7%,2022)</f>
        <v>0</v>
      </c>
      <c r="Y172" s="14" cm="1">
        <f t="array" ref="Y172">CalculerCommissionAnnuelle(M172,Q172,L172,1.7%,2021)</f>
        <v>0</v>
      </c>
      <c r="Z172" s="19" t="str">
        <f t="shared" si="2"/>
        <v>GP</v>
      </c>
    </row>
    <row r="173" spans="1:26" s="1" customFormat="1" ht="18.149999999999999" customHeight="1" x14ac:dyDescent="0.25">
      <c r="A173" s="3" t="s">
        <v>500</v>
      </c>
      <c r="B173" s="3" t="s">
        <v>506</v>
      </c>
      <c r="C173" s="3" t="s">
        <v>507</v>
      </c>
      <c r="D173" s="3" t="s">
        <v>21</v>
      </c>
      <c r="E173" s="4"/>
      <c r="F173" s="3" t="s">
        <v>508</v>
      </c>
      <c r="G173" s="3" t="s">
        <v>509</v>
      </c>
      <c r="H173" s="5">
        <v>0</v>
      </c>
      <c r="I173" s="16">
        <v>44546</v>
      </c>
      <c r="J173" s="3" t="s">
        <v>59</v>
      </c>
      <c r="K173" s="3" t="s">
        <v>60</v>
      </c>
      <c r="L173" s="5">
        <v>36</v>
      </c>
      <c r="M173" s="10">
        <v>7000000</v>
      </c>
      <c r="N173" s="5">
        <v>237781</v>
      </c>
      <c r="O173" s="5">
        <v>11</v>
      </c>
      <c r="P173" s="3" t="s">
        <v>24</v>
      </c>
      <c r="Q173" s="4">
        <v>44577</v>
      </c>
      <c r="R173" s="4">
        <v>45642</v>
      </c>
      <c r="S173" s="4">
        <v>45371</v>
      </c>
      <c r="T173" s="3" t="s">
        <v>25</v>
      </c>
      <c r="U173" s="3" t="s">
        <v>505</v>
      </c>
      <c r="V173" s="14" cm="1">
        <f t="array" ref="V173">CalculerCommissionAnnuelle(M173,Q173,L173,1.7%,2024)</f>
        <v>26444.444444444445</v>
      </c>
      <c r="W173" s="14" cm="1">
        <f t="array" ref="W173">CalculerCommissionAnnuelle(M173,Q173,L173,1.7%,2023)</f>
        <v>105777.7777777778</v>
      </c>
      <c r="X173" s="14" cm="1">
        <f t="array" ref="X173">CalculerCommissionAnnuelle(M173,Q173,L173,1.7%,2022)</f>
        <v>185111.11111111112</v>
      </c>
      <c r="Y173" s="14" cm="1">
        <f t="array" ref="Y173">CalculerCommissionAnnuelle(M173,Q173,L173,1.7%,2021)</f>
        <v>0</v>
      </c>
      <c r="Z173" s="19" t="str">
        <f t="shared" si="2"/>
        <v>GP</v>
      </c>
    </row>
    <row r="174" spans="1:26" s="1" customFormat="1" ht="18.149999999999999" customHeight="1" x14ac:dyDescent="0.25">
      <c r="A174" s="6" t="s">
        <v>702</v>
      </c>
      <c r="B174" s="6" t="s">
        <v>703</v>
      </c>
      <c r="C174" s="6" t="s">
        <v>704</v>
      </c>
      <c r="D174" s="6" t="s">
        <v>21</v>
      </c>
      <c r="E174" s="7"/>
      <c r="F174" s="6" t="s">
        <v>705</v>
      </c>
      <c r="G174" s="6" t="s">
        <v>709</v>
      </c>
      <c r="H174" s="8">
        <v>0</v>
      </c>
      <c r="I174" s="16">
        <v>45253</v>
      </c>
      <c r="J174" s="6" t="s">
        <v>22</v>
      </c>
      <c r="K174" s="6" t="s">
        <v>23</v>
      </c>
      <c r="L174" s="8">
        <v>18</v>
      </c>
      <c r="M174" s="11">
        <v>1500000</v>
      </c>
      <c r="N174" s="8">
        <v>90126</v>
      </c>
      <c r="O174" s="8">
        <v>8</v>
      </c>
      <c r="P174" s="6" t="s">
        <v>24</v>
      </c>
      <c r="Q174" s="7">
        <v>45283</v>
      </c>
      <c r="R174" s="7">
        <v>45800</v>
      </c>
      <c r="S174" s="7"/>
      <c r="T174" s="6" t="s">
        <v>28</v>
      </c>
      <c r="U174" s="6" t="s">
        <v>707</v>
      </c>
      <c r="V174" s="14" cm="1">
        <f t="array" ref="V174">CalculerCommissionAnnuelle(M174,Q174,L174,1.7%,2024)</f>
        <v>25500.000000000004</v>
      </c>
      <c r="W174" s="14" cm="1">
        <f t="array" ref="W174">CalculerCommissionAnnuelle(M174,Q174,L174,1.7%,2023)</f>
        <v>25500.000000000004</v>
      </c>
      <c r="X174" s="14" cm="1">
        <f t="array" ref="X174">CalculerCommissionAnnuelle(M174,Q174,L174,1.7%,2022)</f>
        <v>0</v>
      </c>
      <c r="Y174" s="14" cm="1">
        <f t="array" ref="Y174">CalculerCommissionAnnuelle(M174,Q174,L174,1.7%,2021)</f>
        <v>0</v>
      </c>
      <c r="Z174" s="19" t="str">
        <f t="shared" si="2"/>
        <v>GP</v>
      </c>
    </row>
    <row r="175" spans="1:26" s="1" customFormat="1" ht="18.149999999999999" customHeight="1" x14ac:dyDescent="0.25">
      <c r="A175" s="3" t="s">
        <v>895</v>
      </c>
      <c r="B175" s="3" t="s">
        <v>896</v>
      </c>
      <c r="C175" s="3" t="s">
        <v>897</v>
      </c>
      <c r="D175" s="3" t="s">
        <v>21</v>
      </c>
      <c r="E175" s="4"/>
      <c r="F175" s="3" t="s">
        <v>898</v>
      </c>
      <c r="G175" s="3" t="s">
        <v>899</v>
      </c>
      <c r="H175" s="5">
        <v>0</v>
      </c>
      <c r="I175" s="16">
        <v>44733</v>
      </c>
      <c r="J175" s="3" t="s">
        <v>22</v>
      </c>
      <c r="K175" s="3" t="s">
        <v>23</v>
      </c>
      <c r="L175" s="5">
        <v>24</v>
      </c>
      <c r="M175" s="10">
        <v>33600000</v>
      </c>
      <c r="N175" s="5">
        <v>1586097</v>
      </c>
      <c r="O175" s="5">
        <v>9.9</v>
      </c>
      <c r="P175" s="3" t="s">
        <v>24</v>
      </c>
      <c r="Q175" s="4">
        <v>44763</v>
      </c>
      <c r="R175" s="4">
        <v>45464</v>
      </c>
      <c r="S175" s="4"/>
      <c r="T175" s="3" t="s">
        <v>28</v>
      </c>
      <c r="U175" s="3" t="s">
        <v>707</v>
      </c>
      <c r="V175" s="14" cm="1">
        <f t="array" ref="V175">CalculerCommissionAnnuelle(M175,Q175,L175,1.7%,2024)</f>
        <v>23800</v>
      </c>
      <c r="W175" s="14" cm="1">
        <f t="array" ref="W175">CalculerCommissionAnnuelle(M175,Q175,L175,1.7%,2023)</f>
        <v>476000.00000000006</v>
      </c>
      <c r="X175" s="14" cm="1">
        <f t="array" ref="X175">CalculerCommissionAnnuelle(M175,Q175,L175,1.7%,2022)</f>
        <v>452200.00000000006</v>
      </c>
      <c r="Y175" s="14" cm="1">
        <f t="array" ref="Y175">CalculerCommissionAnnuelle(M175,Q175,L175,1.7%,2021)</f>
        <v>0</v>
      </c>
      <c r="Z175" s="19" t="str">
        <f t="shared" si="2"/>
        <v>GP</v>
      </c>
    </row>
    <row r="176" spans="1:26" s="1" customFormat="1" ht="18.149999999999999" customHeight="1" x14ac:dyDescent="0.25">
      <c r="A176" s="6" t="s">
        <v>569</v>
      </c>
      <c r="B176" s="6" t="s">
        <v>587</v>
      </c>
      <c r="C176" s="6" t="s">
        <v>588</v>
      </c>
      <c r="D176" s="6" t="s">
        <v>21</v>
      </c>
      <c r="E176" s="7"/>
      <c r="F176" s="6" t="s">
        <v>589</v>
      </c>
      <c r="G176" s="6" t="s">
        <v>591</v>
      </c>
      <c r="H176" s="8">
        <v>0</v>
      </c>
      <c r="I176" s="16">
        <v>44916</v>
      </c>
      <c r="J176" s="6" t="s">
        <v>22</v>
      </c>
      <c r="K176" s="6" t="s">
        <v>23</v>
      </c>
      <c r="L176" s="8">
        <v>18</v>
      </c>
      <c r="M176" s="11">
        <v>25000000</v>
      </c>
      <c r="N176" s="8">
        <v>1529189</v>
      </c>
      <c r="O176" s="8">
        <v>10</v>
      </c>
      <c r="P176" s="6" t="s">
        <v>24</v>
      </c>
      <c r="Q176" s="7">
        <v>44947</v>
      </c>
      <c r="R176" s="7">
        <v>45464</v>
      </c>
      <c r="S176" s="7"/>
      <c r="T176" s="6" t="s">
        <v>28</v>
      </c>
      <c r="U176" s="6" t="s">
        <v>300</v>
      </c>
      <c r="V176" s="14" cm="1">
        <f t="array" ref="V176">CalculerCommissionAnnuelle(M176,Q176,L176,1.7%,2024)</f>
        <v>23611.111111111113</v>
      </c>
      <c r="W176" s="14" cm="1">
        <f t="array" ref="W176">CalculerCommissionAnnuelle(M176,Q176,L176,1.7%,2023)</f>
        <v>472222.22222222225</v>
      </c>
      <c r="X176" s="14" cm="1">
        <f t="array" ref="X176">CalculerCommissionAnnuelle(M176,Q176,L176,1.7%,2022)</f>
        <v>0</v>
      </c>
      <c r="Y176" s="14" cm="1">
        <f t="array" ref="Y176">CalculerCommissionAnnuelle(M176,Q176,L176,1.7%,2021)</f>
        <v>0</v>
      </c>
      <c r="Z176" s="19" t="str">
        <f t="shared" si="2"/>
        <v>GP</v>
      </c>
    </row>
    <row r="177" spans="1:26" s="1" customFormat="1" ht="18.149999999999999" customHeight="1" x14ac:dyDescent="0.25">
      <c r="A177" s="6" t="s">
        <v>656</v>
      </c>
      <c r="B177" s="6" t="s">
        <v>681</v>
      </c>
      <c r="C177" s="6" t="s">
        <v>682</v>
      </c>
      <c r="D177" s="6" t="s">
        <v>21</v>
      </c>
      <c r="E177" s="7"/>
      <c r="F177" s="6" t="s">
        <v>683</v>
      </c>
      <c r="G177" s="6" t="s">
        <v>684</v>
      </c>
      <c r="H177" s="8">
        <v>0</v>
      </c>
      <c r="I177" s="16">
        <v>44460</v>
      </c>
      <c r="J177" s="6" t="s">
        <v>59</v>
      </c>
      <c r="K177" s="6" t="s">
        <v>60</v>
      </c>
      <c r="L177" s="8">
        <v>33</v>
      </c>
      <c r="M177" s="11">
        <v>8000000</v>
      </c>
      <c r="N177" s="8">
        <v>282901</v>
      </c>
      <c r="O177" s="8">
        <v>9</v>
      </c>
      <c r="P177" s="6" t="s">
        <v>24</v>
      </c>
      <c r="Q177" s="7">
        <v>44582</v>
      </c>
      <c r="R177" s="7">
        <v>45556</v>
      </c>
      <c r="S177" s="7"/>
      <c r="T177" s="6" t="s">
        <v>28</v>
      </c>
      <c r="U177" s="6" t="s">
        <v>641</v>
      </c>
      <c r="V177" s="14" cm="1">
        <f t="array" ref="V177">CalculerCommissionAnnuelle(M177,Q177,L177,1.7%,2024)</f>
        <v>16484.848484848488</v>
      </c>
      <c r="W177" s="14" cm="1">
        <f t="array" ref="W177">CalculerCommissionAnnuelle(M177,Q177,L177,1.7%,2023)</f>
        <v>107151.51515151517</v>
      </c>
      <c r="X177" s="14" cm="1">
        <f t="array" ref="X177">CalculerCommissionAnnuelle(M177,Q177,L177,1.7%,2022)</f>
        <v>206060.60606060608</v>
      </c>
      <c r="Y177" s="14" cm="1">
        <f t="array" ref="Y177">CalculerCommissionAnnuelle(M177,Q177,L177,1.7%,2021)</f>
        <v>0</v>
      </c>
      <c r="Z177" s="19" t="str">
        <f t="shared" si="2"/>
        <v>GP</v>
      </c>
    </row>
    <row r="178" spans="1:26" s="1" customFormat="1" ht="18.149999999999999" customHeight="1" x14ac:dyDescent="0.25">
      <c r="A178" s="6" t="s">
        <v>500</v>
      </c>
      <c r="B178" s="6" t="s">
        <v>523</v>
      </c>
      <c r="C178" s="6" t="s">
        <v>524</v>
      </c>
      <c r="D178" s="6" t="s">
        <v>21</v>
      </c>
      <c r="E178" s="7"/>
      <c r="F178" s="6" t="s">
        <v>525</v>
      </c>
      <c r="G178" s="6" t="s">
        <v>527</v>
      </c>
      <c r="H178" s="8">
        <v>0</v>
      </c>
      <c r="I178" s="16">
        <v>44729</v>
      </c>
      <c r="J178" s="6" t="s">
        <v>22</v>
      </c>
      <c r="K178" s="6" t="s">
        <v>23</v>
      </c>
      <c r="L178" s="8">
        <v>24</v>
      </c>
      <c r="M178" s="11">
        <v>10000000</v>
      </c>
      <c r="N178" s="8">
        <v>467142</v>
      </c>
      <c r="O178" s="8">
        <v>9</v>
      </c>
      <c r="P178" s="6" t="s">
        <v>24</v>
      </c>
      <c r="Q178" s="7">
        <v>44759</v>
      </c>
      <c r="R178" s="7">
        <v>45460</v>
      </c>
      <c r="S178" s="7"/>
      <c r="T178" s="6" t="s">
        <v>28</v>
      </c>
      <c r="U178" s="6" t="s">
        <v>505</v>
      </c>
      <c r="V178" s="14" cm="1">
        <f t="array" ref="V178">CalculerCommissionAnnuelle(M178,Q178,L178,1.7%,2024)</f>
        <v>7083.3333333333339</v>
      </c>
      <c r="W178" s="14" cm="1">
        <f t="array" ref="W178">CalculerCommissionAnnuelle(M178,Q178,L178,1.7%,2023)</f>
        <v>141666.66666666669</v>
      </c>
      <c r="X178" s="14" cm="1">
        <f t="array" ref="X178">CalculerCommissionAnnuelle(M178,Q178,L178,1.7%,2022)</f>
        <v>134583.33333333334</v>
      </c>
      <c r="Y178" s="14" cm="1">
        <f t="array" ref="Y178">CalculerCommissionAnnuelle(M178,Q178,L178,1.7%,2021)</f>
        <v>0</v>
      </c>
      <c r="Z178" s="19" t="str">
        <f t="shared" si="2"/>
        <v>GP</v>
      </c>
    </row>
    <row r="179" spans="1:26" s="1" customFormat="1" ht="18.149999999999999" customHeight="1" x14ac:dyDescent="0.25">
      <c r="A179" s="3" t="s">
        <v>656</v>
      </c>
      <c r="B179" s="3" t="s">
        <v>685</v>
      </c>
      <c r="C179" s="3" t="s">
        <v>686</v>
      </c>
      <c r="D179" s="3" t="s">
        <v>21</v>
      </c>
      <c r="E179" s="4"/>
      <c r="F179" s="3" t="s">
        <v>687</v>
      </c>
      <c r="G179" s="3" t="s">
        <v>688</v>
      </c>
      <c r="H179" s="5">
        <v>0</v>
      </c>
      <c r="I179" s="16">
        <v>44354</v>
      </c>
      <c r="J179" s="3" t="s">
        <v>59</v>
      </c>
      <c r="K179" s="3" t="s">
        <v>60</v>
      </c>
      <c r="L179" s="5">
        <v>36</v>
      </c>
      <c r="M179" s="10">
        <v>10000000</v>
      </c>
      <c r="N179" s="5">
        <v>334052</v>
      </c>
      <c r="O179" s="5">
        <v>10</v>
      </c>
      <c r="P179" s="3" t="s">
        <v>24</v>
      </c>
      <c r="Q179" s="4">
        <v>44384</v>
      </c>
      <c r="R179" s="4">
        <v>45450</v>
      </c>
      <c r="S179" s="4"/>
      <c r="T179" s="3" t="s">
        <v>28</v>
      </c>
      <c r="U179" s="3" t="s">
        <v>641</v>
      </c>
      <c r="V179" s="14" cm="1">
        <f t="array" ref="V179">CalculerCommissionAnnuelle(M179,Q179,L179,1.7%,2024)</f>
        <v>4722.2222222222217</v>
      </c>
      <c r="W179" s="14" cm="1">
        <f t="array" ref="W179">CalculerCommissionAnnuelle(M179,Q179,L179,1.7%,2023)</f>
        <v>94444.444444444453</v>
      </c>
      <c r="X179" s="14" cm="1">
        <f t="array" ref="X179">CalculerCommissionAnnuelle(M179,Q179,L179,1.7%,2022)</f>
        <v>207777.77777777778</v>
      </c>
      <c r="Y179" s="14" cm="1">
        <f t="array" ref="Y179">CalculerCommissionAnnuelle(M179,Q179,L179,1.7%,2021)</f>
        <v>146388.88888888891</v>
      </c>
      <c r="Z179" s="19" t="str">
        <f t="shared" si="2"/>
        <v>GP</v>
      </c>
    </row>
    <row r="180" spans="1:26" s="1" customFormat="1" ht="18.149999999999999" customHeight="1" x14ac:dyDescent="0.25">
      <c r="A180" s="3" t="s">
        <v>26</v>
      </c>
      <c r="B180" s="3" t="s">
        <v>222</v>
      </c>
      <c r="C180" s="3" t="s">
        <v>223</v>
      </c>
      <c r="D180" s="3" t="s">
        <v>21</v>
      </c>
      <c r="E180" s="4"/>
      <c r="F180" s="3" t="s">
        <v>224</v>
      </c>
      <c r="G180" s="3" t="s">
        <v>225</v>
      </c>
      <c r="H180" s="5">
        <v>0</v>
      </c>
      <c r="I180" s="4">
        <v>44944</v>
      </c>
      <c r="J180" s="3" t="s">
        <v>226</v>
      </c>
      <c r="K180" s="3" t="s">
        <v>227</v>
      </c>
      <c r="L180" s="5">
        <v>96</v>
      </c>
      <c r="M180" s="10">
        <v>2000000000</v>
      </c>
      <c r="N180" s="5">
        <v>18910013</v>
      </c>
      <c r="O180" s="5">
        <v>7</v>
      </c>
      <c r="P180" s="3" t="s">
        <v>24</v>
      </c>
      <c r="Q180" s="4">
        <v>45706</v>
      </c>
      <c r="R180" s="4">
        <v>48597</v>
      </c>
      <c r="S180" s="4"/>
      <c r="T180" s="3" t="s">
        <v>28</v>
      </c>
      <c r="U180" s="3" t="s">
        <v>157</v>
      </c>
      <c r="V180" s="14" cm="1">
        <f t="array" ref="V180">CalculerCommissionAnnuelle(M180,Q180,L180,1.7%,2024)</f>
        <v>0</v>
      </c>
      <c r="W180" s="14" cm="1">
        <f t="array" ref="W180">CalculerCommissionAnnuelle(M180,Q180,L180,1.7%,2023)</f>
        <v>0</v>
      </c>
      <c r="X180" s="14" cm="1">
        <f t="array" ref="X180">CalculerCommissionAnnuelle(M180,Q180,L180,1.7%,2022)</f>
        <v>0</v>
      </c>
      <c r="Y180" s="14" cm="1">
        <f t="array" ref="Y180">CalculerCommissionAnnuelle(M180,Q180,L180,1.7%,2021)</f>
        <v>0</v>
      </c>
      <c r="Z180" s="19" t="str">
        <f t="shared" si="2"/>
        <v>GI</v>
      </c>
    </row>
    <row r="181" spans="1:26" s="1" customFormat="1" ht="18.149999999999999" customHeight="1" x14ac:dyDescent="0.25">
      <c r="A181" s="6" t="s">
        <v>330</v>
      </c>
      <c r="B181" s="6" t="s">
        <v>385</v>
      </c>
      <c r="C181" s="6" t="s">
        <v>386</v>
      </c>
      <c r="D181" s="6" t="s">
        <v>21</v>
      </c>
      <c r="E181" s="7"/>
      <c r="F181" s="6" t="s">
        <v>387</v>
      </c>
      <c r="G181" s="6" t="s">
        <v>390</v>
      </c>
      <c r="H181" s="8">
        <v>0</v>
      </c>
      <c r="I181" s="7">
        <v>45274</v>
      </c>
      <c r="J181" s="6" t="s">
        <v>29</v>
      </c>
      <c r="K181" s="6" t="s">
        <v>30</v>
      </c>
      <c r="L181" s="8">
        <v>72</v>
      </c>
      <c r="M181" s="11">
        <v>1350000000</v>
      </c>
      <c r="N181" s="8">
        <v>7463304</v>
      </c>
      <c r="O181" s="8">
        <v>7.25</v>
      </c>
      <c r="P181" s="6" t="s">
        <v>24</v>
      </c>
      <c r="Q181" s="7">
        <v>45671</v>
      </c>
      <c r="R181" s="7">
        <v>47831</v>
      </c>
      <c r="S181" s="7"/>
      <c r="T181" s="6" t="s">
        <v>28</v>
      </c>
      <c r="U181" s="6" t="s">
        <v>49</v>
      </c>
      <c r="V181" s="14" cm="1">
        <f t="array" ref="V181">CalculerCommissionAnnuelle(M181,Q181,L181,1.7%,2024)</f>
        <v>0</v>
      </c>
      <c r="W181" s="14" cm="1">
        <f t="array" ref="W181">CalculerCommissionAnnuelle(M181,Q181,L181,1.7%,2023)</f>
        <v>0</v>
      </c>
      <c r="X181" s="14" cm="1">
        <f t="array" ref="X181">CalculerCommissionAnnuelle(M181,Q181,L181,1.7%,2022)</f>
        <v>0</v>
      </c>
      <c r="Y181" s="14" cm="1">
        <f t="array" ref="Y181">CalculerCommissionAnnuelle(M181,Q181,L181,1.7%,2021)</f>
        <v>0</v>
      </c>
      <c r="Z181" s="19" t="str">
        <f t="shared" si="2"/>
        <v>GI</v>
      </c>
    </row>
    <row r="182" spans="1:26" s="1" customFormat="1" ht="18.149999999999999" customHeight="1" x14ac:dyDescent="0.25">
      <c r="A182" s="3" t="s">
        <v>26</v>
      </c>
      <c r="B182" s="3" t="s">
        <v>35</v>
      </c>
      <c r="C182" s="3" t="s">
        <v>36</v>
      </c>
      <c r="D182" s="3" t="s">
        <v>21</v>
      </c>
      <c r="E182" s="4">
        <v>22283</v>
      </c>
      <c r="F182" s="3" t="s">
        <v>37</v>
      </c>
      <c r="G182" s="3" t="s">
        <v>38</v>
      </c>
      <c r="H182" s="5">
        <v>0</v>
      </c>
      <c r="I182" s="16">
        <v>44320</v>
      </c>
      <c r="J182" s="3" t="s">
        <v>39</v>
      </c>
      <c r="K182" s="3" t="s">
        <v>40</v>
      </c>
      <c r="L182" s="5">
        <v>12</v>
      </c>
      <c r="M182" s="10">
        <v>75000000</v>
      </c>
      <c r="N182" s="5">
        <v>6551038</v>
      </c>
      <c r="O182" s="5">
        <v>7.5</v>
      </c>
      <c r="P182" s="3" t="s">
        <v>24</v>
      </c>
      <c r="Q182" s="4">
        <v>44350</v>
      </c>
      <c r="R182" s="4">
        <v>44684</v>
      </c>
      <c r="S182" s="4"/>
      <c r="T182" s="3" t="s">
        <v>25</v>
      </c>
      <c r="U182" s="3" t="s">
        <v>41</v>
      </c>
      <c r="V182" s="14" cm="1">
        <f t="array" ref="V182">CalculerCommissionAnnuelle(M182,Q182,L182,1.7%,2024)</f>
        <v>0</v>
      </c>
      <c r="W182" s="14" cm="1">
        <f t="array" ref="W182">CalculerCommissionAnnuelle(M182,Q182,L182,1.7%,2023)</f>
        <v>0</v>
      </c>
      <c r="X182" s="14" cm="1">
        <f t="array" ref="X182">CalculerCommissionAnnuelle(M182,Q182,L182,1.7%,2022)</f>
        <v>0</v>
      </c>
      <c r="Y182" s="14" cm="1">
        <f t="array" ref="Y182">CalculerCommissionAnnuelle(M182,Q182,L182,1.7%,2021)</f>
        <v>1912500.0000000002</v>
      </c>
      <c r="Z182" s="19" t="str">
        <f t="shared" si="2"/>
        <v>GP</v>
      </c>
    </row>
    <row r="183" spans="1:26" s="1" customFormat="1" ht="18.149999999999999" customHeight="1" x14ac:dyDescent="0.25">
      <c r="A183" s="6" t="s">
        <v>26</v>
      </c>
      <c r="B183" s="6" t="s">
        <v>35</v>
      </c>
      <c r="C183" s="6" t="s">
        <v>36</v>
      </c>
      <c r="D183" s="6" t="s">
        <v>21</v>
      </c>
      <c r="E183" s="7">
        <v>22283</v>
      </c>
      <c r="F183" s="6" t="s">
        <v>37</v>
      </c>
      <c r="G183" s="6" t="s">
        <v>42</v>
      </c>
      <c r="H183" s="8">
        <v>0</v>
      </c>
      <c r="I183" s="16">
        <v>44714</v>
      </c>
      <c r="J183" s="6" t="s">
        <v>39</v>
      </c>
      <c r="K183" s="6" t="s">
        <v>40</v>
      </c>
      <c r="L183" s="8">
        <v>12</v>
      </c>
      <c r="M183" s="11">
        <v>75000000</v>
      </c>
      <c r="N183" s="8">
        <v>6551038</v>
      </c>
      <c r="O183" s="8">
        <v>7.5</v>
      </c>
      <c r="P183" s="6" t="s">
        <v>24</v>
      </c>
      <c r="Q183" s="7">
        <v>44744</v>
      </c>
      <c r="R183" s="7">
        <v>45079</v>
      </c>
      <c r="S183" s="7"/>
      <c r="T183" s="6" t="s">
        <v>25</v>
      </c>
      <c r="U183" s="6" t="s">
        <v>41</v>
      </c>
      <c r="V183" s="14" cm="1">
        <f t="array" ref="V183">CalculerCommissionAnnuelle(M183,Q183,L183,1.7%,2024)</f>
        <v>0</v>
      </c>
      <c r="W183" s="14" cm="1">
        <f t="array" ref="W183">CalculerCommissionAnnuelle(M183,Q183,L183,1.7%,2023)</f>
        <v>106250.00000000001</v>
      </c>
      <c r="X183" s="14" cm="1">
        <f t="array" ref="X183">CalculerCommissionAnnuelle(M183,Q183,L183,1.7%,2022)</f>
        <v>743750</v>
      </c>
      <c r="Y183" s="14" cm="1">
        <f t="array" ref="Y183">CalculerCommissionAnnuelle(M183,Q183,L183,1.7%,2021)</f>
        <v>0</v>
      </c>
      <c r="Z183" s="19" t="str">
        <f t="shared" si="2"/>
        <v>GP</v>
      </c>
    </row>
    <row r="184" spans="1:26" s="1" customFormat="1" ht="18.149999999999999" customHeight="1" x14ac:dyDescent="0.25">
      <c r="A184" s="3" t="s">
        <v>26</v>
      </c>
      <c r="B184" s="3" t="s">
        <v>44</v>
      </c>
      <c r="C184" s="3" t="s">
        <v>45</v>
      </c>
      <c r="D184" s="3" t="s">
        <v>21</v>
      </c>
      <c r="E184" s="4"/>
      <c r="F184" s="3" t="s">
        <v>46</v>
      </c>
      <c r="G184" s="3" t="s">
        <v>48</v>
      </c>
      <c r="H184" s="5">
        <v>0</v>
      </c>
      <c r="I184" s="16">
        <v>44610</v>
      </c>
      <c r="J184" s="3" t="s">
        <v>39</v>
      </c>
      <c r="K184" s="3" t="s">
        <v>40</v>
      </c>
      <c r="L184" s="5">
        <v>12</v>
      </c>
      <c r="M184" s="10">
        <v>144000000</v>
      </c>
      <c r="N184" s="5">
        <v>12577993</v>
      </c>
      <c r="O184" s="5">
        <v>7.5</v>
      </c>
      <c r="P184" s="3" t="s">
        <v>24</v>
      </c>
      <c r="Q184" s="4">
        <v>44638</v>
      </c>
      <c r="R184" s="4">
        <v>44975</v>
      </c>
      <c r="S184" s="4"/>
      <c r="T184" s="3" t="s">
        <v>25</v>
      </c>
      <c r="U184" s="3" t="s">
        <v>47</v>
      </c>
      <c r="V184" s="14" cm="1">
        <f t="array" ref="V184">CalculerCommissionAnnuelle(M184,Q184,L184,1.7%,2024)</f>
        <v>0</v>
      </c>
      <c r="W184" s="14" cm="1">
        <f t="array" ref="W184">CalculerCommissionAnnuelle(M184,Q184,L184,1.7%,2023)</f>
        <v>0</v>
      </c>
      <c r="X184" s="14" cm="1">
        <f t="array" ref="X184">CalculerCommissionAnnuelle(M184,Q184,L184,1.7%,2022)</f>
        <v>2448000</v>
      </c>
      <c r="Y184" s="14" cm="1">
        <f t="array" ref="Y184">CalculerCommissionAnnuelle(M184,Q184,L184,1.7%,2021)</f>
        <v>0</v>
      </c>
      <c r="Z184" s="19" t="str">
        <f t="shared" si="2"/>
        <v>GP</v>
      </c>
    </row>
    <row r="185" spans="1:26" s="1" customFormat="1" ht="18.149999999999999" customHeight="1" x14ac:dyDescent="0.25">
      <c r="A185" s="6" t="s">
        <v>26</v>
      </c>
      <c r="B185" s="6" t="s">
        <v>79</v>
      </c>
      <c r="C185" s="6" t="s">
        <v>80</v>
      </c>
      <c r="D185" s="6" t="s">
        <v>21</v>
      </c>
      <c r="E185" s="7"/>
      <c r="F185" s="6" t="s">
        <v>81</v>
      </c>
      <c r="G185" s="6" t="s">
        <v>82</v>
      </c>
      <c r="H185" s="8">
        <v>0</v>
      </c>
      <c r="I185" s="16">
        <v>44361</v>
      </c>
      <c r="J185" s="6" t="s">
        <v>39</v>
      </c>
      <c r="K185" s="6" t="s">
        <v>40</v>
      </c>
      <c r="L185" s="8">
        <v>12</v>
      </c>
      <c r="M185" s="11">
        <v>100000000</v>
      </c>
      <c r="N185" s="8">
        <v>8707630</v>
      </c>
      <c r="O185" s="8">
        <v>7</v>
      </c>
      <c r="P185" s="6" t="s">
        <v>24</v>
      </c>
      <c r="Q185" s="7">
        <v>44391</v>
      </c>
      <c r="R185" s="7">
        <v>44726</v>
      </c>
      <c r="S185" s="7"/>
      <c r="T185" s="6" t="s">
        <v>25</v>
      </c>
      <c r="U185" s="6" t="s">
        <v>83</v>
      </c>
      <c r="V185" s="14" cm="1">
        <f t="array" ref="V185">CalculerCommissionAnnuelle(M185,Q185,L185,1.7%,2024)</f>
        <v>0</v>
      </c>
      <c r="W185" s="14" cm="1">
        <f t="array" ref="W185">CalculerCommissionAnnuelle(M185,Q185,L185,1.7%,2023)</f>
        <v>0</v>
      </c>
      <c r="X185" s="14" cm="1">
        <f t="array" ref="X185">CalculerCommissionAnnuelle(M185,Q185,L185,1.7%,2022)</f>
        <v>141666.66666666669</v>
      </c>
      <c r="Y185" s="14" cm="1">
        <f t="array" ref="Y185">CalculerCommissionAnnuelle(M185,Q185,L185,1.7%,2021)</f>
        <v>991666.66666666674</v>
      </c>
      <c r="Z185" s="19" t="str">
        <f t="shared" si="2"/>
        <v>GP</v>
      </c>
    </row>
    <row r="186" spans="1:26" s="1" customFormat="1" ht="18.149999999999999" customHeight="1" x14ac:dyDescent="0.25">
      <c r="A186" s="3" t="s">
        <v>26</v>
      </c>
      <c r="B186" s="3" t="s">
        <v>97</v>
      </c>
      <c r="C186" s="3" t="s">
        <v>98</v>
      </c>
      <c r="D186" s="3" t="s">
        <v>21</v>
      </c>
      <c r="E186" s="4"/>
      <c r="F186" s="3" t="s">
        <v>99</v>
      </c>
      <c r="G186" s="3" t="s">
        <v>100</v>
      </c>
      <c r="H186" s="5">
        <v>0</v>
      </c>
      <c r="I186" s="16">
        <v>44372</v>
      </c>
      <c r="J186" s="3" t="s">
        <v>39</v>
      </c>
      <c r="K186" s="3" t="s">
        <v>40</v>
      </c>
      <c r="L186" s="5">
        <v>24</v>
      </c>
      <c r="M186" s="10">
        <v>150000000</v>
      </c>
      <c r="N186" s="5">
        <v>6917932</v>
      </c>
      <c r="O186" s="5">
        <v>8.5</v>
      </c>
      <c r="P186" s="3" t="s">
        <v>24</v>
      </c>
      <c r="Q186" s="4">
        <v>44402</v>
      </c>
      <c r="R186" s="4">
        <v>45102</v>
      </c>
      <c r="S186" s="4"/>
      <c r="T186" s="3" t="s">
        <v>25</v>
      </c>
      <c r="U186" s="3" t="s">
        <v>41</v>
      </c>
      <c r="V186" s="14" cm="1">
        <f t="array" ref="V186">CalculerCommissionAnnuelle(M186,Q186,L186,1.7%,2024)</f>
        <v>0</v>
      </c>
      <c r="W186" s="14" cm="1">
        <f t="array" ref="W186">CalculerCommissionAnnuelle(M186,Q186,L186,1.7%,2023)</f>
        <v>106250.00000000001</v>
      </c>
      <c r="X186" s="14" cm="1">
        <f t="array" ref="X186">CalculerCommissionAnnuelle(M186,Q186,L186,1.7%,2022)</f>
        <v>2125000</v>
      </c>
      <c r="Y186" s="14" cm="1">
        <f t="array" ref="Y186">CalculerCommissionAnnuelle(M186,Q186,L186,1.7%,2021)</f>
        <v>2018750.0000000002</v>
      </c>
      <c r="Z186" s="19" t="str">
        <f t="shared" si="2"/>
        <v>GP</v>
      </c>
    </row>
    <row r="187" spans="1:26" s="1" customFormat="1" ht="18.149999999999999" customHeight="1" x14ac:dyDescent="0.25">
      <c r="A187" s="6" t="s">
        <v>26</v>
      </c>
      <c r="B187" s="6" t="s">
        <v>111</v>
      </c>
      <c r="C187" s="6" t="s">
        <v>112</v>
      </c>
      <c r="D187" s="6" t="s">
        <v>21</v>
      </c>
      <c r="E187" s="7"/>
      <c r="F187" s="6" t="s">
        <v>113</v>
      </c>
      <c r="G187" s="6" t="s">
        <v>114</v>
      </c>
      <c r="H187" s="8">
        <v>0</v>
      </c>
      <c r="I187" s="16">
        <v>44308</v>
      </c>
      <c r="J187" s="6" t="s">
        <v>22</v>
      </c>
      <c r="K187" s="6" t="s">
        <v>23</v>
      </c>
      <c r="L187" s="8">
        <v>24</v>
      </c>
      <c r="M187" s="11">
        <v>34850000</v>
      </c>
      <c r="N187" s="8">
        <v>1647012</v>
      </c>
      <c r="O187" s="8">
        <v>10</v>
      </c>
      <c r="P187" s="6" t="s">
        <v>24</v>
      </c>
      <c r="Q187" s="7">
        <v>44338</v>
      </c>
      <c r="R187" s="7">
        <v>45038</v>
      </c>
      <c r="S187" s="7"/>
      <c r="T187" s="6" t="s">
        <v>25</v>
      </c>
      <c r="U187" s="6" t="s">
        <v>61</v>
      </c>
      <c r="V187" s="14" cm="1">
        <f t="array" ref="V187">CalculerCommissionAnnuelle(M187,Q187,L187,1.7%,2024)</f>
        <v>0</v>
      </c>
      <c r="W187" s="14" cm="1">
        <f t="array" ref="W187">CalculerCommissionAnnuelle(M187,Q187,L187,1.7%,2023)</f>
        <v>0</v>
      </c>
      <c r="X187" s="14" cm="1">
        <f t="array" ref="X187">CalculerCommissionAnnuelle(M187,Q187,L187,1.7%,2022)</f>
        <v>394966.66666666669</v>
      </c>
      <c r="Y187" s="14" cm="1">
        <f t="array" ref="Y187">CalculerCommissionAnnuelle(M187,Q187,L187,1.7%,2021)</f>
        <v>987416.66666666674</v>
      </c>
      <c r="Z187" s="19" t="str">
        <f t="shared" si="2"/>
        <v>GP</v>
      </c>
    </row>
    <row r="188" spans="1:26" s="1" customFormat="1" ht="18.149999999999999" customHeight="1" x14ac:dyDescent="0.25">
      <c r="A188" s="3" t="s">
        <v>26</v>
      </c>
      <c r="B188" s="3" t="s">
        <v>119</v>
      </c>
      <c r="C188" s="3" t="s">
        <v>120</v>
      </c>
      <c r="D188" s="3" t="s">
        <v>21</v>
      </c>
      <c r="E188" s="4"/>
      <c r="F188" s="3" t="s">
        <v>121</v>
      </c>
      <c r="G188" s="3" t="s">
        <v>122</v>
      </c>
      <c r="H188" s="5">
        <v>0</v>
      </c>
      <c r="I188" s="16">
        <v>44609</v>
      </c>
      <c r="J188" s="3" t="s">
        <v>39</v>
      </c>
      <c r="K188" s="3" t="s">
        <v>40</v>
      </c>
      <c r="L188" s="5">
        <v>12</v>
      </c>
      <c r="M188" s="10">
        <v>132000000</v>
      </c>
      <c r="N188" s="5">
        <v>11529827</v>
      </c>
      <c r="O188" s="5">
        <v>7.5</v>
      </c>
      <c r="P188" s="3" t="s">
        <v>24</v>
      </c>
      <c r="Q188" s="4">
        <v>44637</v>
      </c>
      <c r="R188" s="4">
        <v>44974</v>
      </c>
      <c r="S188" s="4"/>
      <c r="T188" s="3" t="s">
        <v>25</v>
      </c>
      <c r="U188" s="3" t="s">
        <v>47</v>
      </c>
      <c r="V188" s="14" cm="1">
        <f t="array" ref="V188">CalculerCommissionAnnuelle(M188,Q188,L188,1.7%,2024)</f>
        <v>0</v>
      </c>
      <c r="W188" s="14" cm="1">
        <f t="array" ref="W188">CalculerCommissionAnnuelle(M188,Q188,L188,1.7%,2023)</f>
        <v>0</v>
      </c>
      <c r="X188" s="14" cm="1">
        <f t="array" ref="X188">CalculerCommissionAnnuelle(M188,Q188,L188,1.7%,2022)</f>
        <v>2244000</v>
      </c>
      <c r="Y188" s="14" cm="1">
        <f t="array" ref="Y188">CalculerCommissionAnnuelle(M188,Q188,L188,1.7%,2021)</f>
        <v>0</v>
      </c>
      <c r="Z188" s="19" t="str">
        <f t="shared" si="2"/>
        <v>GP</v>
      </c>
    </row>
    <row r="189" spans="1:26" s="1" customFormat="1" ht="18.149999999999999" customHeight="1" x14ac:dyDescent="0.25">
      <c r="A189" s="3" t="s">
        <v>26</v>
      </c>
      <c r="B189" s="3" t="s">
        <v>133</v>
      </c>
      <c r="C189" s="3" t="s">
        <v>134</v>
      </c>
      <c r="D189" s="3" t="s">
        <v>21</v>
      </c>
      <c r="E189" s="4"/>
      <c r="F189" s="3" t="s">
        <v>135</v>
      </c>
      <c r="G189" s="3" t="s">
        <v>136</v>
      </c>
      <c r="H189" s="5">
        <v>0</v>
      </c>
      <c r="I189" s="16">
        <v>44308</v>
      </c>
      <c r="J189" s="3" t="s">
        <v>59</v>
      </c>
      <c r="K189" s="3" t="s">
        <v>60</v>
      </c>
      <c r="L189" s="5">
        <v>36</v>
      </c>
      <c r="M189" s="10">
        <v>5000000</v>
      </c>
      <c r="N189" s="5">
        <v>166998</v>
      </c>
      <c r="O189" s="5">
        <v>9.99</v>
      </c>
      <c r="P189" s="3" t="s">
        <v>24</v>
      </c>
      <c r="Q189" s="4">
        <v>44338</v>
      </c>
      <c r="R189" s="4">
        <v>45404</v>
      </c>
      <c r="S189" s="4"/>
      <c r="T189" s="3" t="s">
        <v>28</v>
      </c>
      <c r="U189" s="3" t="s">
        <v>127</v>
      </c>
      <c r="V189" s="14" cm="1">
        <f t="array" ref="V189">CalculerCommissionAnnuelle(M189,Q189,L189,1.7%,2024)</f>
        <v>0</v>
      </c>
      <c r="W189" s="14" cm="1">
        <f t="array" ref="W189">CalculerCommissionAnnuelle(M189,Q189,L189,1.7%,2023)</f>
        <v>37777.777777777781</v>
      </c>
      <c r="X189" s="14" cm="1">
        <f t="array" ref="X189">CalculerCommissionAnnuelle(M189,Q189,L189,1.7%,2022)</f>
        <v>94444.444444444453</v>
      </c>
      <c r="Y189" s="14" cm="1">
        <f t="array" ref="Y189">CalculerCommissionAnnuelle(M189,Q189,L189,1.7%,2021)</f>
        <v>151111.11111111112</v>
      </c>
      <c r="Z189" s="19" t="str">
        <f t="shared" si="2"/>
        <v>GP</v>
      </c>
    </row>
    <row r="190" spans="1:26" s="1" customFormat="1" ht="18.149999999999999" customHeight="1" x14ac:dyDescent="0.25">
      <c r="A190" s="3" t="s">
        <v>26</v>
      </c>
      <c r="B190" s="3" t="s">
        <v>162</v>
      </c>
      <c r="C190" s="3" t="s">
        <v>163</v>
      </c>
      <c r="D190" s="3" t="s">
        <v>21</v>
      </c>
      <c r="E190" s="4"/>
      <c r="F190" s="3" t="s">
        <v>164</v>
      </c>
      <c r="G190" s="3" t="s">
        <v>165</v>
      </c>
      <c r="H190" s="5">
        <v>0</v>
      </c>
      <c r="I190" s="16">
        <v>44385</v>
      </c>
      <c r="J190" s="3" t="s">
        <v>39</v>
      </c>
      <c r="K190" s="3" t="s">
        <v>40</v>
      </c>
      <c r="L190" s="5">
        <v>24</v>
      </c>
      <c r="M190" s="10">
        <v>350000000</v>
      </c>
      <c r="N190" s="5">
        <v>15766573</v>
      </c>
      <c r="O190" s="5">
        <v>6.5</v>
      </c>
      <c r="P190" s="3" t="s">
        <v>24</v>
      </c>
      <c r="Q190" s="4">
        <v>44416</v>
      </c>
      <c r="R190" s="4">
        <v>45115</v>
      </c>
      <c r="S190" s="4"/>
      <c r="T190" s="3" t="s">
        <v>25</v>
      </c>
      <c r="U190" s="3" t="s">
        <v>141</v>
      </c>
      <c r="V190" s="14" cm="1">
        <f t="array" ref="V190">CalculerCommissionAnnuelle(M190,Q190,L190,1.7%,2024)</f>
        <v>0</v>
      </c>
      <c r="W190" s="14" cm="1">
        <f t="array" ref="W190">CalculerCommissionAnnuelle(M190,Q190,L190,1.7%,2023)</f>
        <v>495833.33333333337</v>
      </c>
      <c r="X190" s="14" cm="1">
        <f t="array" ref="X190">CalculerCommissionAnnuelle(M190,Q190,L190,1.7%,2022)</f>
        <v>5454166.666666667</v>
      </c>
      <c r="Y190" s="14" cm="1">
        <f t="array" ref="Y190">CalculerCommissionAnnuelle(M190,Q190,L190,1.7%,2021)</f>
        <v>4958333.333333334</v>
      </c>
      <c r="Z190" s="19" t="str">
        <f t="shared" si="2"/>
        <v>GI</v>
      </c>
    </row>
    <row r="191" spans="1:26" s="1" customFormat="1" ht="18.149999999999999" customHeight="1" x14ac:dyDescent="0.25">
      <c r="A191" s="3" t="s">
        <v>26</v>
      </c>
      <c r="B191" s="3" t="s">
        <v>179</v>
      </c>
      <c r="C191" s="3" t="s">
        <v>180</v>
      </c>
      <c r="D191" s="3" t="s">
        <v>21</v>
      </c>
      <c r="E191" s="4"/>
      <c r="F191" s="3" t="s">
        <v>181</v>
      </c>
      <c r="G191" s="3" t="s">
        <v>182</v>
      </c>
      <c r="H191" s="5">
        <v>0</v>
      </c>
      <c r="I191" s="16">
        <v>44230</v>
      </c>
      <c r="J191" s="3" t="s">
        <v>59</v>
      </c>
      <c r="K191" s="3" t="s">
        <v>60</v>
      </c>
      <c r="L191" s="5">
        <v>36</v>
      </c>
      <c r="M191" s="10">
        <v>30000000</v>
      </c>
      <c r="N191" s="5">
        <v>1001988</v>
      </c>
      <c r="O191" s="5">
        <v>9.99</v>
      </c>
      <c r="P191" s="3" t="s">
        <v>24</v>
      </c>
      <c r="Q191" s="4">
        <v>44258</v>
      </c>
      <c r="R191" s="4">
        <v>45325</v>
      </c>
      <c r="S191" s="4"/>
      <c r="T191" s="3" t="s">
        <v>25</v>
      </c>
      <c r="U191" s="3" t="s">
        <v>127</v>
      </c>
      <c r="V191" s="14" cm="1">
        <f t="array" ref="V191">CalculerCommissionAnnuelle(M191,Q191,L191,1.7%,2024)</f>
        <v>0</v>
      </c>
      <c r="W191" s="14" cm="1">
        <f t="array" ref="W191">CalculerCommissionAnnuelle(M191,Q191,L191,1.7%,2023)</f>
        <v>170000</v>
      </c>
      <c r="X191" s="14" cm="1">
        <f t="array" ref="X191">CalculerCommissionAnnuelle(M191,Q191,L191,1.7%,2022)</f>
        <v>510000.00000000006</v>
      </c>
      <c r="Y191" s="14" cm="1">
        <f t="array" ref="Y191">CalculerCommissionAnnuelle(M191,Q191,L191,1.7%,2021)</f>
        <v>850000.00000000012</v>
      </c>
      <c r="Z191" s="19" t="str">
        <f t="shared" si="2"/>
        <v>GP</v>
      </c>
    </row>
    <row r="192" spans="1:26" s="1" customFormat="1" ht="18.149999999999999" customHeight="1" x14ac:dyDescent="0.25">
      <c r="A192" s="3" t="s">
        <v>26</v>
      </c>
      <c r="B192" s="3" t="s">
        <v>191</v>
      </c>
      <c r="C192" s="3" t="s">
        <v>192</v>
      </c>
      <c r="D192" s="3" t="s">
        <v>21</v>
      </c>
      <c r="E192" s="4"/>
      <c r="F192" s="3" t="s">
        <v>193</v>
      </c>
      <c r="G192" s="3" t="s">
        <v>194</v>
      </c>
      <c r="H192" s="5">
        <v>0</v>
      </c>
      <c r="I192" s="16">
        <v>44210</v>
      </c>
      <c r="J192" s="3" t="s">
        <v>39</v>
      </c>
      <c r="K192" s="3" t="s">
        <v>40</v>
      </c>
      <c r="L192" s="5">
        <v>1</v>
      </c>
      <c r="M192" s="10">
        <v>4919677500</v>
      </c>
      <c r="N192" s="5">
        <v>5142723379</v>
      </c>
      <c r="O192" s="5">
        <v>7.75</v>
      </c>
      <c r="P192" s="3" t="s">
        <v>24</v>
      </c>
      <c r="Q192" s="4">
        <v>44391</v>
      </c>
      <c r="R192" s="4">
        <v>44391</v>
      </c>
      <c r="S192" s="4">
        <v>44390</v>
      </c>
      <c r="T192" s="3" t="s">
        <v>25</v>
      </c>
      <c r="U192" s="3" t="s">
        <v>27</v>
      </c>
      <c r="V192" s="14" cm="1">
        <f t="array" ref="V192">CalculerCommissionAnnuelle(M192,Q192,L192,1.7%,2024)</f>
        <v>0</v>
      </c>
      <c r="W192" s="14" cm="1">
        <f t="array" ref="W192">CalculerCommissionAnnuelle(M192,Q192,L192,1.7%,2023)</f>
        <v>0</v>
      </c>
      <c r="X192" s="14" cm="1">
        <f t="array" ref="X192">CalculerCommissionAnnuelle(M192,Q192,L192,1.7%,2022)</f>
        <v>0</v>
      </c>
      <c r="Y192" s="14" cm="1">
        <f t="array" ref="Y192">CalculerCommissionAnnuelle(M192,Q192,L192,1.7%,2021)</f>
        <v>0</v>
      </c>
      <c r="Z192" s="19" t="str">
        <f t="shared" si="2"/>
        <v>GI</v>
      </c>
    </row>
    <row r="193" spans="1:26" s="1" customFormat="1" ht="18.149999999999999" customHeight="1" x14ac:dyDescent="0.25">
      <c r="A193" s="3" t="s">
        <v>26</v>
      </c>
      <c r="B193" s="3" t="s">
        <v>199</v>
      </c>
      <c r="C193" s="3" t="s">
        <v>200</v>
      </c>
      <c r="D193" s="3" t="s">
        <v>21</v>
      </c>
      <c r="E193" s="4"/>
      <c r="F193" s="3" t="s">
        <v>201</v>
      </c>
      <c r="G193" s="3" t="s">
        <v>202</v>
      </c>
      <c r="H193" s="5">
        <v>0</v>
      </c>
      <c r="I193" s="16">
        <v>44210</v>
      </c>
      <c r="J193" s="3" t="s">
        <v>39</v>
      </c>
      <c r="K193" s="3" t="s">
        <v>40</v>
      </c>
      <c r="L193" s="5">
        <v>1</v>
      </c>
      <c r="M193" s="10">
        <v>3279785000</v>
      </c>
      <c r="N193" s="5">
        <v>3502830879</v>
      </c>
      <c r="O193" s="5">
        <v>7.75</v>
      </c>
      <c r="P193" s="3" t="s">
        <v>24</v>
      </c>
      <c r="Q193" s="4">
        <v>44483</v>
      </c>
      <c r="R193" s="4">
        <v>44483</v>
      </c>
      <c r="S193" s="4">
        <v>44390</v>
      </c>
      <c r="T193" s="3" t="s">
        <v>25</v>
      </c>
      <c r="U193" s="3" t="s">
        <v>27</v>
      </c>
      <c r="V193" s="14" cm="1">
        <f t="array" ref="V193">CalculerCommissionAnnuelle(M193,Q193,L193,1.7%,2024)</f>
        <v>0</v>
      </c>
      <c r="W193" s="14" cm="1">
        <f t="array" ref="W193">CalculerCommissionAnnuelle(M193,Q193,L193,1.7%,2023)</f>
        <v>0</v>
      </c>
      <c r="X193" s="14" cm="1">
        <f t="array" ref="X193">CalculerCommissionAnnuelle(M193,Q193,L193,1.7%,2022)</f>
        <v>0</v>
      </c>
      <c r="Y193" s="14" cm="1">
        <f t="array" ref="Y193">CalculerCommissionAnnuelle(M193,Q193,L193,1.7%,2021)</f>
        <v>0</v>
      </c>
      <c r="Z193" s="19" t="str">
        <f t="shared" si="2"/>
        <v>GI</v>
      </c>
    </row>
    <row r="194" spans="1:26" s="1" customFormat="1" ht="18.149999999999999" customHeight="1" x14ac:dyDescent="0.25">
      <c r="A194" s="3" t="s">
        <v>26</v>
      </c>
      <c r="B194" s="3" t="s">
        <v>209</v>
      </c>
      <c r="C194" s="3" t="s">
        <v>210</v>
      </c>
      <c r="D194" s="3" t="s">
        <v>21</v>
      </c>
      <c r="E194" s="4"/>
      <c r="F194" s="3" t="s">
        <v>211</v>
      </c>
      <c r="G194" s="3" t="s">
        <v>212</v>
      </c>
      <c r="H194" s="5">
        <v>0</v>
      </c>
      <c r="I194" s="4">
        <v>44727</v>
      </c>
      <c r="J194" s="3" t="s">
        <v>29</v>
      </c>
      <c r="K194" s="3" t="s">
        <v>30</v>
      </c>
      <c r="L194" s="5">
        <v>4</v>
      </c>
      <c r="M194" s="10">
        <v>2000000000</v>
      </c>
      <c r="N194" s="5">
        <v>552214205</v>
      </c>
      <c r="O194" s="5">
        <v>7</v>
      </c>
      <c r="P194" s="3" t="s">
        <v>24</v>
      </c>
      <c r="Q194" s="4">
        <v>45306</v>
      </c>
      <c r="R194" s="4">
        <v>45853</v>
      </c>
      <c r="S194" s="4"/>
      <c r="T194" s="3" t="s">
        <v>28</v>
      </c>
      <c r="U194" s="3" t="s">
        <v>141</v>
      </c>
      <c r="V194" s="14" cm="1">
        <f t="array" ref="V194">CalculerCommissionAnnuelle(M194,Q194,L194,1.7%,2024)</f>
        <v>0</v>
      </c>
      <c r="W194" s="14" cm="1">
        <f t="array" ref="W194">CalculerCommissionAnnuelle(M194,Q194,L194,1.7%,2023)</f>
        <v>0</v>
      </c>
      <c r="X194" s="14" cm="1">
        <f t="array" ref="X194">CalculerCommissionAnnuelle(M194,Q194,L194,1.7%,2022)</f>
        <v>0</v>
      </c>
      <c r="Y194" s="14" cm="1">
        <f t="array" ref="Y194">CalculerCommissionAnnuelle(M194,Q194,L194,1.7%,2021)</f>
        <v>0</v>
      </c>
      <c r="Z194" s="19" t="str">
        <f t="shared" ref="Z194:Z260" si="3">IF(M194&lt;=200000000,"GP","GI")</f>
        <v>GI</v>
      </c>
    </row>
    <row r="195" spans="1:26" s="1" customFormat="1" ht="17.399999999999999" customHeight="1" x14ac:dyDescent="0.25">
      <c r="A195" s="6" t="s">
        <v>26</v>
      </c>
      <c r="B195" s="6" t="s">
        <v>213</v>
      </c>
      <c r="C195" s="6" t="s">
        <v>214</v>
      </c>
      <c r="D195" s="6" t="s">
        <v>21</v>
      </c>
      <c r="E195" s="7"/>
      <c r="F195" s="6" t="s">
        <v>215</v>
      </c>
      <c r="G195" s="6" t="s">
        <v>216</v>
      </c>
      <c r="H195" s="8">
        <v>0</v>
      </c>
      <c r="I195" s="16">
        <v>44554</v>
      </c>
      <c r="J195" s="6" t="s">
        <v>39</v>
      </c>
      <c r="K195" s="6" t="s">
        <v>40</v>
      </c>
      <c r="L195" s="8">
        <v>12</v>
      </c>
      <c r="M195" s="11">
        <v>100000000</v>
      </c>
      <c r="N195" s="8">
        <v>8734717</v>
      </c>
      <c r="O195" s="8">
        <v>7.5</v>
      </c>
      <c r="P195" s="6" t="s">
        <v>24</v>
      </c>
      <c r="Q195" s="7">
        <v>44585</v>
      </c>
      <c r="R195" s="7">
        <v>44919</v>
      </c>
      <c r="S195" s="7"/>
      <c r="T195" s="6" t="s">
        <v>25</v>
      </c>
      <c r="U195" s="6" t="s">
        <v>41</v>
      </c>
      <c r="V195" s="14" cm="1">
        <f t="array" ref="V195">CalculerCommissionAnnuelle(M195,Q195,L195,1.7%,2024)</f>
        <v>0</v>
      </c>
      <c r="W195" s="14" cm="1">
        <f t="array" ref="W195">CalculerCommissionAnnuelle(M195,Q195,L195,1.7%,2023)</f>
        <v>0</v>
      </c>
      <c r="X195" s="14" cm="1">
        <f t="array" ref="X195">CalculerCommissionAnnuelle(M195,Q195,L195,1.7%,2022)</f>
        <v>1133333.3333333335</v>
      </c>
      <c r="Y195" s="14" cm="1">
        <f t="array" ref="Y195">CalculerCommissionAnnuelle(M195,Q195,L195,1.7%,2021)</f>
        <v>0</v>
      </c>
      <c r="Z195" s="19" t="str">
        <f t="shared" si="3"/>
        <v>GP</v>
      </c>
    </row>
    <row r="196" spans="1:26" s="1" customFormat="1" ht="18.149999999999999" customHeight="1" x14ac:dyDescent="0.25">
      <c r="A196" s="6" t="s">
        <v>26</v>
      </c>
      <c r="B196" s="6" t="s">
        <v>237</v>
      </c>
      <c r="C196" s="6" t="s">
        <v>238</v>
      </c>
      <c r="D196" s="6" t="s">
        <v>21</v>
      </c>
      <c r="E196" s="7"/>
      <c r="F196" s="6" t="s">
        <v>239</v>
      </c>
      <c r="G196" s="6" t="s">
        <v>240</v>
      </c>
      <c r="H196" s="8">
        <v>0</v>
      </c>
      <c r="I196" s="16">
        <v>44447</v>
      </c>
      <c r="J196" s="6" t="s">
        <v>22</v>
      </c>
      <c r="K196" s="6" t="s">
        <v>23</v>
      </c>
      <c r="L196" s="8">
        <v>12</v>
      </c>
      <c r="M196" s="11">
        <v>40000000</v>
      </c>
      <c r="N196" s="8">
        <v>3537194</v>
      </c>
      <c r="O196" s="8">
        <v>9.49</v>
      </c>
      <c r="P196" s="6" t="s">
        <v>24</v>
      </c>
      <c r="Q196" s="7">
        <v>44477</v>
      </c>
      <c r="R196" s="7">
        <v>44812</v>
      </c>
      <c r="S196" s="7"/>
      <c r="T196" s="6" t="s">
        <v>25</v>
      </c>
      <c r="U196" s="6" t="s">
        <v>151</v>
      </c>
      <c r="V196" s="14" cm="1">
        <f t="array" ref="V196">CalculerCommissionAnnuelle(M196,Q196,L196,1.7%,2024)</f>
        <v>0</v>
      </c>
      <c r="W196" s="14" cm="1">
        <f t="array" ref="W196">CalculerCommissionAnnuelle(M196,Q196,L196,1.7%,2023)</f>
        <v>0</v>
      </c>
      <c r="X196" s="14" cm="1">
        <f t="array" ref="X196">CalculerCommissionAnnuelle(M196,Q196,L196,1.7%,2022)</f>
        <v>226666.66666666669</v>
      </c>
      <c r="Y196" s="14" cm="1">
        <f t="array" ref="Y196">CalculerCommissionAnnuelle(M196,Q196,L196,1.7%,2021)</f>
        <v>566666.66666666674</v>
      </c>
      <c r="Z196" s="19" t="str">
        <f t="shared" si="3"/>
        <v>GP</v>
      </c>
    </row>
    <row r="197" spans="1:26" s="1" customFormat="1" ht="18.149999999999999" customHeight="1" x14ac:dyDescent="0.25">
      <c r="A197" s="3" t="s">
        <v>26</v>
      </c>
      <c r="B197" s="3" t="s">
        <v>237</v>
      </c>
      <c r="C197" s="3" t="s">
        <v>238</v>
      </c>
      <c r="D197" s="3" t="s">
        <v>21</v>
      </c>
      <c r="E197" s="4"/>
      <c r="F197" s="3" t="s">
        <v>239</v>
      </c>
      <c r="G197" s="3" t="s">
        <v>241</v>
      </c>
      <c r="H197" s="5">
        <v>0</v>
      </c>
      <c r="I197" s="16">
        <v>44775</v>
      </c>
      <c r="J197" s="3" t="s">
        <v>22</v>
      </c>
      <c r="K197" s="3" t="s">
        <v>23</v>
      </c>
      <c r="L197" s="5">
        <v>12</v>
      </c>
      <c r="M197" s="10">
        <v>30000000</v>
      </c>
      <c r="N197" s="5">
        <v>2694178</v>
      </c>
      <c r="O197" s="5">
        <v>12</v>
      </c>
      <c r="P197" s="3" t="s">
        <v>24</v>
      </c>
      <c r="Q197" s="4">
        <v>44806</v>
      </c>
      <c r="R197" s="4">
        <v>45140</v>
      </c>
      <c r="S197" s="4"/>
      <c r="T197" s="3" t="s">
        <v>25</v>
      </c>
      <c r="U197" s="3" t="s">
        <v>151</v>
      </c>
      <c r="V197" s="14" cm="1">
        <f t="array" ref="V197">CalculerCommissionAnnuelle(M197,Q197,L197,1.7%,2024)</f>
        <v>0</v>
      </c>
      <c r="W197" s="14" cm="1">
        <f t="array" ref="W197">CalculerCommissionAnnuelle(M197,Q197,L197,1.7%,2023)</f>
        <v>127500.00000000001</v>
      </c>
      <c r="X197" s="14" cm="1">
        <f t="array" ref="X197">CalculerCommissionAnnuelle(M197,Q197,L197,1.7%,2022)</f>
        <v>382500</v>
      </c>
      <c r="Y197" s="14" cm="1">
        <f t="array" ref="Y197">CalculerCommissionAnnuelle(M197,Q197,L197,1.7%,2021)</f>
        <v>0</v>
      </c>
      <c r="Z197" s="19" t="str">
        <f t="shared" si="3"/>
        <v>GP</v>
      </c>
    </row>
    <row r="198" spans="1:26" s="1" customFormat="1" ht="18.149999999999999" customHeight="1" x14ac:dyDescent="0.25">
      <c r="A198" s="3" t="s">
        <v>26</v>
      </c>
      <c r="B198" s="3" t="s">
        <v>243</v>
      </c>
      <c r="C198" s="3" t="s">
        <v>244</v>
      </c>
      <c r="D198" s="3" t="s">
        <v>21</v>
      </c>
      <c r="E198" s="4"/>
      <c r="F198" s="3" t="s">
        <v>245</v>
      </c>
      <c r="G198" s="3" t="s">
        <v>246</v>
      </c>
      <c r="H198" s="5">
        <v>0</v>
      </c>
      <c r="I198" s="16">
        <v>44553</v>
      </c>
      <c r="J198" s="3" t="s">
        <v>39</v>
      </c>
      <c r="K198" s="3" t="s">
        <v>40</v>
      </c>
      <c r="L198" s="5">
        <v>24</v>
      </c>
      <c r="M198" s="10">
        <v>150000000</v>
      </c>
      <c r="N198" s="5">
        <v>6917932</v>
      </c>
      <c r="O198" s="5">
        <v>8.5</v>
      </c>
      <c r="P198" s="3" t="s">
        <v>24</v>
      </c>
      <c r="Q198" s="4">
        <v>44584</v>
      </c>
      <c r="R198" s="4">
        <v>45283</v>
      </c>
      <c r="S198" s="4"/>
      <c r="T198" s="3" t="s">
        <v>25</v>
      </c>
      <c r="U198" s="3" t="s">
        <v>247</v>
      </c>
      <c r="V198" s="14" cm="1">
        <f t="array" ref="V198">CalculerCommissionAnnuelle(M198,Q198,L198,1.7%,2024)</f>
        <v>0</v>
      </c>
      <c r="W198" s="14" cm="1">
        <f t="array" ref="W198">CalculerCommissionAnnuelle(M198,Q198,L198,1.7%,2023)</f>
        <v>850000.00000000012</v>
      </c>
      <c r="X198" s="14" cm="1">
        <f t="array" ref="X198">CalculerCommissionAnnuelle(M198,Q198,L198,1.7%,2022)</f>
        <v>3400000.0000000005</v>
      </c>
      <c r="Y198" s="14" cm="1">
        <f t="array" ref="Y198">CalculerCommissionAnnuelle(M198,Q198,L198,1.7%,2021)</f>
        <v>0</v>
      </c>
      <c r="Z198" s="19" t="str">
        <f t="shared" si="3"/>
        <v>GP</v>
      </c>
    </row>
    <row r="199" spans="1:26" s="1" customFormat="1" ht="18.149999999999999" customHeight="1" x14ac:dyDescent="0.25">
      <c r="A199" s="3" t="s">
        <v>257</v>
      </c>
      <c r="B199" s="3" t="s">
        <v>286</v>
      </c>
      <c r="C199" s="3" t="s">
        <v>287</v>
      </c>
      <c r="D199" s="3" t="s">
        <v>21</v>
      </c>
      <c r="E199" s="4">
        <v>24117</v>
      </c>
      <c r="F199" s="3" t="s">
        <v>288</v>
      </c>
      <c r="G199" s="3" t="s">
        <v>289</v>
      </c>
      <c r="H199" s="5">
        <v>0</v>
      </c>
      <c r="I199" s="16">
        <v>44606</v>
      </c>
      <c r="J199" s="3" t="s">
        <v>22</v>
      </c>
      <c r="K199" s="3" t="s">
        <v>23</v>
      </c>
      <c r="L199" s="5">
        <v>19</v>
      </c>
      <c r="M199" s="10">
        <v>50000000</v>
      </c>
      <c r="N199" s="5">
        <v>3085670</v>
      </c>
      <c r="O199" s="5">
        <v>11</v>
      </c>
      <c r="P199" s="3" t="s">
        <v>24</v>
      </c>
      <c r="Q199" s="4">
        <v>44634</v>
      </c>
      <c r="R199" s="4">
        <v>45152</v>
      </c>
      <c r="S199" s="4">
        <v>45223</v>
      </c>
      <c r="T199" s="3" t="s">
        <v>25</v>
      </c>
      <c r="U199" s="3" t="s">
        <v>262</v>
      </c>
      <c r="V199" s="14" cm="1">
        <f t="array" ref="V199">CalculerCommissionAnnuelle(M199,Q199,L199,1.7%,2024)</f>
        <v>0</v>
      </c>
      <c r="W199" s="14" cm="1">
        <f t="array" ref="W199">CalculerCommissionAnnuelle(M199,Q199,L199,1.7%,2023)</f>
        <v>178947.36842105264</v>
      </c>
      <c r="X199" s="14" cm="1">
        <f t="array" ref="X199">CalculerCommissionAnnuelle(M199,Q199,L199,1.7%,2022)</f>
        <v>1163157.8947368423</v>
      </c>
      <c r="Y199" s="14" cm="1">
        <f t="array" ref="Y199">CalculerCommissionAnnuelle(M199,Q199,L199,1.7%,2021)</f>
        <v>0</v>
      </c>
      <c r="Z199" s="19" t="str">
        <f t="shared" si="3"/>
        <v>GP</v>
      </c>
    </row>
    <row r="200" spans="1:26" s="1" customFormat="1" ht="18.149999999999999" customHeight="1" x14ac:dyDescent="0.25">
      <c r="A200" s="3" t="s">
        <v>305</v>
      </c>
      <c r="B200" s="3" t="s">
        <v>306</v>
      </c>
      <c r="C200" s="3" t="s">
        <v>307</v>
      </c>
      <c r="D200" s="3" t="s">
        <v>21</v>
      </c>
      <c r="E200" s="4"/>
      <c r="F200" s="3" t="s">
        <v>308</v>
      </c>
      <c r="G200" s="3" t="s">
        <v>309</v>
      </c>
      <c r="H200" s="5">
        <v>0</v>
      </c>
      <c r="I200" s="16">
        <v>44342</v>
      </c>
      <c r="J200" s="3" t="s">
        <v>22</v>
      </c>
      <c r="K200" s="3" t="s">
        <v>23</v>
      </c>
      <c r="L200" s="5">
        <v>24</v>
      </c>
      <c r="M200" s="10">
        <v>27000000</v>
      </c>
      <c r="N200" s="5">
        <v>1281981</v>
      </c>
      <c r="O200" s="5">
        <v>11</v>
      </c>
      <c r="P200" s="3" t="s">
        <v>24</v>
      </c>
      <c r="Q200" s="4">
        <v>44372</v>
      </c>
      <c r="R200" s="4">
        <v>45071</v>
      </c>
      <c r="S200" s="4">
        <v>44917</v>
      </c>
      <c r="T200" s="3" t="s">
        <v>25</v>
      </c>
      <c r="U200" s="3" t="s">
        <v>310</v>
      </c>
      <c r="V200" s="14" cm="1">
        <f t="array" ref="V200">CalculerCommissionAnnuelle(M200,Q200,L200,1.7%,2024)</f>
        <v>0</v>
      </c>
      <c r="W200" s="14" cm="1">
        <f t="array" ref="W200">CalculerCommissionAnnuelle(M200,Q200,L200,1.7%,2023)</f>
        <v>0</v>
      </c>
      <c r="X200" s="14" cm="1">
        <f t="array" ref="X200">CalculerCommissionAnnuelle(M200,Q200,L200,1.7%,2022)</f>
        <v>344250</v>
      </c>
      <c r="Y200" s="14" cm="1">
        <f t="array" ref="Y200">CalculerCommissionAnnuelle(M200,Q200,L200,1.7%,2021)</f>
        <v>803250</v>
      </c>
      <c r="Z200" s="19" t="str">
        <f t="shared" si="3"/>
        <v>GP</v>
      </c>
    </row>
    <row r="201" spans="1:26" s="1" customFormat="1" ht="18.149999999999999" customHeight="1" x14ac:dyDescent="0.25">
      <c r="A201" s="3" t="s">
        <v>315</v>
      </c>
      <c r="B201" s="3" t="s">
        <v>316</v>
      </c>
      <c r="C201" s="3" t="s">
        <v>317</v>
      </c>
      <c r="D201" s="3" t="s">
        <v>21</v>
      </c>
      <c r="E201" s="4"/>
      <c r="F201" s="3" t="s">
        <v>318</v>
      </c>
      <c r="G201" s="3" t="s">
        <v>319</v>
      </c>
      <c r="H201" s="5">
        <v>0</v>
      </c>
      <c r="I201" s="16">
        <v>44424</v>
      </c>
      <c r="J201" s="3" t="s">
        <v>22</v>
      </c>
      <c r="K201" s="3" t="s">
        <v>23</v>
      </c>
      <c r="L201" s="5">
        <v>12</v>
      </c>
      <c r="M201" s="10">
        <v>2000000</v>
      </c>
      <c r="N201" s="5">
        <v>177524</v>
      </c>
      <c r="O201" s="5">
        <v>9.5</v>
      </c>
      <c r="P201" s="3" t="s">
        <v>24</v>
      </c>
      <c r="Q201" s="4">
        <v>44455</v>
      </c>
      <c r="R201" s="4">
        <v>44789</v>
      </c>
      <c r="S201" s="4"/>
      <c r="T201" s="3" t="s">
        <v>25</v>
      </c>
      <c r="U201" s="3" t="s">
        <v>320</v>
      </c>
      <c r="V201" s="14" cm="1">
        <f t="array" ref="V201">CalculerCommissionAnnuelle(M201,Q201,L201,1.7%,2024)</f>
        <v>0</v>
      </c>
      <c r="W201" s="14" cm="1">
        <f t="array" ref="W201">CalculerCommissionAnnuelle(M201,Q201,L201,1.7%,2023)</f>
        <v>0</v>
      </c>
      <c r="X201" s="14" cm="1">
        <f t="array" ref="X201">CalculerCommissionAnnuelle(M201,Q201,L201,1.7%,2022)</f>
        <v>8500</v>
      </c>
      <c r="Y201" s="14" cm="1">
        <f t="array" ref="Y201">CalculerCommissionAnnuelle(M201,Q201,L201,1.7%,2021)</f>
        <v>25500.000000000004</v>
      </c>
      <c r="Z201" s="19" t="str">
        <f t="shared" si="3"/>
        <v>GP</v>
      </c>
    </row>
    <row r="202" spans="1:26" s="1" customFormat="1" ht="18.149999999999999" customHeight="1" x14ac:dyDescent="0.25">
      <c r="A202" s="6" t="s">
        <v>330</v>
      </c>
      <c r="B202" s="6" t="s">
        <v>335</v>
      </c>
      <c r="C202" s="6" t="s">
        <v>336</v>
      </c>
      <c r="D202" s="6" t="s">
        <v>21</v>
      </c>
      <c r="E202" s="7"/>
      <c r="F202" s="6" t="s">
        <v>337</v>
      </c>
      <c r="G202" s="6" t="s">
        <v>338</v>
      </c>
      <c r="H202" s="8">
        <v>0</v>
      </c>
      <c r="I202" s="16">
        <v>44469</v>
      </c>
      <c r="J202" s="6" t="s">
        <v>39</v>
      </c>
      <c r="K202" s="6" t="s">
        <v>40</v>
      </c>
      <c r="L202" s="8">
        <v>12</v>
      </c>
      <c r="M202" s="11">
        <v>100000000</v>
      </c>
      <c r="N202" s="8">
        <v>8707630</v>
      </c>
      <c r="O202" s="8">
        <v>7</v>
      </c>
      <c r="P202" s="6" t="s">
        <v>24</v>
      </c>
      <c r="Q202" s="7">
        <v>44499</v>
      </c>
      <c r="R202" s="7">
        <v>44834</v>
      </c>
      <c r="S202" s="7"/>
      <c r="T202" s="6" t="s">
        <v>25</v>
      </c>
      <c r="U202" s="6" t="s">
        <v>72</v>
      </c>
      <c r="V202" s="14" cm="1">
        <f t="array" ref="V202">CalculerCommissionAnnuelle(M202,Q202,L202,1.7%,2024)</f>
        <v>0</v>
      </c>
      <c r="W202" s="14" cm="1">
        <f t="array" ref="W202">CalculerCommissionAnnuelle(M202,Q202,L202,1.7%,2023)</f>
        <v>0</v>
      </c>
      <c r="X202" s="14" cm="1">
        <f t="array" ref="X202">CalculerCommissionAnnuelle(M202,Q202,L202,1.7%,2022)</f>
        <v>566666.66666666674</v>
      </c>
      <c r="Y202" s="14" cm="1">
        <f t="array" ref="Y202">CalculerCommissionAnnuelle(M202,Q202,L202,1.7%,2021)</f>
        <v>1416666.6666666667</v>
      </c>
      <c r="Z202" s="19" t="str">
        <f t="shared" si="3"/>
        <v>GP</v>
      </c>
    </row>
    <row r="203" spans="1:26" s="1" customFormat="1" ht="18.149999999999999" customHeight="1" x14ac:dyDescent="0.25">
      <c r="A203" s="6" t="s">
        <v>330</v>
      </c>
      <c r="B203" s="6" t="s">
        <v>335</v>
      </c>
      <c r="C203" s="6" t="s">
        <v>336</v>
      </c>
      <c r="D203" s="6" t="s">
        <v>21</v>
      </c>
      <c r="E203" s="7"/>
      <c r="F203" s="6" t="s">
        <v>337</v>
      </c>
      <c r="G203" s="6" t="s">
        <v>339</v>
      </c>
      <c r="H203" s="8">
        <v>0</v>
      </c>
      <c r="I203" s="16">
        <v>44932</v>
      </c>
      <c r="J203" s="6" t="s">
        <v>39</v>
      </c>
      <c r="K203" s="6" t="s">
        <v>40</v>
      </c>
      <c r="L203" s="8">
        <v>12</v>
      </c>
      <c r="M203" s="11">
        <v>100000000</v>
      </c>
      <c r="N203" s="8">
        <v>8707630</v>
      </c>
      <c r="O203" s="8">
        <v>7</v>
      </c>
      <c r="P203" s="6" t="s">
        <v>24</v>
      </c>
      <c r="Q203" s="7">
        <v>44963</v>
      </c>
      <c r="R203" s="7">
        <v>45297</v>
      </c>
      <c r="S203" s="7"/>
      <c r="T203" s="6" t="s">
        <v>25</v>
      </c>
      <c r="U203" s="6" t="s">
        <v>72</v>
      </c>
      <c r="V203" s="14" cm="1">
        <f t="array" ref="V203">CalculerCommissionAnnuelle(M203,Q203,L203,1.7%,2024)</f>
        <v>0</v>
      </c>
      <c r="W203" s="14" cm="1">
        <f t="array" ref="W203">CalculerCommissionAnnuelle(M203,Q203,L203,1.7%,2023)</f>
        <v>1416666.6666666667</v>
      </c>
      <c r="X203" s="14" cm="1">
        <f t="array" ref="X203">CalculerCommissionAnnuelle(M203,Q203,L203,1.7%,2022)</f>
        <v>0</v>
      </c>
      <c r="Y203" s="14" cm="1">
        <f t="array" ref="Y203">CalculerCommissionAnnuelle(M203,Q203,L203,1.7%,2021)</f>
        <v>0</v>
      </c>
      <c r="Z203" s="19" t="str">
        <f t="shared" si="3"/>
        <v>GP</v>
      </c>
    </row>
    <row r="204" spans="1:26" s="1" customFormat="1" ht="18.149999999999999" customHeight="1" x14ac:dyDescent="0.25">
      <c r="A204" s="3" t="s">
        <v>330</v>
      </c>
      <c r="B204" s="3" t="s">
        <v>341</v>
      </c>
      <c r="C204" s="3" t="s">
        <v>342</v>
      </c>
      <c r="D204" s="3" t="s">
        <v>21</v>
      </c>
      <c r="E204" s="4"/>
      <c r="F204" s="3" t="s">
        <v>343</v>
      </c>
      <c r="G204" s="3" t="s">
        <v>344</v>
      </c>
      <c r="H204" s="5">
        <v>0</v>
      </c>
      <c r="I204" s="16">
        <v>44321</v>
      </c>
      <c r="J204" s="3" t="s">
        <v>29</v>
      </c>
      <c r="K204" s="3" t="s">
        <v>30</v>
      </c>
      <c r="L204" s="5">
        <v>36</v>
      </c>
      <c r="M204" s="10">
        <v>793000000</v>
      </c>
      <c r="N204" s="5">
        <v>24705490</v>
      </c>
      <c r="O204" s="5">
        <v>6.5</v>
      </c>
      <c r="P204" s="3" t="s">
        <v>24</v>
      </c>
      <c r="Q204" s="4">
        <v>44352</v>
      </c>
      <c r="R204" s="4">
        <v>45417</v>
      </c>
      <c r="S204" s="4"/>
      <c r="T204" s="3" t="s">
        <v>28</v>
      </c>
      <c r="U204" s="3" t="s">
        <v>72</v>
      </c>
      <c r="V204" s="14" cm="1">
        <f t="array" ref="V204">CalculerCommissionAnnuelle(M204,Q204,L204,1.7%,2024)</f>
        <v>0</v>
      </c>
      <c r="W204" s="14" cm="1">
        <f t="array" ref="W204">CalculerCommissionAnnuelle(M204,Q204,L204,1.7%,2023)</f>
        <v>6740500.0000000009</v>
      </c>
      <c r="X204" s="14" cm="1">
        <f t="array" ref="X204">CalculerCommissionAnnuelle(M204,Q204,L204,1.7%,2022)</f>
        <v>15727833.333333334</v>
      </c>
      <c r="Y204" s="14" cm="1">
        <f t="array" ref="Y204">CalculerCommissionAnnuelle(M204,Q204,L204,1.7%,2021)</f>
        <v>24715166.666666668</v>
      </c>
      <c r="Z204" s="19" t="str">
        <f t="shared" si="3"/>
        <v>GI</v>
      </c>
    </row>
    <row r="205" spans="1:26" s="1" customFormat="1" ht="18.149999999999999" customHeight="1" x14ac:dyDescent="0.25">
      <c r="A205" s="6" t="s">
        <v>330</v>
      </c>
      <c r="B205" s="6" t="s">
        <v>372</v>
      </c>
      <c r="C205" s="6" t="s">
        <v>373</v>
      </c>
      <c r="D205" s="6" t="s">
        <v>21</v>
      </c>
      <c r="E205" s="7"/>
      <c r="F205" s="6" t="s">
        <v>374</v>
      </c>
      <c r="G205" s="6" t="s">
        <v>375</v>
      </c>
      <c r="H205" s="8">
        <v>0</v>
      </c>
      <c r="I205" s="16">
        <v>44390</v>
      </c>
      <c r="J205" s="6" t="s">
        <v>39</v>
      </c>
      <c r="K205" s="6" t="s">
        <v>40</v>
      </c>
      <c r="L205" s="8">
        <v>6</v>
      </c>
      <c r="M205" s="11">
        <v>60000000</v>
      </c>
      <c r="N205" s="8">
        <v>10274768</v>
      </c>
      <c r="O205" s="8">
        <v>8</v>
      </c>
      <c r="P205" s="6" t="s">
        <v>24</v>
      </c>
      <c r="Q205" s="7">
        <v>44421</v>
      </c>
      <c r="R205" s="7">
        <v>44574</v>
      </c>
      <c r="S205" s="7"/>
      <c r="T205" s="6" t="s">
        <v>25</v>
      </c>
      <c r="U205" s="6" t="s">
        <v>77</v>
      </c>
      <c r="V205" s="14" cm="1">
        <f t="array" ref="V205">CalculerCommissionAnnuelle(M205,Q205,L205,1.7%,2024)</f>
        <v>0</v>
      </c>
      <c r="W205" s="14" cm="1">
        <f t="array" ref="W205">CalculerCommissionAnnuelle(M205,Q205,L205,1.7%,2023)</f>
        <v>0</v>
      </c>
      <c r="X205" s="14" cm="1">
        <f t="array" ref="X205">CalculerCommissionAnnuelle(M205,Q205,L205,1.7%,2022)</f>
        <v>0</v>
      </c>
      <c r="Y205" s="14" cm="1">
        <f t="array" ref="Y205">CalculerCommissionAnnuelle(M205,Q205,L205,1.7%,2021)</f>
        <v>340000</v>
      </c>
      <c r="Z205" s="19" t="str">
        <f t="shared" si="3"/>
        <v>GP</v>
      </c>
    </row>
    <row r="206" spans="1:26" s="1" customFormat="1" ht="18.149999999999999" customHeight="1" x14ac:dyDescent="0.25">
      <c r="A206" s="3" t="s">
        <v>330</v>
      </c>
      <c r="B206" s="3" t="s">
        <v>372</v>
      </c>
      <c r="C206" s="3" t="s">
        <v>373</v>
      </c>
      <c r="D206" s="3" t="s">
        <v>21</v>
      </c>
      <c r="E206" s="4"/>
      <c r="F206" s="3" t="s">
        <v>374</v>
      </c>
      <c r="G206" s="3" t="s">
        <v>376</v>
      </c>
      <c r="H206" s="5">
        <v>0</v>
      </c>
      <c r="I206" s="16">
        <v>44722</v>
      </c>
      <c r="J206" s="3" t="s">
        <v>39</v>
      </c>
      <c r="K206" s="3" t="s">
        <v>40</v>
      </c>
      <c r="L206" s="5">
        <v>6</v>
      </c>
      <c r="M206" s="10">
        <v>60000000</v>
      </c>
      <c r="N206" s="5">
        <v>10274768</v>
      </c>
      <c r="O206" s="5">
        <v>8</v>
      </c>
      <c r="P206" s="3" t="s">
        <v>24</v>
      </c>
      <c r="Q206" s="4">
        <v>44752</v>
      </c>
      <c r="R206" s="4">
        <v>44905</v>
      </c>
      <c r="S206" s="4"/>
      <c r="T206" s="3" t="s">
        <v>25</v>
      </c>
      <c r="U206" s="3" t="s">
        <v>77</v>
      </c>
      <c r="V206" s="14" cm="1">
        <f t="array" ref="V206">CalculerCommissionAnnuelle(M206,Q206,L206,1.7%,2024)</f>
        <v>0</v>
      </c>
      <c r="W206" s="14" cm="1">
        <f t="array" ref="W206">CalculerCommissionAnnuelle(M206,Q206,L206,1.7%,2023)</f>
        <v>0</v>
      </c>
      <c r="X206" s="14" cm="1">
        <f t="array" ref="X206">CalculerCommissionAnnuelle(M206,Q206,L206,1.7%,2022)</f>
        <v>170000</v>
      </c>
      <c r="Y206" s="14" cm="1">
        <f t="array" ref="Y206">CalculerCommissionAnnuelle(M206,Q206,L206,1.7%,2021)</f>
        <v>0</v>
      </c>
      <c r="Z206" s="19" t="str">
        <f t="shared" si="3"/>
        <v>GP</v>
      </c>
    </row>
    <row r="207" spans="1:26" s="1" customFormat="1" ht="18.149999999999999" customHeight="1" x14ac:dyDescent="0.25">
      <c r="A207" s="6" t="s">
        <v>330</v>
      </c>
      <c r="B207" s="6" t="s">
        <v>372</v>
      </c>
      <c r="C207" s="6" t="s">
        <v>373</v>
      </c>
      <c r="D207" s="6" t="s">
        <v>21</v>
      </c>
      <c r="E207" s="7"/>
      <c r="F207" s="6" t="s">
        <v>374</v>
      </c>
      <c r="G207" s="6" t="s">
        <v>377</v>
      </c>
      <c r="H207" s="8">
        <v>0</v>
      </c>
      <c r="I207" s="16">
        <v>45124</v>
      </c>
      <c r="J207" s="6" t="s">
        <v>39</v>
      </c>
      <c r="K207" s="6" t="s">
        <v>40</v>
      </c>
      <c r="L207" s="8">
        <v>6</v>
      </c>
      <c r="M207" s="11">
        <v>60000000</v>
      </c>
      <c r="N207" s="8">
        <v>10240229</v>
      </c>
      <c r="O207" s="8">
        <v>7</v>
      </c>
      <c r="P207" s="6" t="s">
        <v>24</v>
      </c>
      <c r="Q207" s="7">
        <v>45155</v>
      </c>
      <c r="R207" s="7">
        <v>45308</v>
      </c>
      <c r="S207" s="7"/>
      <c r="T207" s="6" t="s">
        <v>25</v>
      </c>
      <c r="U207" s="6" t="s">
        <v>77</v>
      </c>
      <c r="V207" s="14" cm="1">
        <f t="array" ref="V207">CalculerCommissionAnnuelle(M207,Q207,L207,1.7%,2024)</f>
        <v>0</v>
      </c>
      <c r="W207" s="14" cm="1">
        <f t="array" ref="W207">CalculerCommissionAnnuelle(M207,Q207,L207,1.7%,2023)</f>
        <v>340000</v>
      </c>
      <c r="X207" s="14" cm="1">
        <f t="array" ref="X207">CalculerCommissionAnnuelle(M207,Q207,L207,1.7%,2022)</f>
        <v>0</v>
      </c>
      <c r="Y207" s="14" cm="1">
        <f t="array" ref="Y207">CalculerCommissionAnnuelle(M207,Q207,L207,1.7%,2021)</f>
        <v>0</v>
      </c>
      <c r="Z207" s="19" t="str">
        <f t="shared" si="3"/>
        <v>GP</v>
      </c>
    </row>
    <row r="208" spans="1:26" s="1" customFormat="1" ht="18.149999999999999" customHeight="1" x14ac:dyDescent="0.25">
      <c r="A208" s="3" t="s">
        <v>330</v>
      </c>
      <c r="B208" s="3" t="s">
        <v>391</v>
      </c>
      <c r="C208" s="3" t="s">
        <v>392</v>
      </c>
      <c r="D208" s="3" t="s">
        <v>21</v>
      </c>
      <c r="E208" s="4"/>
      <c r="F208" s="3" t="s">
        <v>393</v>
      </c>
      <c r="G208" s="3" t="s">
        <v>394</v>
      </c>
      <c r="H208" s="5">
        <v>0</v>
      </c>
      <c r="I208" s="16">
        <v>44413</v>
      </c>
      <c r="J208" s="3" t="s">
        <v>39</v>
      </c>
      <c r="K208" s="3" t="s">
        <v>40</v>
      </c>
      <c r="L208" s="5">
        <v>24</v>
      </c>
      <c r="M208" s="10">
        <v>300000000</v>
      </c>
      <c r="N208" s="5">
        <v>13755028</v>
      </c>
      <c r="O208" s="5">
        <v>8</v>
      </c>
      <c r="P208" s="3" t="s">
        <v>24</v>
      </c>
      <c r="Q208" s="4">
        <v>44444</v>
      </c>
      <c r="R208" s="4">
        <v>45143</v>
      </c>
      <c r="S208" s="4"/>
      <c r="T208" s="3" t="s">
        <v>25</v>
      </c>
      <c r="U208" s="3" t="s">
        <v>72</v>
      </c>
      <c r="V208" s="14" cm="1">
        <f t="array" ref="V208">CalculerCommissionAnnuelle(M208,Q208,L208,1.7%,2024)</f>
        <v>0</v>
      </c>
      <c r="W208" s="14" cm="1">
        <f t="array" ref="W208">CalculerCommissionAnnuelle(M208,Q208,L208,1.7%,2023)</f>
        <v>637500</v>
      </c>
      <c r="X208" s="14" cm="1">
        <f t="array" ref="X208">CalculerCommissionAnnuelle(M208,Q208,L208,1.7%,2022)</f>
        <v>5100000</v>
      </c>
      <c r="Y208" s="14" cm="1">
        <f t="array" ref="Y208">CalculerCommissionAnnuelle(M208,Q208,L208,1.7%,2021)</f>
        <v>4462500</v>
      </c>
      <c r="Z208" s="19" t="str">
        <f t="shared" si="3"/>
        <v>GI</v>
      </c>
    </row>
    <row r="209" spans="1:26" s="1" customFormat="1" ht="18.149999999999999" customHeight="1" x14ac:dyDescent="0.25">
      <c r="A209" s="6" t="s">
        <v>396</v>
      </c>
      <c r="B209" s="6" t="s">
        <v>397</v>
      </c>
      <c r="C209" s="6" t="s">
        <v>398</v>
      </c>
      <c r="D209" s="6" t="s">
        <v>21</v>
      </c>
      <c r="E209" s="7">
        <v>16567</v>
      </c>
      <c r="F209" s="6" t="s">
        <v>399</v>
      </c>
      <c r="G209" s="6" t="s">
        <v>400</v>
      </c>
      <c r="H209" s="8">
        <v>0</v>
      </c>
      <c r="I209" s="16">
        <v>44530</v>
      </c>
      <c r="J209" s="6" t="s">
        <v>52</v>
      </c>
      <c r="K209" s="6" t="s">
        <v>53</v>
      </c>
      <c r="L209" s="8">
        <v>24</v>
      </c>
      <c r="M209" s="11">
        <v>75000000</v>
      </c>
      <c r="N209" s="8">
        <v>3414599</v>
      </c>
      <c r="O209" s="8">
        <v>7.4</v>
      </c>
      <c r="P209" s="6" t="s">
        <v>24</v>
      </c>
      <c r="Q209" s="7">
        <v>44560</v>
      </c>
      <c r="R209" s="7">
        <v>45260</v>
      </c>
      <c r="S209" s="7"/>
      <c r="T209" s="6" t="s">
        <v>28</v>
      </c>
      <c r="U209" s="6" t="s">
        <v>41</v>
      </c>
      <c r="V209" s="14" cm="1">
        <f t="array" ref="V209">CalculerCommissionAnnuelle(M209,Q209,L209,1.7%,2024)</f>
        <v>0</v>
      </c>
      <c r="W209" s="14" cm="1">
        <f t="array" ref="W209">CalculerCommissionAnnuelle(M209,Q209,L209,1.7%,2023)</f>
        <v>318750</v>
      </c>
      <c r="X209" s="14" cm="1">
        <f t="array" ref="X209">CalculerCommissionAnnuelle(M209,Q209,L209,1.7%,2022)</f>
        <v>1593750</v>
      </c>
      <c r="Y209" s="14" cm="1">
        <f t="array" ref="Y209">CalculerCommissionAnnuelle(M209,Q209,L209,1.7%,2021)</f>
        <v>1275000</v>
      </c>
      <c r="Z209" s="19" t="str">
        <f t="shared" si="3"/>
        <v>GP</v>
      </c>
    </row>
    <row r="210" spans="1:26" s="1" customFormat="1" ht="18.149999999999999" customHeight="1" x14ac:dyDescent="0.25">
      <c r="A210" s="3" t="s">
        <v>407</v>
      </c>
      <c r="B210" s="3" t="s">
        <v>429</v>
      </c>
      <c r="C210" s="3" t="s">
        <v>430</v>
      </c>
      <c r="D210" s="3" t="s">
        <v>21</v>
      </c>
      <c r="E210" s="4"/>
      <c r="F210" s="3" t="s">
        <v>431</v>
      </c>
      <c r="G210" s="3" t="s">
        <v>432</v>
      </c>
      <c r="H210" s="5">
        <v>0</v>
      </c>
      <c r="I210" s="16">
        <v>44211</v>
      </c>
      <c r="J210" s="3" t="s">
        <v>59</v>
      </c>
      <c r="K210" s="3" t="s">
        <v>60</v>
      </c>
      <c r="L210" s="5">
        <v>36</v>
      </c>
      <c r="M210" s="10">
        <v>13000000</v>
      </c>
      <c r="N210" s="5">
        <v>434195</v>
      </c>
      <c r="O210" s="5">
        <v>9.99</v>
      </c>
      <c r="P210" s="3" t="s">
        <v>24</v>
      </c>
      <c r="Q210" s="4">
        <v>44241</v>
      </c>
      <c r="R210" s="4">
        <v>45305</v>
      </c>
      <c r="S210" s="4"/>
      <c r="T210" s="3" t="s">
        <v>25</v>
      </c>
      <c r="U210" s="3" t="s">
        <v>416</v>
      </c>
      <c r="V210" s="14" cm="1">
        <f t="array" ref="V210">CalculerCommissionAnnuelle(M210,Q210,L210,1.7%,2024)</f>
        <v>0</v>
      </c>
      <c r="W210" s="14" cm="1">
        <f t="array" ref="W210">CalculerCommissionAnnuelle(M210,Q210,L210,1.7%,2023)</f>
        <v>61388.888888888898</v>
      </c>
      <c r="X210" s="14" cm="1">
        <f t="array" ref="X210">CalculerCommissionAnnuelle(M210,Q210,L210,1.7%,2022)</f>
        <v>208722.22222222225</v>
      </c>
      <c r="Y210" s="14" cm="1">
        <f t="array" ref="Y210">CalculerCommissionAnnuelle(M210,Q210,L210,1.7%,2021)</f>
        <v>356055.55555555556</v>
      </c>
      <c r="Z210" s="19" t="str">
        <f t="shared" si="3"/>
        <v>GP</v>
      </c>
    </row>
    <row r="211" spans="1:26" s="1" customFormat="1" ht="18.149999999999999" customHeight="1" x14ac:dyDescent="0.25">
      <c r="A211" s="3" t="s">
        <v>407</v>
      </c>
      <c r="B211" s="3" t="s">
        <v>437</v>
      </c>
      <c r="C211" s="3" t="s">
        <v>438</v>
      </c>
      <c r="D211" s="3" t="s">
        <v>21</v>
      </c>
      <c r="E211" s="4"/>
      <c r="F211" s="3" t="s">
        <v>439</v>
      </c>
      <c r="G211" s="3" t="s">
        <v>440</v>
      </c>
      <c r="H211" s="5">
        <v>0</v>
      </c>
      <c r="I211" s="16">
        <v>44375</v>
      </c>
      <c r="J211" s="3" t="s">
        <v>22</v>
      </c>
      <c r="K211" s="3" t="s">
        <v>23</v>
      </c>
      <c r="L211" s="5">
        <v>18</v>
      </c>
      <c r="M211" s="10">
        <v>12000000</v>
      </c>
      <c r="N211" s="5">
        <v>740561</v>
      </c>
      <c r="O211" s="5">
        <v>11</v>
      </c>
      <c r="P211" s="3" t="s">
        <v>24</v>
      </c>
      <c r="Q211" s="4">
        <v>44405</v>
      </c>
      <c r="R211" s="4">
        <v>44923</v>
      </c>
      <c r="S211" s="4"/>
      <c r="T211" s="3" t="s">
        <v>25</v>
      </c>
      <c r="U211" s="3" t="s">
        <v>416</v>
      </c>
      <c r="V211" s="14" cm="1">
        <f t="array" ref="V211">CalculerCommissionAnnuelle(M211,Q211,L211,1.7%,2024)</f>
        <v>0</v>
      </c>
      <c r="W211" s="14" cm="1">
        <f t="array" ref="W211">CalculerCommissionAnnuelle(M211,Q211,L211,1.7%,2023)</f>
        <v>0</v>
      </c>
      <c r="X211" s="14" cm="1">
        <f t="array" ref="X211">CalculerCommissionAnnuelle(M211,Q211,L211,1.7%,2022)</f>
        <v>90666.666666666672</v>
      </c>
      <c r="Y211" s="14" cm="1">
        <f t="array" ref="Y211">CalculerCommissionAnnuelle(M211,Q211,L211,1.7%,2021)</f>
        <v>147333.33333333334</v>
      </c>
      <c r="Z211" s="19" t="str">
        <f t="shared" si="3"/>
        <v>GP</v>
      </c>
    </row>
    <row r="212" spans="1:26" s="1" customFormat="1" ht="18.149999999999999" customHeight="1" x14ac:dyDescent="0.25">
      <c r="A212" s="6" t="s">
        <v>407</v>
      </c>
      <c r="B212" s="6" t="s">
        <v>450</v>
      </c>
      <c r="C212" s="6" t="s">
        <v>451</v>
      </c>
      <c r="D212" s="6" t="s">
        <v>21</v>
      </c>
      <c r="E212" s="7"/>
      <c r="F212" s="6" t="s">
        <v>452</v>
      </c>
      <c r="G212" s="6" t="s">
        <v>454</v>
      </c>
      <c r="H212" s="8">
        <v>0</v>
      </c>
      <c r="I212" s="16">
        <v>44991</v>
      </c>
      <c r="J212" s="6" t="s">
        <v>39</v>
      </c>
      <c r="K212" s="6" t="s">
        <v>40</v>
      </c>
      <c r="L212" s="8">
        <v>12</v>
      </c>
      <c r="M212" s="11">
        <v>50000000</v>
      </c>
      <c r="N212" s="8">
        <v>4326798</v>
      </c>
      <c r="O212" s="8">
        <v>6</v>
      </c>
      <c r="P212" s="6" t="s">
        <v>24</v>
      </c>
      <c r="Q212" s="7">
        <v>45022</v>
      </c>
      <c r="R212" s="7">
        <v>45357</v>
      </c>
      <c r="S212" s="7"/>
      <c r="T212" s="6" t="s">
        <v>25</v>
      </c>
      <c r="U212" s="6" t="s">
        <v>72</v>
      </c>
      <c r="V212" s="14" cm="1">
        <f t="array" ref="V212">CalculerCommissionAnnuelle(M212,Q212,L212,1.7%,2024)</f>
        <v>0</v>
      </c>
      <c r="W212" s="14" cm="1">
        <f t="array" ref="W212">CalculerCommissionAnnuelle(M212,Q212,L212,1.7%,2023)</f>
        <v>991666.66666666663</v>
      </c>
      <c r="X212" s="14" cm="1">
        <f t="array" ref="X212">CalculerCommissionAnnuelle(M212,Q212,L212,1.7%,2022)</f>
        <v>0</v>
      </c>
      <c r="Y212" s="14" cm="1">
        <f t="array" ref="Y212">CalculerCommissionAnnuelle(M212,Q212,L212,1.7%,2021)</f>
        <v>0</v>
      </c>
      <c r="Z212" s="19" t="str">
        <f t="shared" si="3"/>
        <v>GP</v>
      </c>
    </row>
    <row r="213" spans="1:26" s="1" customFormat="1" ht="18.149999999999999" customHeight="1" x14ac:dyDescent="0.25">
      <c r="A213" s="3" t="s">
        <v>407</v>
      </c>
      <c r="B213" s="3" t="s">
        <v>455</v>
      </c>
      <c r="C213" s="3" t="s">
        <v>456</v>
      </c>
      <c r="D213" s="3" t="s">
        <v>21</v>
      </c>
      <c r="E213" s="4"/>
      <c r="F213" s="3" t="s">
        <v>457</v>
      </c>
      <c r="G213" s="3" t="s">
        <v>458</v>
      </c>
      <c r="H213" s="5">
        <v>0</v>
      </c>
      <c r="I213" s="16">
        <v>44377</v>
      </c>
      <c r="J213" s="3" t="s">
        <v>22</v>
      </c>
      <c r="K213" s="3" t="s">
        <v>23</v>
      </c>
      <c r="L213" s="5">
        <v>12</v>
      </c>
      <c r="M213" s="10">
        <v>7000000</v>
      </c>
      <c r="N213" s="5">
        <v>621333</v>
      </c>
      <c r="O213" s="5">
        <v>9.5</v>
      </c>
      <c r="P213" s="3" t="s">
        <v>24</v>
      </c>
      <c r="Q213" s="4">
        <v>44407</v>
      </c>
      <c r="R213" s="4">
        <v>44742</v>
      </c>
      <c r="S213" s="4"/>
      <c r="T213" s="3" t="s">
        <v>25</v>
      </c>
      <c r="U213" s="3" t="s">
        <v>416</v>
      </c>
      <c r="V213" s="14" cm="1">
        <f t="array" ref="V213">CalculerCommissionAnnuelle(M213,Q213,L213,1.7%,2024)</f>
        <v>0</v>
      </c>
      <c r="W213" s="14" cm="1">
        <f t="array" ref="W213">CalculerCommissionAnnuelle(M213,Q213,L213,1.7%,2023)</f>
        <v>0</v>
      </c>
      <c r="X213" s="14" cm="1">
        <f t="array" ref="X213">CalculerCommissionAnnuelle(M213,Q213,L213,1.7%,2022)</f>
        <v>9916.6666666666679</v>
      </c>
      <c r="Y213" s="14" cm="1">
        <f t="array" ref="Y213">CalculerCommissionAnnuelle(M213,Q213,L213,1.7%,2021)</f>
        <v>69416.666666666672</v>
      </c>
      <c r="Z213" s="19" t="str">
        <f t="shared" si="3"/>
        <v>GP</v>
      </c>
    </row>
    <row r="214" spans="1:26" s="1" customFormat="1" ht="18.149999999999999" customHeight="1" x14ac:dyDescent="0.25">
      <c r="A214" s="3" t="s">
        <v>407</v>
      </c>
      <c r="B214" s="3" t="s">
        <v>482</v>
      </c>
      <c r="C214" s="3" t="s">
        <v>483</v>
      </c>
      <c r="D214" s="3" t="s">
        <v>21</v>
      </c>
      <c r="E214" s="4"/>
      <c r="F214" s="3" t="s">
        <v>484</v>
      </c>
      <c r="G214" s="3" t="s">
        <v>485</v>
      </c>
      <c r="H214" s="5">
        <v>0</v>
      </c>
      <c r="I214" s="16">
        <v>44970</v>
      </c>
      <c r="J214" s="3" t="s">
        <v>22</v>
      </c>
      <c r="K214" s="3" t="s">
        <v>23</v>
      </c>
      <c r="L214" s="5">
        <v>12</v>
      </c>
      <c r="M214" s="10">
        <v>20000000</v>
      </c>
      <c r="N214" s="5">
        <v>1791689</v>
      </c>
      <c r="O214" s="5">
        <v>11</v>
      </c>
      <c r="P214" s="3" t="s">
        <v>24</v>
      </c>
      <c r="Q214" s="4">
        <v>44998</v>
      </c>
      <c r="R214" s="4">
        <v>45335</v>
      </c>
      <c r="S214" s="4"/>
      <c r="T214" s="3" t="s">
        <v>25</v>
      </c>
      <c r="U214" s="3" t="s">
        <v>416</v>
      </c>
      <c r="V214" s="14" cm="1">
        <f t="array" ref="V214">CalculerCommissionAnnuelle(M214,Q214,L214,1.7%,2024)</f>
        <v>0</v>
      </c>
      <c r="W214" s="14" cm="1">
        <f t="array" ref="W214">CalculerCommissionAnnuelle(M214,Q214,L214,1.7%,2023)</f>
        <v>340000</v>
      </c>
      <c r="X214" s="14" cm="1">
        <f t="array" ref="X214">CalculerCommissionAnnuelle(M214,Q214,L214,1.7%,2022)</f>
        <v>0</v>
      </c>
      <c r="Y214" s="14" cm="1">
        <f t="array" ref="Y214">CalculerCommissionAnnuelle(M214,Q214,L214,1.7%,2021)</f>
        <v>0</v>
      </c>
      <c r="Z214" s="19" t="str">
        <f t="shared" si="3"/>
        <v>GP</v>
      </c>
    </row>
    <row r="215" spans="1:26" s="1" customFormat="1" ht="18.149999999999999" customHeight="1" x14ac:dyDescent="0.25">
      <c r="A215" s="6" t="s">
        <v>494</v>
      </c>
      <c r="B215" s="6" t="s">
        <v>495</v>
      </c>
      <c r="C215" s="6" t="s">
        <v>496</v>
      </c>
      <c r="D215" s="6" t="s">
        <v>21</v>
      </c>
      <c r="E215" s="7">
        <v>26233</v>
      </c>
      <c r="F215" s="6" t="s">
        <v>497</v>
      </c>
      <c r="G215" s="6" t="s">
        <v>499</v>
      </c>
      <c r="H215" s="8">
        <v>0</v>
      </c>
      <c r="I215" s="16">
        <v>45072</v>
      </c>
      <c r="J215" s="6" t="s">
        <v>22</v>
      </c>
      <c r="K215" s="6" t="s">
        <v>23</v>
      </c>
      <c r="L215" s="8">
        <v>12</v>
      </c>
      <c r="M215" s="11">
        <v>25000000</v>
      </c>
      <c r="N215" s="8">
        <v>2239611</v>
      </c>
      <c r="O215" s="8">
        <v>11</v>
      </c>
      <c r="P215" s="6" t="s">
        <v>24</v>
      </c>
      <c r="Q215" s="7">
        <v>45103</v>
      </c>
      <c r="R215" s="7">
        <v>45438</v>
      </c>
      <c r="S215" s="7"/>
      <c r="T215" s="6" t="s">
        <v>28</v>
      </c>
      <c r="U215" s="6" t="s">
        <v>498</v>
      </c>
      <c r="V215" s="14" cm="1">
        <f t="array" ref="V215">CalculerCommissionAnnuelle(M215,Q215,L215,1.7%,2024)</f>
        <v>0</v>
      </c>
      <c r="W215" s="14" cm="1">
        <f t="array" ref="W215">CalculerCommissionAnnuelle(M215,Q215,L215,1.7%,2023)</f>
        <v>637500</v>
      </c>
      <c r="X215" s="14" cm="1">
        <f t="array" ref="X215">CalculerCommissionAnnuelle(M215,Q215,L215,1.7%,2022)</f>
        <v>0</v>
      </c>
      <c r="Y215" s="14" cm="1">
        <f t="array" ref="Y215">CalculerCommissionAnnuelle(M215,Q215,L215,1.7%,2021)</f>
        <v>0</v>
      </c>
      <c r="Z215" s="19" t="str">
        <f t="shared" si="3"/>
        <v>GP</v>
      </c>
    </row>
    <row r="216" spans="1:26" s="1" customFormat="1" ht="18.149999999999999" customHeight="1" x14ac:dyDescent="0.25">
      <c r="A216" s="6" t="s">
        <v>500</v>
      </c>
      <c r="B216" s="6" t="s">
        <v>506</v>
      </c>
      <c r="C216" s="6" t="s">
        <v>507</v>
      </c>
      <c r="D216" s="6" t="s">
        <v>21</v>
      </c>
      <c r="E216" s="7"/>
      <c r="F216" s="6" t="s">
        <v>508</v>
      </c>
      <c r="G216" s="6" t="s">
        <v>510</v>
      </c>
      <c r="H216" s="8">
        <v>0</v>
      </c>
      <c r="I216" s="16">
        <v>45050</v>
      </c>
      <c r="J216" s="6" t="s">
        <v>22</v>
      </c>
      <c r="K216" s="6" t="s">
        <v>23</v>
      </c>
      <c r="L216" s="8">
        <v>12</v>
      </c>
      <c r="M216" s="11">
        <v>20000000</v>
      </c>
      <c r="N216" s="8">
        <v>1791689</v>
      </c>
      <c r="O216" s="8">
        <v>11</v>
      </c>
      <c r="P216" s="6" t="s">
        <v>24</v>
      </c>
      <c r="Q216" s="7">
        <v>45081</v>
      </c>
      <c r="R216" s="7">
        <v>45416</v>
      </c>
      <c r="S216" s="7">
        <v>45370</v>
      </c>
      <c r="T216" s="6" t="s">
        <v>25</v>
      </c>
      <c r="U216" s="6" t="s">
        <v>505</v>
      </c>
      <c r="V216" s="14" cm="1">
        <f t="array" ref="V216">CalculerCommissionAnnuelle(M216,Q216,L216,1.7%,2024)</f>
        <v>0</v>
      </c>
      <c r="W216" s="14" cm="1">
        <f t="array" ref="W216">CalculerCommissionAnnuelle(M216,Q216,L216,1.7%,2023)</f>
        <v>510000.00000000006</v>
      </c>
      <c r="X216" s="14" cm="1">
        <f t="array" ref="X216">CalculerCommissionAnnuelle(M216,Q216,L216,1.7%,2022)</f>
        <v>0</v>
      </c>
      <c r="Y216" s="14" cm="1">
        <f t="array" ref="Y216">CalculerCommissionAnnuelle(M216,Q216,L216,1.7%,2021)</f>
        <v>0</v>
      </c>
      <c r="Z216" s="19" t="str">
        <f t="shared" si="3"/>
        <v>GP</v>
      </c>
    </row>
    <row r="217" spans="1:26" s="1" customFormat="1" ht="18.149999999999999" customHeight="1" x14ac:dyDescent="0.25">
      <c r="A217" s="3" t="s">
        <v>500</v>
      </c>
      <c r="B217" s="3" t="s">
        <v>515</v>
      </c>
      <c r="C217" s="3" t="s">
        <v>516</v>
      </c>
      <c r="D217" s="3" t="s">
        <v>21</v>
      </c>
      <c r="E217" s="4"/>
      <c r="F217" s="3" t="s">
        <v>517</v>
      </c>
      <c r="G217" s="3" t="s">
        <v>518</v>
      </c>
      <c r="H217" s="5">
        <v>0</v>
      </c>
      <c r="I217" s="16">
        <v>44873</v>
      </c>
      <c r="J217" s="3" t="s">
        <v>22</v>
      </c>
      <c r="K217" s="3" t="s">
        <v>23</v>
      </c>
      <c r="L217" s="5">
        <v>18</v>
      </c>
      <c r="M217" s="10">
        <v>3000000</v>
      </c>
      <c r="N217" s="5">
        <v>183503</v>
      </c>
      <c r="O217" s="5">
        <v>10</v>
      </c>
      <c r="P217" s="3" t="s">
        <v>24</v>
      </c>
      <c r="Q217" s="4">
        <v>44903</v>
      </c>
      <c r="R217" s="4">
        <v>45420</v>
      </c>
      <c r="S217" s="4">
        <v>45204</v>
      </c>
      <c r="T217" s="3" t="s">
        <v>25</v>
      </c>
      <c r="U217" s="3" t="s">
        <v>505</v>
      </c>
      <c r="V217" s="14" cm="1">
        <f t="array" ref="V217">CalculerCommissionAnnuelle(M217,Q217,L217,1.7%,2024)</f>
        <v>0</v>
      </c>
      <c r="W217" s="14" cm="1">
        <f t="array" ref="W217">CalculerCommissionAnnuelle(M217,Q217,L217,1.7%,2023)</f>
        <v>51000.000000000007</v>
      </c>
      <c r="X217" s="14" cm="1">
        <f t="array" ref="X217">CalculerCommissionAnnuelle(M217,Q217,L217,1.7%,2022)</f>
        <v>51000.000000000007</v>
      </c>
      <c r="Y217" s="14" cm="1">
        <f t="array" ref="Y217">CalculerCommissionAnnuelle(M217,Q217,L217,1.7%,2021)</f>
        <v>0</v>
      </c>
      <c r="Z217" s="19" t="str">
        <f t="shared" si="3"/>
        <v>GP</v>
      </c>
    </row>
    <row r="218" spans="1:26" s="1" customFormat="1" ht="18.149999999999999" customHeight="1" x14ac:dyDescent="0.25">
      <c r="A218" s="3" t="s">
        <v>500</v>
      </c>
      <c r="B218" s="3" t="s">
        <v>523</v>
      </c>
      <c r="C218" s="3" t="s">
        <v>524</v>
      </c>
      <c r="D218" s="3" t="s">
        <v>21</v>
      </c>
      <c r="E218" s="4"/>
      <c r="F218" s="3" t="s">
        <v>525</v>
      </c>
      <c r="G218" s="3" t="s">
        <v>526</v>
      </c>
      <c r="H218" s="5">
        <v>0</v>
      </c>
      <c r="I218" s="16">
        <v>44215</v>
      </c>
      <c r="J218" s="3" t="s">
        <v>22</v>
      </c>
      <c r="K218" s="3" t="s">
        <v>23</v>
      </c>
      <c r="L218" s="5">
        <v>12</v>
      </c>
      <c r="M218" s="10">
        <v>6000000</v>
      </c>
      <c r="N218" s="5">
        <v>537507</v>
      </c>
      <c r="O218" s="5">
        <v>11</v>
      </c>
      <c r="P218" s="3" t="s">
        <v>24</v>
      </c>
      <c r="Q218" s="4">
        <v>44246</v>
      </c>
      <c r="R218" s="4">
        <v>44580</v>
      </c>
      <c r="S218" s="4"/>
      <c r="T218" s="3" t="s">
        <v>25</v>
      </c>
      <c r="U218" s="3" t="s">
        <v>505</v>
      </c>
      <c r="V218" s="14" cm="1">
        <f t="array" ref="V218">CalculerCommissionAnnuelle(M218,Q218,L218,1.7%,2024)</f>
        <v>0</v>
      </c>
      <c r="W218" s="14" cm="1">
        <f t="array" ref="W218">CalculerCommissionAnnuelle(M218,Q218,L218,1.7%,2023)</f>
        <v>0</v>
      </c>
      <c r="X218" s="14" cm="1">
        <f t="array" ref="X218">CalculerCommissionAnnuelle(M218,Q218,L218,1.7%,2022)</f>
        <v>0</v>
      </c>
      <c r="Y218" s="14" cm="1">
        <f t="array" ref="Y218">CalculerCommissionAnnuelle(M218,Q218,L218,1.7%,2021)</f>
        <v>85000</v>
      </c>
      <c r="Z218" s="19" t="str">
        <f t="shared" si="3"/>
        <v>GP</v>
      </c>
    </row>
    <row r="219" spans="1:26" s="1" customFormat="1" ht="18.149999999999999" customHeight="1" x14ac:dyDescent="0.25">
      <c r="A219" s="6" t="s">
        <v>528</v>
      </c>
      <c r="B219" s="6" t="s">
        <v>533</v>
      </c>
      <c r="C219" s="6" t="s">
        <v>534</v>
      </c>
      <c r="D219" s="6" t="s">
        <v>21</v>
      </c>
      <c r="E219" s="7"/>
      <c r="F219" s="6" t="s">
        <v>535</v>
      </c>
      <c r="G219" s="6" t="s">
        <v>536</v>
      </c>
      <c r="H219" s="8">
        <v>0</v>
      </c>
      <c r="I219" s="16">
        <v>45071</v>
      </c>
      <c r="J219" s="6" t="s">
        <v>22</v>
      </c>
      <c r="K219" s="6" t="s">
        <v>23</v>
      </c>
      <c r="L219" s="8">
        <v>12</v>
      </c>
      <c r="M219" s="11">
        <v>20000000</v>
      </c>
      <c r="N219" s="8">
        <v>1758867</v>
      </c>
      <c r="O219" s="8">
        <v>8</v>
      </c>
      <c r="P219" s="6" t="s">
        <v>24</v>
      </c>
      <c r="Q219" s="7">
        <v>45102</v>
      </c>
      <c r="R219" s="7">
        <v>45437</v>
      </c>
      <c r="S219" s="7"/>
      <c r="T219" s="6" t="s">
        <v>28</v>
      </c>
      <c r="U219" s="6" t="s">
        <v>498</v>
      </c>
      <c r="V219" s="14" cm="1">
        <f t="array" ref="V219">CalculerCommissionAnnuelle(M219,Q219,L219,1.7%,2024)</f>
        <v>0</v>
      </c>
      <c r="W219" s="14" cm="1">
        <f t="array" ref="W219">CalculerCommissionAnnuelle(M219,Q219,L219,1.7%,2023)</f>
        <v>510000.00000000006</v>
      </c>
      <c r="X219" s="14" cm="1">
        <f t="array" ref="X219">CalculerCommissionAnnuelle(M219,Q219,L219,1.7%,2022)</f>
        <v>0</v>
      </c>
      <c r="Y219" s="14" cm="1">
        <f t="array" ref="Y219">CalculerCommissionAnnuelle(M219,Q219,L219,1.7%,2021)</f>
        <v>0</v>
      </c>
      <c r="Z219" s="19" t="str">
        <f t="shared" si="3"/>
        <v>GP</v>
      </c>
    </row>
    <row r="220" spans="1:26" s="1" customFormat="1" ht="18.149999999999999" customHeight="1" x14ac:dyDescent="0.25">
      <c r="A220" s="6" t="s">
        <v>528</v>
      </c>
      <c r="B220" s="6" t="s">
        <v>541</v>
      </c>
      <c r="C220" s="6" t="s">
        <v>542</v>
      </c>
      <c r="D220" s="6" t="s">
        <v>21</v>
      </c>
      <c r="E220" s="7"/>
      <c r="F220" s="6" t="s">
        <v>543</v>
      </c>
      <c r="G220" s="6" t="s">
        <v>544</v>
      </c>
      <c r="H220" s="8">
        <v>0</v>
      </c>
      <c r="I220" s="16">
        <v>44502</v>
      </c>
      <c r="J220" s="6" t="s">
        <v>22</v>
      </c>
      <c r="K220" s="6" t="s">
        <v>23</v>
      </c>
      <c r="L220" s="8">
        <v>18</v>
      </c>
      <c r="M220" s="11">
        <v>30000000</v>
      </c>
      <c r="N220" s="8">
        <v>1858018</v>
      </c>
      <c r="O220" s="8">
        <v>12</v>
      </c>
      <c r="P220" s="6" t="s">
        <v>24</v>
      </c>
      <c r="Q220" s="7">
        <v>44532</v>
      </c>
      <c r="R220" s="7">
        <v>45048</v>
      </c>
      <c r="S220" s="7">
        <v>45022</v>
      </c>
      <c r="T220" s="6" t="s">
        <v>25</v>
      </c>
      <c r="U220" s="6" t="s">
        <v>498</v>
      </c>
      <c r="V220" s="14" cm="1">
        <f t="array" ref="V220">CalculerCommissionAnnuelle(M220,Q220,L220,1.7%,2024)</f>
        <v>0</v>
      </c>
      <c r="W220" s="14" cm="1">
        <f t="array" ref="W220">CalculerCommissionAnnuelle(M220,Q220,L220,1.7%,2023)</f>
        <v>0</v>
      </c>
      <c r="X220" s="14" cm="1">
        <f t="array" ref="X220">CalculerCommissionAnnuelle(M220,Q220,L220,1.7%,2022)</f>
        <v>510000.00000000006</v>
      </c>
      <c r="Y220" s="14" cm="1">
        <f t="array" ref="Y220">CalculerCommissionAnnuelle(M220,Q220,L220,1.7%,2021)</f>
        <v>510000.00000000006</v>
      </c>
      <c r="Z220" s="19" t="str">
        <f t="shared" si="3"/>
        <v>GP</v>
      </c>
    </row>
    <row r="221" spans="1:26" s="1" customFormat="1" ht="18.149999999999999" customHeight="1" x14ac:dyDescent="0.25">
      <c r="A221" s="3" t="s">
        <v>528</v>
      </c>
      <c r="B221" s="3" t="s">
        <v>553</v>
      </c>
      <c r="C221" s="3" t="s">
        <v>554</v>
      </c>
      <c r="D221" s="3" t="s">
        <v>21</v>
      </c>
      <c r="E221" s="4"/>
      <c r="F221" s="3" t="s">
        <v>555</v>
      </c>
      <c r="G221" s="3" t="s">
        <v>556</v>
      </c>
      <c r="H221" s="5">
        <v>0</v>
      </c>
      <c r="I221" s="16">
        <v>44293</v>
      </c>
      <c r="J221" s="3" t="s">
        <v>59</v>
      </c>
      <c r="K221" s="3" t="s">
        <v>60</v>
      </c>
      <c r="L221" s="5">
        <v>36</v>
      </c>
      <c r="M221" s="10">
        <v>30000000</v>
      </c>
      <c r="N221" s="5">
        <v>985418</v>
      </c>
      <c r="O221" s="5">
        <v>9</v>
      </c>
      <c r="P221" s="3" t="s">
        <v>24</v>
      </c>
      <c r="Q221" s="4">
        <v>44323</v>
      </c>
      <c r="R221" s="4">
        <v>45389</v>
      </c>
      <c r="S221" s="4"/>
      <c r="T221" s="3" t="s">
        <v>28</v>
      </c>
      <c r="U221" s="3" t="s">
        <v>406</v>
      </c>
      <c r="V221" s="14" cm="1">
        <f t="array" ref="V221">CalculerCommissionAnnuelle(M221,Q221,L221,1.7%,2024)</f>
        <v>0</v>
      </c>
      <c r="W221" s="14" cm="1">
        <f t="array" ref="W221">CalculerCommissionAnnuelle(M221,Q221,L221,1.7%,2023)</f>
        <v>226666.66666666666</v>
      </c>
      <c r="X221" s="14" cm="1">
        <f t="array" ref="X221">CalculerCommissionAnnuelle(M221,Q221,L221,1.7%,2022)</f>
        <v>566666.66666666674</v>
      </c>
      <c r="Y221" s="14" cm="1">
        <f t="array" ref="Y221">CalculerCommissionAnnuelle(M221,Q221,L221,1.7%,2021)</f>
        <v>906666.66666666674</v>
      </c>
      <c r="Z221" s="19" t="str">
        <f t="shared" si="3"/>
        <v>GP</v>
      </c>
    </row>
    <row r="222" spans="1:26" s="1" customFormat="1" ht="18.149999999999999" customHeight="1" x14ac:dyDescent="0.25">
      <c r="A222" s="3" t="s">
        <v>528</v>
      </c>
      <c r="B222" s="3" t="s">
        <v>561</v>
      </c>
      <c r="C222" s="3" t="s">
        <v>562</v>
      </c>
      <c r="D222" s="3" t="s">
        <v>21</v>
      </c>
      <c r="E222" s="4"/>
      <c r="F222" s="3" t="s">
        <v>563</v>
      </c>
      <c r="G222" s="3" t="s">
        <v>564</v>
      </c>
      <c r="H222" s="5">
        <v>0</v>
      </c>
      <c r="I222" s="16">
        <v>45147</v>
      </c>
      <c r="J222" s="3" t="s">
        <v>52</v>
      </c>
      <c r="K222" s="3" t="s">
        <v>53</v>
      </c>
      <c r="L222" s="5">
        <v>4</v>
      </c>
      <c r="M222" s="10">
        <v>115000000</v>
      </c>
      <c r="N222" s="5">
        <v>30343864</v>
      </c>
      <c r="O222" s="5">
        <v>7.5</v>
      </c>
      <c r="P222" s="3" t="s">
        <v>24</v>
      </c>
      <c r="Q222" s="4">
        <v>45239</v>
      </c>
      <c r="R222" s="4">
        <v>45513</v>
      </c>
      <c r="S222" s="4"/>
      <c r="T222" s="3" t="s">
        <v>28</v>
      </c>
      <c r="U222" s="3" t="s">
        <v>247</v>
      </c>
      <c r="V222" s="14" cm="1">
        <f t="array" ref="V222">CalculerCommissionAnnuelle(M222,Q222,L222,1.7%,2024)</f>
        <v>0</v>
      </c>
      <c r="W222" s="14" cm="1">
        <f t="array" ref="W222">CalculerCommissionAnnuelle(M222,Q222,L222,1.7%,2023)</f>
        <v>1466250</v>
      </c>
      <c r="X222" s="14" cm="1">
        <f t="array" ref="X222">CalculerCommissionAnnuelle(M222,Q222,L222,1.7%,2022)</f>
        <v>0</v>
      </c>
      <c r="Y222" s="14" cm="1">
        <f t="array" ref="Y222">CalculerCommissionAnnuelle(M222,Q222,L222,1.7%,2021)</f>
        <v>0</v>
      </c>
      <c r="Z222" s="19" t="str">
        <f t="shared" si="3"/>
        <v>GP</v>
      </c>
    </row>
    <row r="223" spans="1:26" s="1" customFormat="1" ht="18.149999999999999" customHeight="1" x14ac:dyDescent="0.25">
      <c r="A223" s="6" t="s">
        <v>569</v>
      </c>
      <c r="B223" s="6" t="s">
        <v>578</v>
      </c>
      <c r="C223" s="6" t="s">
        <v>579</v>
      </c>
      <c r="D223" s="6" t="s">
        <v>21</v>
      </c>
      <c r="E223" s="7"/>
      <c r="F223" s="6" t="s">
        <v>580</v>
      </c>
      <c r="G223" s="6" t="s">
        <v>581</v>
      </c>
      <c r="H223" s="8">
        <v>0</v>
      </c>
      <c r="I223" s="16">
        <v>44211</v>
      </c>
      <c r="J223" s="6" t="s">
        <v>22</v>
      </c>
      <c r="K223" s="6" t="s">
        <v>23</v>
      </c>
      <c r="L223" s="8">
        <v>24</v>
      </c>
      <c r="M223" s="11">
        <v>10000000</v>
      </c>
      <c r="N223" s="8">
        <v>467142</v>
      </c>
      <c r="O223" s="8">
        <v>9</v>
      </c>
      <c r="P223" s="6" t="s">
        <v>24</v>
      </c>
      <c r="Q223" s="7">
        <v>44242</v>
      </c>
      <c r="R223" s="7">
        <v>44941</v>
      </c>
      <c r="S223" s="7"/>
      <c r="T223" s="6" t="s">
        <v>25</v>
      </c>
      <c r="U223" s="6" t="s">
        <v>300</v>
      </c>
      <c r="V223" s="14" cm="1">
        <f t="array" ref="V223">CalculerCommissionAnnuelle(M223,Q223,L223,1.7%,2024)</f>
        <v>0</v>
      </c>
      <c r="W223" s="14" cm="1">
        <f t="array" ref="W223">CalculerCommissionAnnuelle(M223,Q223,L223,1.7%,2023)</f>
        <v>0</v>
      </c>
      <c r="X223" s="14" cm="1">
        <f t="array" ref="X223">CalculerCommissionAnnuelle(M223,Q223,L223,1.7%,2022)</f>
        <v>70833.333333333343</v>
      </c>
      <c r="Y223" s="14" cm="1">
        <f t="array" ref="Y223">CalculerCommissionAnnuelle(M223,Q223,L223,1.7%,2021)</f>
        <v>240833.33333333334</v>
      </c>
      <c r="Z223" s="19" t="str">
        <f t="shared" si="3"/>
        <v>GP</v>
      </c>
    </row>
    <row r="224" spans="1:26" s="1" customFormat="1" ht="18.149999999999999" customHeight="1" x14ac:dyDescent="0.25">
      <c r="A224" s="3" t="s">
        <v>569</v>
      </c>
      <c r="B224" s="3" t="s">
        <v>587</v>
      </c>
      <c r="C224" s="3" t="s">
        <v>588</v>
      </c>
      <c r="D224" s="3" t="s">
        <v>21</v>
      </c>
      <c r="E224" s="4"/>
      <c r="F224" s="3" t="s">
        <v>589</v>
      </c>
      <c r="G224" s="3" t="s">
        <v>590</v>
      </c>
      <c r="H224" s="5">
        <v>0</v>
      </c>
      <c r="I224" s="16">
        <v>44455</v>
      </c>
      <c r="J224" s="3" t="s">
        <v>22</v>
      </c>
      <c r="K224" s="3" t="s">
        <v>23</v>
      </c>
      <c r="L224" s="5">
        <v>12</v>
      </c>
      <c r="M224" s="10">
        <v>20000000</v>
      </c>
      <c r="N224" s="5">
        <v>1769770</v>
      </c>
      <c r="O224" s="5">
        <v>9</v>
      </c>
      <c r="P224" s="3" t="s">
        <v>24</v>
      </c>
      <c r="Q224" s="4">
        <v>44485</v>
      </c>
      <c r="R224" s="4">
        <v>44820</v>
      </c>
      <c r="S224" s="4"/>
      <c r="T224" s="3" t="s">
        <v>25</v>
      </c>
      <c r="U224" s="3" t="s">
        <v>300</v>
      </c>
      <c r="V224" s="14" cm="1">
        <f t="array" ref="V224">CalculerCommissionAnnuelle(M224,Q224,L224,1.7%,2024)</f>
        <v>0</v>
      </c>
      <c r="W224" s="14" cm="1">
        <f t="array" ref="W224">CalculerCommissionAnnuelle(M224,Q224,L224,1.7%,2023)</f>
        <v>0</v>
      </c>
      <c r="X224" s="14" cm="1">
        <f t="array" ref="X224">CalculerCommissionAnnuelle(M224,Q224,L224,1.7%,2022)</f>
        <v>113333.33333333334</v>
      </c>
      <c r="Y224" s="14" cm="1">
        <f t="array" ref="Y224">CalculerCommissionAnnuelle(M224,Q224,L224,1.7%,2021)</f>
        <v>283333.33333333337</v>
      </c>
      <c r="Z224" s="19" t="str">
        <f t="shared" si="3"/>
        <v>GP</v>
      </c>
    </row>
    <row r="225" spans="1:26" s="1" customFormat="1" ht="18.149999999999999" customHeight="1" x14ac:dyDescent="0.25">
      <c r="A225" s="3" t="s">
        <v>593</v>
      </c>
      <c r="B225" s="3" t="s">
        <v>603</v>
      </c>
      <c r="C225" s="3" t="s">
        <v>604</v>
      </c>
      <c r="D225" s="3" t="s">
        <v>21</v>
      </c>
      <c r="E225" s="4"/>
      <c r="F225" s="3" t="s">
        <v>605</v>
      </c>
      <c r="G225" s="3" t="s">
        <v>606</v>
      </c>
      <c r="H225" s="5">
        <v>0</v>
      </c>
      <c r="I225" s="16">
        <v>44588</v>
      </c>
      <c r="J225" s="3" t="s">
        <v>22</v>
      </c>
      <c r="K225" s="3" t="s">
        <v>23</v>
      </c>
      <c r="L225" s="5">
        <v>12</v>
      </c>
      <c r="M225" s="10">
        <v>10000000</v>
      </c>
      <c r="N225" s="5">
        <v>901352</v>
      </c>
      <c r="O225" s="5">
        <v>12</v>
      </c>
      <c r="P225" s="3" t="s">
        <v>24</v>
      </c>
      <c r="Q225" s="4">
        <v>44619</v>
      </c>
      <c r="R225" s="4">
        <v>44953</v>
      </c>
      <c r="S225" s="4"/>
      <c r="T225" s="3" t="s">
        <v>25</v>
      </c>
      <c r="U225" s="3" t="s">
        <v>598</v>
      </c>
      <c r="V225" s="14" cm="1">
        <f t="array" ref="V225">CalculerCommissionAnnuelle(M225,Q225,L225,1.7%,2024)</f>
        <v>0</v>
      </c>
      <c r="W225" s="14" cm="1">
        <f t="array" ref="W225">CalculerCommissionAnnuelle(M225,Q225,L225,1.7%,2023)</f>
        <v>0</v>
      </c>
      <c r="X225" s="14" cm="1">
        <f t="array" ref="X225">CalculerCommissionAnnuelle(M225,Q225,L225,1.7%,2022)</f>
        <v>141666.66666666669</v>
      </c>
      <c r="Y225" s="14" cm="1">
        <f t="array" ref="Y225">CalculerCommissionAnnuelle(M225,Q225,L225,1.7%,2021)</f>
        <v>0</v>
      </c>
      <c r="Z225" s="19" t="str">
        <f t="shared" si="3"/>
        <v>GP</v>
      </c>
    </row>
    <row r="226" spans="1:26" s="1" customFormat="1" ht="18.149999999999999" customHeight="1" x14ac:dyDescent="0.25">
      <c r="A226" s="3" t="s">
        <v>593</v>
      </c>
      <c r="B226" s="3" t="s">
        <v>607</v>
      </c>
      <c r="C226" s="3" t="s">
        <v>608</v>
      </c>
      <c r="D226" s="3" t="s">
        <v>21</v>
      </c>
      <c r="E226" s="4"/>
      <c r="F226" s="3" t="s">
        <v>609</v>
      </c>
      <c r="G226" s="3" t="s">
        <v>610</v>
      </c>
      <c r="H226" s="5">
        <v>0</v>
      </c>
      <c r="I226" s="16">
        <v>44701</v>
      </c>
      <c r="J226" s="3" t="s">
        <v>22</v>
      </c>
      <c r="K226" s="3" t="s">
        <v>23</v>
      </c>
      <c r="L226" s="5">
        <v>24</v>
      </c>
      <c r="M226" s="10">
        <v>45000000</v>
      </c>
      <c r="N226" s="5">
        <v>2077747</v>
      </c>
      <c r="O226" s="5">
        <v>8</v>
      </c>
      <c r="P226" s="3" t="s">
        <v>24</v>
      </c>
      <c r="Q226" s="4">
        <v>44732</v>
      </c>
      <c r="R226" s="4">
        <v>45432</v>
      </c>
      <c r="S226" s="4"/>
      <c r="T226" s="3" t="s">
        <v>28</v>
      </c>
      <c r="U226" s="3" t="s">
        <v>598</v>
      </c>
      <c r="V226" s="14" cm="1">
        <f t="array" ref="V226">CalculerCommissionAnnuelle(M226,Q226,L226,1.7%,2024)</f>
        <v>0</v>
      </c>
      <c r="W226" s="14" cm="1">
        <f t="array" ref="W226">CalculerCommissionAnnuelle(M226,Q226,L226,1.7%,2023)</f>
        <v>573750</v>
      </c>
      <c r="X226" s="14" cm="1">
        <f t="array" ref="X226">CalculerCommissionAnnuelle(M226,Q226,L226,1.7%,2022)</f>
        <v>1338750</v>
      </c>
      <c r="Y226" s="14" cm="1">
        <f t="array" ref="Y226">CalculerCommissionAnnuelle(M226,Q226,L226,1.7%,2021)</f>
        <v>0</v>
      </c>
      <c r="Z226" s="19" t="str">
        <f t="shared" si="3"/>
        <v>GP</v>
      </c>
    </row>
    <row r="227" spans="1:26" s="1" customFormat="1" ht="18.149999999999999" customHeight="1" x14ac:dyDescent="0.25">
      <c r="A227" s="3" t="s">
        <v>593</v>
      </c>
      <c r="B227" s="3" t="s">
        <v>615</v>
      </c>
      <c r="C227" s="3" t="s">
        <v>616</v>
      </c>
      <c r="D227" s="3" t="s">
        <v>21</v>
      </c>
      <c r="E227" s="4"/>
      <c r="F227" s="3" t="s">
        <v>617</v>
      </c>
      <c r="G227" s="3" t="s">
        <v>618</v>
      </c>
      <c r="H227" s="5">
        <v>0</v>
      </c>
      <c r="I227" s="16">
        <v>44278</v>
      </c>
      <c r="J227" s="3" t="s">
        <v>39</v>
      </c>
      <c r="K227" s="3" t="s">
        <v>40</v>
      </c>
      <c r="L227" s="5">
        <v>12</v>
      </c>
      <c r="M227" s="10">
        <v>300000000</v>
      </c>
      <c r="N227" s="5">
        <v>26041770</v>
      </c>
      <c r="O227" s="5">
        <v>6.5</v>
      </c>
      <c r="P227" s="3" t="s">
        <v>24</v>
      </c>
      <c r="Q227" s="4">
        <v>44309</v>
      </c>
      <c r="R227" s="4">
        <v>44643</v>
      </c>
      <c r="S227" s="4"/>
      <c r="T227" s="3" t="s">
        <v>25</v>
      </c>
      <c r="U227" s="3" t="s">
        <v>619</v>
      </c>
      <c r="V227" s="14" cm="1">
        <f t="array" ref="V227">CalculerCommissionAnnuelle(M227,Q227,L227,1.7%,2024)</f>
        <v>0</v>
      </c>
      <c r="W227" s="14" cm="1">
        <f t="array" ref="W227">CalculerCommissionAnnuelle(M227,Q227,L227,1.7%,2023)</f>
        <v>0</v>
      </c>
      <c r="X227" s="14" cm="1">
        <f t="array" ref="X227">CalculerCommissionAnnuelle(M227,Q227,L227,1.7%,2022)</f>
        <v>0</v>
      </c>
      <c r="Y227" s="14" cm="1">
        <f t="array" ref="Y227">CalculerCommissionAnnuelle(M227,Q227,L227,1.7%,2021)</f>
        <v>5950000</v>
      </c>
      <c r="Z227" s="19" t="str">
        <f t="shared" si="3"/>
        <v>GI</v>
      </c>
    </row>
    <row r="228" spans="1:26" s="1" customFormat="1" ht="18.149999999999999" customHeight="1" x14ac:dyDescent="0.25">
      <c r="A228" s="6" t="s">
        <v>593</v>
      </c>
      <c r="B228" s="6" t="s">
        <v>620</v>
      </c>
      <c r="C228" s="6" t="s">
        <v>621</v>
      </c>
      <c r="D228" s="6" t="s">
        <v>21</v>
      </c>
      <c r="E228" s="7"/>
      <c r="F228" s="6" t="s">
        <v>622</v>
      </c>
      <c r="G228" s="6" t="s">
        <v>623</v>
      </c>
      <c r="H228" s="8">
        <v>0</v>
      </c>
      <c r="I228" s="16">
        <v>44651</v>
      </c>
      <c r="J228" s="6" t="s">
        <v>22</v>
      </c>
      <c r="K228" s="6" t="s">
        <v>23</v>
      </c>
      <c r="L228" s="8">
        <v>12</v>
      </c>
      <c r="M228" s="11">
        <v>15000000</v>
      </c>
      <c r="N228" s="8">
        <v>1352028</v>
      </c>
      <c r="O228" s="8">
        <v>12</v>
      </c>
      <c r="P228" s="6" t="s">
        <v>24</v>
      </c>
      <c r="Q228" s="7">
        <v>44681</v>
      </c>
      <c r="R228" s="7">
        <v>45015</v>
      </c>
      <c r="S228" s="7"/>
      <c r="T228" s="6" t="s">
        <v>25</v>
      </c>
      <c r="U228" s="6" t="s">
        <v>598</v>
      </c>
      <c r="V228" s="14" cm="1">
        <f t="array" ref="V228">CalculerCommissionAnnuelle(M228,Q228,L228,1.7%,2024)</f>
        <v>0</v>
      </c>
      <c r="W228" s="14" cm="1">
        <f t="array" ref="W228">CalculerCommissionAnnuelle(M228,Q228,L228,1.7%,2023)</f>
        <v>0</v>
      </c>
      <c r="X228" s="14" cm="1">
        <f t="array" ref="X228">CalculerCommissionAnnuelle(M228,Q228,L228,1.7%,2022)</f>
        <v>297500</v>
      </c>
      <c r="Y228" s="14" cm="1">
        <f t="array" ref="Y228">CalculerCommissionAnnuelle(M228,Q228,L228,1.7%,2021)</f>
        <v>0</v>
      </c>
      <c r="Z228" s="19" t="str">
        <f t="shared" si="3"/>
        <v>GP</v>
      </c>
    </row>
    <row r="229" spans="1:26" s="1" customFormat="1" ht="18.149999999999999" customHeight="1" x14ac:dyDescent="0.25">
      <c r="A229" s="3" t="s">
        <v>593</v>
      </c>
      <c r="B229" s="3" t="s">
        <v>620</v>
      </c>
      <c r="C229" s="3" t="s">
        <v>621</v>
      </c>
      <c r="D229" s="3" t="s">
        <v>21</v>
      </c>
      <c r="E229" s="4"/>
      <c r="F229" s="3" t="s">
        <v>622</v>
      </c>
      <c r="G229" s="3" t="s">
        <v>624</v>
      </c>
      <c r="H229" s="5">
        <v>0</v>
      </c>
      <c r="I229" s="16">
        <v>44922</v>
      </c>
      <c r="J229" s="3" t="s">
        <v>22</v>
      </c>
      <c r="K229" s="3" t="s">
        <v>23</v>
      </c>
      <c r="L229" s="5">
        <v>12</v>
      </c>
      <c r="M229" s="10">
        <v>25000000</v>
      </c>
      <c r="N229" s="5">
        <v>2253380</v>
      </c>
      <c r="O229" s="5">
        <v>12</v>
      </c>
      <c r="P229" s="3" t="s">
        <v>24</v>
      </c>
      <c r="Q229" s="4">
        <v>44953</v>
      </c>
      <c r="R229" s="4">
        <v>45287</v>
      </c>
      <c r="S229" s="4"/>
      <c r="T229" s="3" t="s">
        <v>25</v>
      </c>
      <c r="U229" s="3" t="s">
        <v>598</v>
      </c>
      <c r="V229" s="14" cm="1">
        <f t="array" ref="V229">CalculerCommissionAnnuelle(M229,Q229,L229,1.7%,2024)</f>
        <v>0</v>
      </c>
      <c r="W229" s="14" cm="1">
        <f t="array" ref="W229">CalculerCommissionAnnuelle(M229,Q229,L229,1.7%,2023)</f>
        <v>283333.33333333337</v>
      </c>
      <c r="X229" s="14" cm="1">
        <f t="array" ref="X229">CalculerCommissionAnnuelle(M229,Q229,L229,1.7%,2022)</f>
        <v>0</v>
      </c>
      <c r="Y229" s="14" cm="1">
        <f t="array" ref="Y229">CalculerCommissionAnnuelle(M229,Q229,L229,1.7%,2021)</f>
        <v>0</v>
      </c>
      <c r="Z229" s="19" t="str">
        <f t="shared" si="3"/>
        <v>GP</v>
      </c>
    </row>
    <row r="230" spans="1:26" s="1" customFormat="1" ht="18.149999999999999" customHeight="1" x14ac:dyDescent="0.25">
      <c r="A230" s="3" t="s">
        <v>626</v>
      </c>
      <c r="B230" s="3" t="s">
        <v>632</v>
      </c>
      <c r="C230" s="3" t="s">
        <v>633</v>
      </c>
      <c r="D230" s="3" t="s">
        <v>21</v>
      </c>
      <c r="E230" s="4"/>
      <c r="F230" s="3" t="s">
        <v>634</v>
      </c>
      <c r="G230" s="3" t="s">
        <v>635</v>
      </c>
      <c r="H230" s="5">
        <v>0</v>
      </c>
      <c r="I230" s="16">
        <v>44372</v>
      </c>
      <c r="J230" s="3" t="s">
        <v>59</v>
      </c>
      <c r="K230" s="3" t="s">
        <v>60</v>
      </c>
      <c r="L230" s="5">
        <v>30</v>
      </c>
      <c r="M230" s="10">
        <v>16000000</v>
      </c>
      <c r="N230" s="5">
        <v>617620</v>
      </c>
      <c r="O230" s="5">
        <v>9.99</v>
      </c>
      <c r="P230" s="3" t="s">
        <v>24</v>
      </c>
      <c r="Q230" s="4">
        <v>44402</v>
      </c>
      <c r="R230" s="4">
        <v>45285</v>
      </c>
      <c r="S230" s="4"/>
      <c r="T230" s="3" t="s">
        <v>25</v>
      </c>
      <c r="U230" s="3" t="s">
        <v>631</v>
      </c>
      <c r="V230" s="14" cm="1">
        <f t="array" ref="V230">CalculerCommissionAnnuelle(M230,Q230,L230,1.7%,2024)</f>
        <v>0</v>
      </c>
      <c r="W230" s="14" cm="1">
        <f t="array" ref="W230">CalculerCommissionAnnuelle(M230,Q230,L230,1.7%,2023)</f>
        <v>72533.333333333343</v>
      </c>
      <c r="X230" s="14" cm="1">
        <f t="array" ref="X230">CalculerCommissionAnnuelle(M230,Q230,L230,1.7%,2022)</f>
        <v>290133.33333333337</v>
      </c>
      <c r="Y230" s="14" cm="1">
        <f t="array" ref="Y230">CalculerCommissionAnnuelle(M230,Q230,L230,1.7%,2021)</f>
        <v>226666.66666666669</v>
      </c>
      <c r="Z230" s="19" t="str">
        <f t="shared" si="3"/>
        <v>GP</v>
      </c>
    </row>
    <row r="231" spans="1:26" s="1" customFormat="1" ht="18.149999999999999" customHeight="1" x14ac:dyDescent="0.25">
      <c r="A231" s="6" t="s">
        <v>636</v>
      </c>
      <c r="B231" s="6" t="s">
        <v>643</v>
      </c>
      <c r="C231" s="6" t="s">
        <v>644</v>
      </c>
      <c r="D231" s="6" t="s">
        <v>21</v>
      </c>
      <c r="E231" s="7">
        <v>22322</v>
      </c>
      <c r="F231" s="6" t="s">
        <v>645</v>
      </c>
      <c r="G231" s="6" t="s">
        <v>646</v>
      </c>
      <c r="H231" s="8">
        <v>0</v>
      </c>
      <c r="I231" s="16">
        <v>44393</v>
      </c>
      <c r="J231" s="6" t="s">
        <v>39</v>
      </c>
      <c r="K231" s="6" t="s">
        <v>40</v>
      </c>
      <c r="L231" s="8">
        <v>24</v>
      </c>
      <c r="M231" s="11">
        <v>200000000</v>
      </c>
      <c r="N231" s="8">
        <v>9116315</v>
      </c>
      <c r="O231" s="8">
        <v>7.5</v>
      </c>
      <c r="P231" s="6" t="s">
        <v>24</v>
      </c>
      <c r="Q231" s="7">
        <v>44424</v>
      </c>
      <c r="R231" s="7">
        <v>45123</v>
      </c>
      <c r="S231" s="7"/>
      <c r="T231" s="6" t="s">
        <v>25</v>
      </c>
      <c r="U231" s="6" t="s">
        <v>141</v>
      </c>
      <c r="V231" s="14" cm="1">
        <f t="array" ref="V231">CalculerCommissionAnnuelle(M231,Q231,L231,1.7%,2024)</f>
        <v>0</v>
      </c>
      <c r="W231" s="14" cm="1">
        <f t="array" ref="W231">CalculerCommissionAnnuelle(M231,Q231,L231,1.7%,2023)</f>
        <v>283333.33333333337</v>
      </c>
      <c r="X231" s="14" cm="1">
        <f t="array" ref="X231">CalculerCommissionAnnuelle(M231,Q231,L231,1.7%,2022)</f>
        <v>3116666.666666667</v>
      </c>
      <c r="Y231" s="14" cm="1">
        <f t="array" ref="Y231">CalculerCommissionAnnuelle(M231,Q231,L231,1.7%,2021)</f>
        <v>2833333.3333333335</v>
      </c>
      <c r="Z231" s="19" t="str">
        <f t="shared" si="3"/>
        <v>GP</v>
      </c>
    </row>
    <row r="232" spans="1:26" s="1" customFormat="1" ht="18.149999999999999" customHeight="1" x14ac:dyDescent="0.25">
      <c r="A232" s="3" t="s">
        <v>636</v>
      </c>
      <c r="B232" s="3" t="s">
        <v>651</v>
      </c>
      <c r="C232" s="3" t="s">
        <v>652</v>
      </c>
      <c r="D232" s="3" t="s">
        <v>21</v>
      </c>
      <c r="E232" s="4"/>
      <c r="F232" s="3" t="s">
        <v>653</v>
      </c>
      <c r="G232" s="3" t="s">
        <v>655</v>
      </c>
      <c r="H232" s="5">
        <v>0</v>
      </c>
      <c r="I232" s="16">
        <v>45246</v>
      </c>
      <c r="J232" s="3" t="s">
        <v>22</v>
      </c>
      <c r="K232" s="3" t="s">
        <v>23</v>
      </c>
      <c r="L232" s="5">
        <v>6</v>
      </c>
      <c r="M232" s="10">
        <v>20000000</v>
      </c>
      <c r="N232" s="5">
        <v>3466490</v>
      </c>
      <c r="O232" s="5">
        <v>11</v>
      </c>
      <c r="P232" s="3" t="s">
        <v>24</v>
      </c>
      <c r="Q232" s="4">
        <v>45276</v>
      </c>
      <c r="R232" s="4">
        <v>45428</v>
      </c>
      <c r="S232" s="4"/>
      <c r="T232" s="3" t="s">
        <v>28</v>
      </c>
      <c r="U232" s="3" t="s">
        <v>641</v>
      </c>
      <c r="V232" s="14" cm="1">
        <f t="array" ref="V232">CalculerCommissionAnnuelle(M232,Q232,L232,1.7%,2024)</f>
        <v>0</v>
      </c>
      <c r="W232" s="14" cm="1">
        <f t="array" ref="W232">CalculerCommissionAnnuelle(M232,Q232,L232,1.7%,2023)</f>
        <v>340000</v>
      </c>
      <c r="X232" s="14" cm="1">
        <f t="array" ref="X232">CalculerCommissionAnnuelle(M232,Q232,L232,1.7%,2022)</f>
        <v>0</v>
      </c>
      <c r="Y232" s="14" cm="1">
        <f t="array" ref="Y232">CalculerCommissionAnnuelle(M232,Q232,L232,1.7%,2021)</f>
        <v>0</v>
      </c>
      <c r="Z232" s="19" t="str">
        <f t="shared" si="3"/>
        <v>GP</v>
      </c>
    </row>
    <row r="233" spans="1:26" s="1" customFormat="1" ht="18.149999999999999" customHeight="1" x14ac:dyDescent="0.25">
      <c r="A233" s="6" t="s">
        <v>656</v>
      </c>
      <c r="B233" s="6" t="s">
        <v>657</v>
      </c>
      <c r="C233" s="6" t="s">
        <v>658</v>
      </c>
      <c r="D233" s="6" t="s">
        <v>21</v>
      </c>
      <c r="E233" s="7"/>
      <c r="F233" s="6" t="s">
        <v>659</v>
      </c>
      <c r="G233" s="6" t="s">
        <v>660</v>
      </c>
      <c r="H233" s="8">
        <v>0</v>
      </c>
      <c r="I233" s="16">
        <v>44756</v>
      </c>
      <c r="J233" s="6" t="s">
        <v>39</v>
      </c>
      <c r="K233" s="6" t="s">
        <v>40</v>
      </c>
      <c r="L233" s="8">
        <v>2</v>
      </c>
      <c r="M233" s="11">
        <v>600000000</v>
      </c>
      <c r="N233" s="8">
        <v>307258631</v>
      </c>
      <c r="O233" s="8">
        <v>5.5</v>
      </c>
      <c r="P233" s="6" t="s">
        <v>24</v>
      </c>
      <c r="Q233" s="7">
        <v>44848</v>
      </c>
      <c r="R233" s="7">
        <v>44940</v>
      </c>
      <c r="S233" s="7"/>
      <c r="T233" s="6" t="s">
        <v>25</v>
      </c>
      <c r="U233" s="6" t="s">
        <v>141</v>
      </c>
      <c r="V233" s="14" cm="1">
        <f t="array" ref="V233">CalculerCommissionAnnuelle(M233,Q233,L233,1.7%,2024)</f>
        <v>0</v>
      </c>
      <c r="W233" s="14" cm="1">
        <f t="array" ref="W233">CalculerCommissionAnnuelle(M233,Q233,L233,1.7%,2023)</f>
        <v>0</v>
      </c>
      <c r="X233" s="14" cm="1">
        <f t="array" ref="X233">CalculerCommissionAnnuelle(M233,Q233,L233,1.7%,2022)</f>
        <v>0</v>
      </c>
      <c r="Y233" s="14" cm="1">
        <f t="array" ref="Y233">CalculerCommissionAnnuelle(M233,Q233,L233,1.7%,2021)</f>
        <v>0</v>
      </c>
      <c r="Z233" s="19" t="str">
        <f t="shared" si="3"/>
        <v>GI</v>
      </c>
    </row>
    <row r="234" spans="1:26" s="1" customFormat="1" ht="18.149999999999999" customHeight="1" x14ac:dyDescent="0.25">
      <c r="A234" s="3" t="s">
        <v>656</v>
      </c>
      <c r="B234" s="3" t="s">
        <v>677</v>
      </c>
      <c r="C234" s="3" t="s">
        <v>678</v>
      </c>
      <c r="D234" s="3" t="s">
        <v>21</v>
      </c>
      <c r="E234" s="4"/>
      <c r="F234" s="3" t="s">
        <v>679</v>
      </c>
      <c r="G234" s="3" t="s">
        <v>680</v>
      </c>
      <c r="H234" s="5">
        <v>0</v>
      </c>
      <c r="I234" s="16">
        <v>44272</v>
      </c>
      <c r="J234" s="3" t="s">
        <v>22</v>
      </c>
      <c r="K234" s="3" t="s">
        <v>23</v>
      </c>
      <c r="L234" s="5">
        <v>12</v>
      </c>
      <c r="M234" s="10">
        <v>1500000</v>
      </c>
      <c r="N234" s="5">
        <v>132733</v>
      </c>
      <c r="O234" s="5">
        <v>9</v>
      </c>
      <c r="P234" s="3" t="s">
        <v>24</v>
      </c>
      <c r="Q234" s="4">
        <v>44303</v>
      </c>
      <c r="R234" s="4">
        <v>44637</v>
      </c>
      <c r="S234" s="4"/>
      <c r="T234" s="3" t="s">
        <v>25</v>
      </c>
      <c r="U234" s="3" t="s">
        <v>641</v>
      </c>
      <c r="V234" s="14" cm="1">
        <f t="array" ref="V234">CalculerCommissionAnnuelle(M234,Q234,L234,1.7%,2024)</f>
        <v>0</v>
      </c>
      <c r="W234" s="14" cm="1">
        <f t="array" ref="W234">CalculerCommissionAnnuelle(M234,Q234,L234,1.7%,2023)</f>
        <v>0</v>
      </c>
      <c r="X234" s="14" cm="1">
        <f t="array" ref="X234">CalculerCommissionAnnuelle(M234,Q234,L234,1.7%,2022)</f>
        <v>0</v>
      </c>
      <c r="Y234" s="14" cm="1">
        <f t="array" ref="Y234">CalculerCommissionAnnuelle(M234,Q234,L234,1.7%,2021)</f>
        <v>29750.000000000004</v>
      </c>
      <c r="Z234" s="19" t="str">
        <f t="shared" si="3"/>
        <v>GP</v>
      </c>
    </row>
    <row r="235" spans="1:26" s="1" customFormat="1" ht="18.149999999999999" customHeight="1" x14ac:dyDescent="0.25">
      <c r="A235" s="3" t="s">
        <v>693</v>
      </c>
      <c r="B235" s="3" t="s">
        <v>694</v>
      </c>
      <c r="C235" s="3" t="s">
        <v>695</v>
      </c>
      <c r="D235" s="3" t="s">
        <v>21</v>
      </c>
      <c r="E235" s="4">
        <v>26094</v>
      </c>
      <c r="F235" s="3" t="s">
        <v>696</v>
      </c>
      <c r="G235" s="3" t="s">
        <v>697</v>
      </c>
      <c r="H235" s="5">
        <v>0</v>
      </c>
      <c r="I235" s="16">
        <v>44355</v>
      </c>
      <c r="J235" s="3" t="s">
        <v>22</v>
      </c>
      <c r="K235" s="3" t="s">
        <v>23</v>
      </c>
      <c r="L235" s="5">
        <v>18</v>
      </c>
      <c r="M235" s="10">
        <v>15000000</v>
      </c>
      <c r="N235" s="5">
        <v>933930</v>
      </c>
      <c r="O235" s="5">
        <v>12</v>
      </c>
      <c r="P235" s="3" t="s">
        <v>24</v>
      </c>
      <c r="Q235" s="4">
        <v>44385</v>
      </c>
      <c r="R235" s="4">
        <v>44903</v>
      </c>
      <c r="S235" s="4"/>
      <c r="T235" s="3" t="s">
        <v>25</v>
      </c>
      <c r="U235" s="3" t="s">
        <v>598</v>
      </c>
      <c r="V235" s="14" cm="1">
        <f t="array" ref="V235">CalculerCommissionAnnuelle(M235,Q235,L235,1.7%,2024)</f>
        <v>0</v>
      </c>
      <c r="W235" s="14" cm="1">
        <f t="array" ref="W235">CalculerCommissionAnnuelle(M235,Q235,L235,1.7%,2023)</f>
        <v>0</v>
      </c>
      <c r="X235" s="14" cm="1">
        <f t="array" ref="X235">CalculerCommissionAnnuelle(M235,Q235,L235,1.7%,2022)</f>
        <v>113333.33333333334</v>
      </c>
      <c r="Y235" s="14" cm="1">
        <f t="array" ref="Y235">CalculerCommissionAnnuelle(M235,Q235,L235,1.7%,2021)</f>
        <v>184166.66666666669</v>
      </c>
      <c r="Z235" s="19" t="str">
        <f t="shared" si="3"/>
        <v>GP</v>
      </c>
    </row>
    <row r="236" spans="1:26" s="1" customFormat="1" ht="18.149999999999999" customHeight="1" x14ac:dyDescent="0.25">
      <c r="A236" s="6" t="s">
        <v>693</v>
      </c>
      <c r="B236" s="6" t="s">
        <v>698</v>
      </c>
      <c r="C236" s="6" t="s">
        <v>699</v>
      </c>
      <c r="D236" s="6" t="s">
        <v>21</v>
      </c>
      <c r="E236" s="7"/>
      <c r="F236" s="6" t="s">
        <v>700</v>
      </c>
      <c r="G236" s="6" t="s">
        <v>701</v>
      </c>
      <c r="H236" s="8">
        <v>0</v>
      </c>
      <c r="I236" s="16">
        <v>44397</v>
      </c>
      <c r="J236" s="6" t="s">
        <v>22</v>
      </c>
      <c r="K236" s="6" t="s">
        <v>23</v>
      </c>
      <c r="L236" s="8">
        <v>18</v>
      </c>
      <c r="M236" s="11">
        <v>7000000</v>
      </c>
      <c r="N236" s="8">
        <v>435834</v>
      </c>
      <c r="O236" s="8">
        <v>12</v>
      </c>
      <c r="P236" s="6" t="s">
        <v>24</v>
      </c>
      <c r="Q236" s="7">
        <v>44428</v>
      </c>
      <c r="R236" s="7">
        <v>44946</v>
      </c>
      <c r="S236" s="7"/>
      <c r="T236" s="6" t="s">
        <v>25</v>
      </c>
      <c r="U236" s="6" t="s">
        <v>598</v>
      </c>
      <c r="V236" s="14" cm="1">
        <f t="array" ref="V236">CalculerCommissionAnnuelle(M236,Q236,L236,1.7%,2024)</f>
        <v>0</v>
      </c>
      <c r="W236" s="14" cm="1">
        <f t="array" ref="W236">CalculerCommissionAnnuelle(M236,Q236,L236,1.7%,2023)</f>
        <v>0</v>
      </c>
      <c r="X236" s="14" cm="1">
        <f t="array" ref="X236">CalculerCommissionAnnuelle(M236,Q236,L236,1.7%,2022)</f>
        <v>66111.111111111109</v>
      </c>
      <c r="Y236" s="14" cm="1">
        <f t="array" ref="Y236">CalculerCommissionAnnuelle(M236,Q236,L236,1.7%,2021)</f>
        <v>92555.555555555562</v>
      </c>
      <c r="Z236" s="19" t="str">
        <f t="shared" si="3"/>
        <v>GP</v>
      </c>
    </row>
    <row r="237" spans="1:26" s="1" customFormat="1" ht="18.149999999999999" customHeight="1" x14ac:dyDescent="0.25">
      <c r="A237" s="6" t="s">
        <v>702</v>
      </c>
      <c r="B237" s="6" t="s">
        <v>703</v>
      </c>
      <c r="C237" s="6" t="s">
        <v>704</v>
      </c>
      <c r="D237" s="6" t="s">
        <v>21</v>
      </c>
      <c r="E237" s="7"/>
      <c r="F237" s="6" t="s">
        <v>705</v>
      </c>
      <c r="G237" s="6" t="s">
        <v>706</v>
      </c>
      <c r="H237" s="8">
        <v>0</v>
      </c>
      <c r="I237" s="16">
        <v>44484</v>
      </c>
      <c r="J237" s="6" t="s">
        <v>22</v>
      </c>
      <c r="K237" s="6" t="s">
        <v>23</v>
      </c>
      <c r="L237" s="8">
        <v>12</v>
      </c>
      <c r="M237" s="11">
        <v>2000000</v>
      </c>
      <c r="N237" s="8">
        <v>179169</v>
      </c>
      <c r="O237" s="8">
        <v>11</v>
      </c>
      <c r="P237" s="6" t="s">
        <v>24</v>
      </c>
      <c r="Q237" s="7">
        <v>44515</v>
      </c>
      <c r="R237" s="7">
        <v>44849</v>
      </c>
      <c r="S237" s="7"/>
      <c r="T237" s="6" t="s">
        <v>25</v>
      </c>
      <c r="U237" s="6" t="s">
        <v>707</v>
      </c>
      <c r="V237" s="14" cm="1">
        <f t="array" ref="V237">CalculerCommissionAnnuelle(M237,Q237,L237,1.7%,2024)</f>
        <v>0</v>
      </c>
      <c r="W237" s="14" cm="1">
        <f t="array" ref="W237">CalculerCommissionAnnuelle(M237,Q237,L237,1.7%,2023)</f>
        <v>0</v>
      </c>
      <c r="X237" s="14" cm="1">
        <f t="array" ref="X237">CalculerCommissionAnnuelle(M237,Q237,L237,1.7%,2022)</f>
        <v>14166.666666666668</v>
      </c>
      <c r="Y237" s="14" cm="1">
        <f t="array" ref="Y237">CalculerCommissionAnnuelle(M237,Q237,L237,1.7%,2021)</f>
        <v>31166.666666666668</v>
      </c>
      <c r="Z237" s="19" t="str">
        <f t="shared" si="3"/>
        <v>GP</v>
      </c>
    </row>
    <row r="238" spans="1:26" s="1" customFormat="1" ht="18.149999999999999" customHeight="1" x14ac:dyDescent="0.25">
      <c r="A238" s="3" t="s">
        <v>702</v>
      </c>
      <c r="B238" s="3" t="s">
        <v>703</v>
      </c>
      <c r="C238" s="3" t="s">
        <v>704</v>
      </c>
      <c r="D238" s="3" t="s">
        <v>21</v>
      </c>
      <c r="E238" s="4"/>
      <c r="F238" s="3" t="s">
        <v>705</v>
      </c>
      <c r="G238" s="3" t="s">
        <v>708</v>
      </c>
      <c r="H238" s="5">
        <v>0</v>
      </c>
      <c r="I238" s="16">
        <v>44908</v>
      </c>
      <c r="J238" s="3" t="s">
        <v>22</v>
      </c>
      <c r="K238" s="3" t="s">
        <v>23</v>
      </c>
      <c r="L238" s="5">
        <v>12</v>
      </c>
      <c r="M238" s="10">
        <v>1000000</v>
      </c>
      <c r="N238" s="5">
        <v>89584</v>
      </c>
      <c r="O238" s="5">
        <v>11</v>
      </c>
      <c r="P238" s="3" t="s">
        <v>24</v>
      </c>
      <c r="Q238" s="4">
        <v>44939</v>
      </c>
      <c r="R238" s="4">
        <v>45273</v>
      </c>
      <c r="S238" s="4"/>
      <c r="T238" s="3" t="s">
        <v>25</v>
      </c>
      <c r="U238" s="3" t="s">
        <v>707</v>
      </c>
      <c r="V238" s="14" cm="1">
        <f t="array" ref="V238">CalculerCommissionAnnuelle(M238,Q238,L238,1.7%,2024)</f>
        <v>0</v>
      </c>
      <c r="W238" s="14" cm="1">
        <f t="array" ref="W238">CalculerCommissionAnnuelle(M238,Q238,L238,1.7%,2023)</f>
        <v>11333.333333333334</v>
      </c>
      <c r="X238" s="14" cm="1">
        <f t="array" ref="X238">CalculerCommissionAnnuelle(M238,Q238,L238,1.7%,2022)</f>
        <v>0</v>
      </c>
      <c r="Y238" s="14" cm="1">
        <f t="array" ref="Y238">CalculerCommissionAnnuelle(M238,Q238,L238,1.7%,2021)</f>
        <v>0</v>
      </c>
      <c r="Z238" s="19" t="str">
        <f t="shared" si="3"/>
        <v>GP</v>
      </c>
    </row>
    <row r="239" spans="1:26" s="1" customFormat="1" ht="18.149999999999999" customHeight="1" x14ac:dyDescent="0.25">
      <c r="A239" s="3" t="s">
        <v>702</v>
      </c>
      <c r="B239" s="3" t="s">
        <v>710</v>
      </c>
      <c r="C239" s="3" t="s">
        <v>711</v>
      </c>
      <c r="D239" s="3" t="s">
        <v>21</v>
      </c>
      <c r="E239" s="4"/>
      <c r="F239" s="3" t="s">
        <v>712</v>
      </c>
      <c r="G239" s="3" t="s">
        <v>713</v>
      </c>
      <c r="H239" s="5">
        <v>0</v>
      </c>
      <c r="I239" s="16">
        <v>44302</v>
      </c>
      <c r="J239" s="3" t="s">
        <v>22</v>
      </c>
      <c r="K239" s="3" t="s">
        <v>23</v>
      </c>
      <c r="L239" s="5">
        <v>18</v>
      </c>
      <c r="M239" s="10">
        <v>3000000</v>
      </c>
      <c r="N239" s="5">
        <v>185140</v>
      </c>
      <c r="O239" s="5">
        <v>11</v>
      </c>
      <c r="P239" s="3" t="s">
        <v>24</v>
      </c>
      <c r="Q239" s="4">
        <v>44332</v>
      </c>
      <c r="R239" s="4">
        <v>44850</v>
      </c>
      <c r="S239" s="4"/>
      <c r="T239" s="3" t="s">
        <v>25</v>
      </c>
      <c r="U239" s="3" t="s">
        <v>707</v>
      </c>
      <c r="V239" s="14" cm="1">
        <f t="array" ref="V239">CalculerCommissionAnnuelle(M239,Q239,L239,1.7%,2024)</f>
        <v>0</v>
      </c>
      <c r="W239" s="14" cm="1">
        <f t="array" ref="W239">CalculerCommissionAnnuelle(M239,Q239,L239,1.7%,2023)</f>
        <v>0</v>
      </c>
      <c r="X239" s="14" cm="1">
        <f t="array" ref="X239">CalculerCommissionAnnuelle(M239,Q239,L239,1.7%,2022)</f>
        <v>14166.666666666668</v>
      </c>
      <c r="Y239" s="14" cm="1">
        <f t="array" ref="Y239">CalculerCommissionAnnuelle(M239,Q239,L239,1.7%,2021)</f>
        <v>79333.333333333343</v>
      </c>
      <c r="Z239" s="19" t="str">
        <f t="shared" si="3"/>
        <v>GP</v>
      </c>
    </row>
    <row r="240" spans="1:26" s="1" customFormat="1" ht="18.149999999999999" customHeight="1" x14ac:dyDescent="0.25">
      <c r="A240" s="6" t="s">
        <v>702</v>
      </c>
      <c r="B240" s="6" t="s">
        <v>722</v>
      </c>
      <c r="C240" s="6" t="s">
        <v>723</v>
      </c>
      <c r="D240" s="6" t="s">
        <v>21</v>
      </c>
      <c r="E240" s="7"/>
      <c r="F240" s="6" t="s">
        <v>724</v>
      </c>
      <c r="G240" s="6" t="s">
        <v>725</v>
      </c>
      <c r="H240" s="8">
        <v>0</v>
      </c>
      <c r="I240" s="16">
        <v>44281</v>
      </c>
      <c r="J240" s="6" t="s">
        <v>22</v>
      </c>
      <c r="K240" s="6" t="s">
        <v>23</v>
      </c>
      <c r="L240" s="8">
        <v>6</v>
      </c>
      <c r="M240" s="11">
        <v>1000000</v>
      </c>
      <c r="N240" s="8">
        <v>172746</v>
      </c>
      <c r="O240" s="8">
        <v>10</v>
      </c>
      <c r="P240" s="6" t="s">
        <v>24</v>
      </c>
      <c r="Q240" s="7">
        <v>44312</v>
      </c>
      <c r="R240" s="7">
        <v>44465</v>
      </c>
      <c r="S240" s="7"/>
      <c r="T240" s="6" t="s">
        <v>25</v>
      </c>
      <c r="U240" s="6" t="s">
        <v>707</v>
      </c>
      <c r="V240" s="14" cm="1">
        <f t="array" ref="V240">CalculerCommissionAnnuelle(M240,Q240,L240,1.7%,2024)</f>
        <v>0</v>
      </c>
      <c r="W240" s="14" cm="1">
        <f t="array" ref="W240">CalculerCommissionAnnuelle(M240,Q240,L240,1.7%,2023)</f>
        <v>0</v>
      </c>
      <c r="X240" s="14" cm="1">
        <f t="array" ref="X240">CalculerCommissionAnnuelle(M240,Q240,L240,1.7%,2022)</f>
        <v>0</v>
      </c>
      <c r="Y240" s="14" cm="1">
        <f t="array" ref="Y240">CalculerCommissionAnnuelle(M240,Q240,L240,1.7%,2021)</f>
        <v>11333.333333333334</v>
      </c>
      <c r="Z240" s="19" t="str">
        <f t="shared" si="3"/>
        <v>GP</v>
      </c>
    </row>
    <row r="241" spans="1:26" s="1" customFormat="1" ht="18.149999999999999" customHeight="1" x14ac:dyDescent="0.25">
      <c r="A241" s="3" t="s">
        <v>702</v>
      </c>
      <c r="B241" s="3" t="s">
        <v>742</v>
      </c>
      <c r="C241" s="3" t="s">
        <v>743</v>
      </c>
      <c r="D241" s="3" t="s">
        <v>21</v>
      </c>
      <c r="E241" s="4"/>
      <c r="F241" s="3" t="s">
        <v>744</v>
      </c>
      <c r="G241" s="3" t="s">
        <v>745</v>
      </c>
      <c r="H241" s="5">
        <v>0</v>
      </c>
      <c r="I241" s="16">
        <v>44992</v>
      </c>
      <c r="J241" s="3" t="s">
        <v>22</v>
      </c>
      <c r="K241" s="3" t="s">
        <v>23</v>
      </c>
      <c r="L241" s="5">
        <v>12</v>
      </c>
      <c r="M241" s="10">
        <v>2000000</v>
      </c>
      <c r="N241" s="5">
        <v>180270</v>
      </c>
      <c r="O241" s="5">
        <v>12</v>
      </c>
      <c r="P241" s="3" t="s">
        <v>24</v>
      </c>
      <c r="Q241" s="4">
        <v>45023</v>
      </c>
      <c r="R241" s="4">
        <v>45358</v>
      </c>
      <c r="S241" s="4"/>
      <c r="T241" s="3" t="s">
        <v>25</v>
      </c>
      <c r="U241" s="3" t="s">
        <v>707</v>
      </c>
      <c r="V241" s="14" cm="1">
        <f t="array" ref="V241">CalculerCommissionAnnuelle(M241,Q241,L241,1.7%,2024)</f>
        <v>0</v>
      </c>
      <c r="W241" s="14" cm="1">
        <f t="array" ref="W241">CalculerCommissionAnnuelle(M241,Q241,L241,1.7%,2023)</f>
        <v>39666.666666666672</v>
      </c>
      <c r="X241" s="14" cm="1">
        <f t="array" ref="X241">CalculerCommissionAnnuelle(M241,Q241,L241,1.7%,2022)</f>
        <v>0</v>
      </c>
      <c r="Y241" s="14" cm="1">
        <f t="array" ref="Y241">CalculerCommissionAnnuelle(M241,Q241,L241,1.7%,2021)</f>
        <v>0</v>
      </c>
      <c r="Z241" s="19" t="str">
        <f t="shared" si="3"/>
        <v>GP</v>
      </c>
    </row>
    <row r="242" spans="1:26" s="1" customFormat="1" ht="18.149999999999999" customHeight="1" x14ac:dyDescent="0.25">
      <c r="A242" s="3" t="s">
        <v>750</v>
      </c>
      <c r="B242" s="3" t="s">
        <v>751</v>
      </c>
      <c r="C242" s="3" t="s">
        <v>752</v>
      </c>
      <c r="D242" s="3" t="s">
        <v>21</v>
      </c>
      <c r="E242" s="4"/>
      <c r="F242" s="3" t="s">
        <v>753</v>
      </c>
      <c r="G242" s="3" t="s">
        <v>754</v>
      </c>
      <c r="H242" s="5">
        <v>0</v>
      </c>
      <c r="I242" s="16">
        <v>44265</v>
      </c>
      <c r="J242" s="3" t="s">
        <v>22</v>
      </c>
      <c r="K242" s="3" t="s">
        <v>23</v>
      </c>
      <c r="L242" s="5">
        <v>12</v>
      </c>
      <c r="M242" s="10">
        <v>7000000</v>
      </c>
      <c r="N242" s="5">
        <v>615603</v>
      </c>
      <c r="O242" s="5">
        <v>8</v>
      </c>
      <c r="P242" s="3" t="s">
        <v>24</v>
      </c>
      <c r="Q242" s="4">
        <v>44296</v>
      </c>
      <c r="R242" s="4">
        <v>44630</v>
      </c>
      <c r="S242" s="4"/>
      <c r="T242" s="3" t="s">
        <v>25</v>
      </c>
      <c r="U242" s="3" t="s">
        <v>755</v>
      </c>
      <c r="V242" s="14" cm="1">
        <f t="array" ref="V242">CalculerCommissionAnnuelle(M242,Q242,L242,1.7%,2024)</f>
        <v>0</v>
      </c>
      <c r="W242" s="14" cm="1">
        <f t="array" ref="W242">CalculerCommissionAnnuelle(M242,Q242,L242,1.7%,2023)</f>
        <v>0</v>
      </c>
      <c r="X242" s="14" cm="1">
        <f t="array" ref="X242">CalculerCommissionAnnuelle(M242,Q242,L242,1.7%,2022)</f>
        <v>0</v>
      </c>
      <c r="Y242" s="14" cm="1">
        <f t="array" ref="Y242">CalculerCommissionAnnuelle(M242,Q242,L242,1.7%,2021)</f>
        <v>138833.33333333334</v>
      </c>
      <c r="Z242" s="19" t="str">
        <f t="shared" si="3"/>
        <v>GP</v>
      </c>
    </row>
    <row r="243" spans="1:26" s="1" customFormat="1" ht="18.149999999999999" customHeight="1" x14ac:dyDescent="0.25">
      <c r="A243" s="6" t="s">
        <v>750</v>
      </c>
      <c r="B243" s="6" t="s">
        <v>751</v>
      </c>
      <c r="C243" s="6" t="s">
        <v>752</v>
      </c>
      <c r="D243" s="6" t="s">
        <v>21</v>
      </c>
      <c r="E243" s="7"/>
      <c r="F243" s="6" t="s">
        <v>753</v>
      </c>
      <c r="G243" s="6" t="s">
        <v>756</v>
      </c>
      <c r="H243" s="8">
        <v>0</v>
      </c>
      <c r="I243" s="16">
        <v>44853</v>
      </c>
      <c r="J243" s="6" t="s">
        <v>22</v>
      </c>
      <c r="K243" s="6" t="s">
        <v>23</v>
      </c>
      <c r="L243" s="8">
        <v>18</v>
      </c>
      <c r="M243" s="11">
        <v>10000000</v>
      </c>
      <c r="N243" s="8">
        <v>606245</v>
      </c>
      <c r="O243" s="8">
        <v>9</v>
      </c>
      <c r="P243" s="6" t="s">
        <v>24</v>
      </c>
      <c r="Q243" s="7">
        <v>44884</v>
      </c>
      <c r="R243" s="7">
        <v>45401</v>
      </c>
      <c r="S243" s="7"/>
      <c r="T243" s="6" t="s">
        <v>28</v>
      </c>
      <c r="U243" s="6" t="s">
        <v>755</v>
      </c>
      <c r="V243" s="14" cm="1">
        <f t="array" ref="V243">CalculerCommissionAnnuelle(M243,Q243,L243,1.7%,2024)</f>
        <v>0</v>
      </c>
      <c r="W243" s="14" cm="1">
        <f t="array" ref="W243">CalculerCommissionAnnuelle(M243,Q243,L243,1.7%,2023)</f>
        <v>151111.11111111112</v>
      </c>
      <c r="X243" s="14" cm="1">
        <f t="array" ref="X243">CalculerCommissionAnnuelle(M243,Q243,L243,1.7%,2022)</f>
        <v>160555.55555555556</v>
      </c>
      <c r="Y243" s="14" cm="1">
        <f t="array" ref="Y243">CalculerCommissionAnnuelle(M243,Q243,L243,1.7%,2021)</f>
        <v>0</v>
      </c>
      <c r="Z243" s="19" t="str">
        <f t="shared" si="3"/>
        <v>GP</v>
      </c>
    </row>
    <row r="244" spans="1:26" s="1" customFormat="1" ht="18.149999999999999" customHeight="1" x14ac:dyDescent="0.25">
      <c r="A244" s="6" t="s">
        <v>750</v>
      </c>
      <c r="B244" s="6" t="s">
        <v>778</v>
      </c>
      <c r="C244" s="6" t="s">
        <v>779</v>
      </c>
      <c r="D244" s="6" t="s">
        <v>21</v>
      </c>
      <c r="E244" s="7"/>
      <c r="F244" s="6" t="s">
        <v>780</v>
      </c>
      <c r="G244" s="6" t="s">
        <v>781</v>
      </c>
      <c r="H244" s="8">
        <v>0</v>
      </c>
      <c r="I244" s="16">
        <v>44365</v>
      </c>
      <c r="J244" s="6" t="s">
        <v>22</v>
      </c>
      <c r="K244" s="6" t="s">
        <v>23</v>
      </c>
      <c r="L244" s="8">
        <v>24</v>
      </c>
      <c r="M244" s="11">
        <v>9000000</v>
      </c>
      <c r="N244" s="8">
        <v>420428</v>
      </c>
      <c r="O244" s="8">
        <v>9</v>
      </c>
      <c r="P244" s="6" t="s">
        <v>24</v>
      </c>
      <c r="Q244" s="7">
        <v>44395</v>
      </c>
      <c r="R244" s="7">
        <v>45095</v>
      </c>
      <c r="S244" s="7"/>
      <c r="T244" s="6" t="s">
        <v>25</v>
      </c>
      <c r="U244" s="6" t="s">
        <v>755</v>
      </c>
      <c r="V244" s="14" cm="1">
        <f t="array" ref="V244">CalculerCommissionAnnuelle(M244,Q244,L244,1.7%,2024)</f>
        <v>0</v>
      </c>
      <c r="W244" s="14" cm="1">
        <f t="array" ref="W244">CalculerCommissionAnnuelle(M244,Q244,L244,1.7%,2023)</f>
        <v>6375.0000000000009</v>
      </c>
      <c r="X244" s="14" cm="1">
        <f t="array" ref="X244">CalculerCommissionAnnuelle(M244,Q244,L244,1.7%,2022)</f>
        <v>127500.00000000001</v>
      </c>
      <c r="Y244" s="14" cm="1">
        <f t="array" ref="Y244">CalculerCommissionAnnuelle(M244,Q244,L244,1.7%,2021)</f>
        <v>121125.00000000001</v>
      </c>
      <c r="Z244" s="19" t="str">
        <f t="shared" si="3"/>
        <v>GP</v>
      </c>
    </row>
    <row r="245" spans="1:26" s="1" customFormat="1" ht="18.149999999999999" customHeight="1" x14ac:dyDescent="0.25">
      <c r="A245" s="6" t="s">
        <v>786</v>
      </c>
      <c r="B245" s="6" t="s">
        <v>787</v>
      </c>
      <c r="C245" s="6" t="s">
        <v>788</v>
      </c>
      <c r="D245" s="6" t="s">
        <v>21</v>
      </c>
      <c r="E245" s="7"/>
      <c r="F245" s="6" t="s">
        <v>789</v>
      </c>
      <c r="G245" s="6" t="s">
        <v>790</v>
      </c>
      <c r="H245" s="8">
        <v>0</v>
      </c>
      <c r="I245" s="16">
        <v>44249</v>
      </c>
      <c r="J245" s="6" t="s">
        <v>22</v>
      </c>
      <c r="K245" s="6" t="s">
        <v>23</v>
      </c>
      <c r="L245" s="8">
        <v>24</v>
      </c>
      <c r="M245" s="11">
        <v>28000000</v>
      </c>
      <c r="N245" s="8">
        <v>1354157</v>
      </c>
      <c r="O245" s="8">
        <v>12</v>
      </c>
      <c r="P245" s="6" t="s">
        <v>24</v>
      </c>
      <c r="Q245" s="7">
        <v>44277</v>
      </c>
      <c r="R245" s="7">
        <v>44979</v>
      </c>
      <c r="S245" s="7"/>
      <c r="T245" s="6" t="s">
        <v>25</v>
      </c>
      <c r="U245" s="6" t="s">
        <v>598</v>
      </c>
      <c r="V245" s="14" cm="1">
        <f t="array" ref="V245">CalculerCommissionAnnuelle(M245,Q245,L245,1.7%,2024)</f>
        <v>0</v>
      </c>
      <c r="W245" s="14" cm="1">
        <f t="array" ref="W245">CalculerCommissionAnnuelle(M245,Q245,L245,1.7%,2023)</f>
        <v>0</v>
      </c>
      <c r="X245" s="14" cm="1">
        <f t="array" ref="X245">CalculerCommissionAnnuelle(M245,Q245,L245,1.7%,2022)</f>
        <v>238000.00000000003</v>
      </c>
      <c r="Y245" s="14" cm="1">
        <f t="array" ref="Y245">CalculerCommissionAnnuelle(M245,Q245,L245,1.7%,2021)</f>
        <v>714000</v>
      </c>
      <c r="Z245" s="19" t="str">
        <f t="shared" si="3"/>
        <v>GP</v>
      </c>
    </row>
    <row r="246" spans="1:26" s="1" customFormat="1" ht="18.149999999999999" customHeight="1" x14ac:dyDescent="0.25">
      <c r="A246" s="6" t="s">
        <v>786</v>
      </c>
      <c r="B246" s="6" t="s">
        <v>792</v>
      </c>
      <c r="C246" s="6" t="s">
        <v>793</v>
      </c>
      <c r="D246" s="6" t="s">
        <v>21</v>
      </c>
      <c r="E246" s="7"/>
      <c r="F246" s="6" t="s">
        <v>794</v>
      </c>
      <c r="G246" s="6" t="s">
        <v>795</v>
      </c>
      <c r="H246" s="8">
        <v>0</v>
      </c>
      <c r="I246" s="16">
        <v>44624</v>
      </c>
      <c r="J246" s="6" t="s">
        <v>22</v>
      </c>
      <c r="K246" s="6" t="s">
        <v>23</v>
      </c>
      <c r="L246" s="8">
        <v>24</v>
      </c>
      <c r="M246" s="11">
        <v>10000000</v>
      </c>
      <c r="N246" s="8">
        <v>483627</v>
      </c>
      <c r="O246" s="8">
        <v>12</v>
      </c>
      <c r="P246" s="6" t="s">
        <v>24</v>
      </c>
      <c r="Q246" s="7">
        <v>44655</v>
      </c>
      <c r="R246" s="7">
        <v>45355</v>
      </c>
      <c r="S246" s="7"/>
      <c r="T246" s="6" t="s">
        <v>25</v>
      </c>
      <c r="U246" s="6" t="s">
        <v>598</v>
      </c>
      <c r="V246" s="14" cm="1">
        <f t="array" ref="V246">CalculerCommissionAnnuelle(M246,Q246,L246,1.7%,2024)</f>
        <v>0</v>
      </c>
      <c r="W246" s="14" cm="1">
        <f t="array" ref="W246">CalculerCommissionAnnuelle(M246,Q246,L246,1.7%,2023)</f>
        <v>99166.666666666672</v>
      </c>
      <c r="X246" s="14" cm="1">
        <f t="array" ref="X246">CalculerCommissionAnnuelle(M246,Q246,L246,1.7%,2022)</f>
        <v>269166.66666666669</v>
      </c>
      <c r="Y246" s="14" cm="1">
        <f t="array" ref="Y246">CalculerCommissionAnnuelle(M246,Q246,L246,1.7%,2021)</f>
        <v>0</v>
      </c>
      <c r="Z246" s="19" t="str">
        <f t="shared" si="3"/>
        <v>GP</v>
      </c>
    </row>
    <row r="247" spans="1:26" s="1" customFormat="1" ht="18.149999999999999" customHeight="1" x14ac:dyDescent="0.25">
      <c r="A247" s="6" t="s">
        <v>796</v>
      </c>
      <c r="B247" s="6" t="s">
        <v>797</v>
      </c>
      <c r="C247" s="6" t="s">
        <v>798</v>
      </c>
      <c r="D247" s="6" t="s">
        <v>21</v>
      </c>
      <c r="E247" s="7"/>
      <c r="F247" s="6" t="s">
        <v>799</v>
      </c>
      <c r="G247" s="6" t="s">
        <v>800</v>
      </c>
      <c r="H247" s="8">
        <v>0</v>
      </c>
      <c r="I247" s="16">
        <v>44382</v>
      </c>
      <c r="J247" s="6" t="s">
        <v>22</v>
      </c>
      <c r="K247" s="6" t="s">
        <v>23</v>
      </c>
      <c r="L247" s="8">
        <v>12</v>
      </c>
      <c r="M247" s="11">
        <v>2000000</v>
      </c>
      <c r="N247" s="8">
        <v>178071</v>
      </c>
      <c r="O247" s="8">
        <v>10</v>
      </c>
      <c r="P247" s="6" t="s">
        <v>24</v>
      </c>
      <c r="Q247" s="7">
        <v>44413</v>
      </c>
      <c r="R247" s="7">
        <v>44747</v>
      </c>
      <c r="S247" s="7"/>
      <c r="T247" s="6" t="s">
        <v>25</v>
      </c>
      <c r="U247" s="6" t="s">
        <v>641</v>
      </c>
      <c r="V247" s="14" cm="1">
        <f t="array" ref="V247">CalculerCommissionAnnuelle(M247,Q247,L247,1.7%,2024)</f>
        <v>0</v>
      </c>
      <c r="W247" s="14" cm="1">
        <f t="array" ref="W247">CalculerCommissionAnnuelle(M247,Q247,L247,1.7%,2023)</f>
        <v>0</v>
      </c>
      <c r="X247" s="14" cm="1">
        <f t="array" ref="X247">CalculerCommissionAnnuelle(M247,Q247,L247,1.7%,2022)</f>
        <v>5666.666666666667</v>
      </c>
      <c r="Y247" s="14" cm="1">
        <f t="array" ref="Y247">CalculerCommissionAnnuelle(M247,Q247,L247,1.7%,2021)</f>
        <v>22666.666666666668</v>
      </c>
      <c r="Z247" s="19" t="str">
        <f t="shared" si="3"/>
        <v>GP</v>
      </c>
    </row>
    <row r="248" spans="1:26" s="1" customFormat="1" ht="18.149999999999999" customHeight="1" x14ac:dyDescent="0.25">
      <c r="A248" s="6" t="s">
        <v>830</v>
      </c>
      <c r="B248" s="6" t="s">
        <v>835</v>
      </c>
      <c r="C248" s="6" t="s">
        <v>836</v>
      </c>
      <c r="D248" s="6" t="s">
        <v>21</v>
      </c>
      <c r="E248" s="7"/>
      <c r="F248" s="6" t="s">
        <v>837</v>
      </c>
      <c r="G248" s="6" t="s">
        <v>838</v>
      </c>
      <c r="H248" s="8">
        <v>0</v>
      </c>
      <c r="I248" s="16">
        <v>44634</v>
      </c>
      <c r="J248" s="6" t="s">
        <v>22</v>
      </c>
      <c r="K248" s="6" t="s">
        <v>23</v>
      </c>
      <c r="L248" s="8">
        <v>24</v>
      </c>
      <c r="M248" s="11">
        <v>6000000</v>
      </c>
      <c r="N248" s="8">
        <v>280285</v>
      </c>
      <c r="O248" s="8">
        <v>9</v>
      </c>
      <c r="P248" s="6" t="s">
        <v>24</v>
      </c>
      <c r="Q248" s="7">
        <v>44665</v>
      </c>
      <c r="R248" s="7">
        <v>45365</v>
      </c>
      <c r="S248" s="7"/>
      <c r="T248" s="6" t="s">
        <v>25</v>
      </c>
      <c r="U248" s="6" t="s">
        <v>300</v>
      </c>
      <c r="V248" s="14" cm="1">
        <f t="array" ref="V248">CalculerCommissionAnnuelle(M248,Q248,L248,1.7%,2024)</f>
        <v>0</v>
      </c>
      <c r="W248" s="14" cm="1">
        <f t="array" ref="W248">CalculerCommissionAnnuelle(M248,Q248,L248,1.7%,2023)</f>
        <v>59500.000000000007</v>
      </c>
      <c r="X248" s="14" cm="1">
        <f t="array" ref="X248">CalculerCommissionAnnuelle(M248,Q248,L248,1.7%,2022)</f>
        <v>161500</v>
      </c>
      <c r="Y248" s="14" cm="1">
        <f t="array" ref="Y248">CalculerCommissionAnnuelle(M248,Q248,L248,1.7%,2021)</f>
        <v>0</v>
      </c>
      <c r="Z248" s="19" t="str">
        <f t="shared" si="3"/>
        <v>GP</v>
      </c>
    </row>
    <row r="249" spans="1:26" s="1" customFormat="1" ht="18.149999999999999" customHeight="1" x14ac:dyDescent="0.25">
      <c r="A249" s="3" t="s">
        <v>839</v>
      </c>
      <c r="B249" s="3" t="s">
        <v>840</v>
      </c>
      <c r="C249" s="3" t="s">
        <v>841</v>
      </c>
      <c r="D249" s="3" t="s">
        <v>21</v>
      </c>
      <c r="E249" s="4"/>
      <c r="F249" s="3" t="s">
        <v>842</v>
      </c>
      <c r="G249" s="3" t="s">
        <v>843</v>
      </c>
      <c r="H249" s="5">
        <v>0</v>
      </c>
      <c r="I249" s="16">
        <v>44687</v>
      </c>
      <c r="J249" s="3" t="s">
        <v>22</v>
      </c>
      <c r="K249" s="3" t="s">
        <v>23</v>
      </c>
      <c r="L249" s="5">
        <v>18</v>
      </c>
      <c r="M249" s="10">
        <v>5000000</v>
      </c>
      <c r="N249" s="5">
        <v>305838</v>
      </c>
      <c r="O249" s="5">
        <v>10</v>
      </c>
      <c r="P249" s="3" t="s">
        <v>24</v>
      </c>
      <c r="Q249" s="4">
        <v>44718</v>
      </c>
      <c r="R249" s="4">
        <v>45236</v>
      </c>
      <c r="S249" s="4"/>
      <c r="T249" s="3" t="s">
        <v>25</v>
      </c>
      <c r="U249" s="3" t="s">
        <v>285</v>
      </c>
      <c r="V249" s="14" cm="1">
        <f t="array" ref="V249">CalculerCommissionAnnuelle(M249,Q249,L249,1.7%,2024)</f>
        <v>0</v>
      </c>
      <c r="W249" s="14" cm="1">
        <f t="array" ref="W249">CalculerCommissionAnnuelle(M249,Q249,L249,1.7%,2023)</f>
        <v>28333.333333333336</v>
      </c>
      <c r="X249" s="14" cm="1">
        <f t="array" ref="X249">CalculerCommissionAnnuelle(M249,Q249,L249,1.7%,2022)</f>
        <v>141666.66666666669</v>
      </c>
      <c r="Y249" s="14" cm="1">
        <f t="array" ref="Y249">CalculerCommissionAnnuelle(M249,Q249,L249,1.7%,2021)</f>
        <v>0</v>
      </c>
      <c r="Z249" s="19" t="str">
        <f t="shared" si="3"/>
        <v>GP</v>
      </c>
    </row>
    <row r="250" spans="1:26" s="1" customFormat="1" ht="18.149999999999999" customHeight="1" x14ac:dyDescent="0.25">
      <c r="A250" s="6" t="s">
        <v>839</v>
      </c>
      <c r="B250" s="6" t="s">
        <v>844</v>
      </c>
      <c r="C250" s="6" t="s">
        <v>845</v>
      </c>
      <c r="D250" s="6" t="s">
        <v>21</v>
      </c>
      <c r="E250" s="7"/>
      <c r="F250" s="6" t="s">
        <v>846</v>
      </c>
      <c r="G250" s="6" t="s">
        <v>847</v>
      </c>
      <c r="H250" s="8">
        <v>0</v>
      </c>
      <c r="I250" s="16">
        <v>44253</v>
      </c>
      <c r="J250" s="6" t="s">
        <v>59</v>
      </c>
      <c r="K250" s="6" t="s">
        <v>60</v>
      </c>
      <c r="L250" s="8">
        <v>36</v>
      </c>
      <c r="M250" s="11">
        <v>25000000</v>
      </c>
      <c r="N250" s="8">
        <v>834990</v>
      </c>
      <c r="O250" s="8">
        <v>9.99</v>
      </c>
      <c r="P250" s="6" t="s">
        <v>24</v>
      </c>
      <c r="Q250" s="7">
        <v>44281</v>
      </c>
      <c r="R250" s="7">
        <v>45348</v>
      </c>
      <c r="S250" s="7"/>
      <c r="T250" s="6" t="s">
        <v>25</v>
      </c>
      <c r="U250" s="6" t="s">
        <v>285</v>
      </c>
      <c r="V250" s="14" cm="1">
        <f t="array" ref="V250">CalculerCommissionAnnuelle(M250,Q250,L250,1.7%,2024)</f>
        <v>0</v>
      </c>
      <c r="W250" s="14" cm="1">
        <f t="array" ref="W250">CalculerCommissionAnnuelle(M250,Q250,L250,1.7%,2023)</f>
        <v>141666.66666666669</v>
      </c>
      <c r="X250" s="14" cm="1">
        <f t="array" ref="X250">CalculerCommissionAnnuelle(M250,Q250,L250,1.7%,2022)</f>
        <v>425000.00000000006</v>
      </c>
      <c r="Y250" s="14" cm="1">
        <f t="array" ref="Y250">CalculerCommissionAnnuelle(M250,Q250,L250,1.7%,2021)</f>
        <v>708333.33333333337</v>
      </c>
      <c r="Z250" s="19" t="str">
        <f t="shared" si="3"/>
        <v>GP</v>
      </c>
    </row>
    <row r="251" spans="1:26" s="1" customFormat="1" ht="18.149999999999999" customHeight="1" x14ac:dyDescent="0.25">
      <c r="A251" s="3" t="s">
        <v>877</v>
      </c>
      <c r="B251" s="3" t="s">
        <v>878</v>
      </c>
      <c r="C251" s="3" t="s">
        <v>879</v>
      </c>
      <c r="D251" s="3" t="s">
        <v>21</v>
      </c>
      <c r="E251" s="4"/>
      <c r="F251" s="3" t="s">
        <v>880</v>
      </c>
      <c r="G251" s="3" t="s">
        <v>881</v>
      </c>
      <c r="H251" s="5">
        <v>0</v>
      </c>
      <c r="I251" s="16">
        <v>44628</v>
      </c>
      <c r="J251" s="3" t="s">
        <v>22</v>
      </c>
      <c r="K251" s="3" t="s">
        <v>23</v>
      </c>
      <c r="L251" s="5">
        <v>24</v>
      </c>
      <c r="M251" s="10">
        <v>15000000</v>
      </c>
      <c r="N251" s="5">
        <v>700713</v>
      </c>
      <c r="O251" s="5">
        <v>9</v>
      </c>
      <c r="P251" s="3" t="s">
        <v>24</v>
      </c>
      <c r="Q251" s="4">
        <v>44659</v>
      </c>
      <c r="R251" s="4">
        <v>45359</v>
      </c>
      <c r="S251" s="4"/>
      <c r="T251" s="3" t="s">
        <v>28</v>
      </c>
      <c r="U251" s="3" t="s">
        <v>310</v>
      </c>
      <c r="V251" s="14" cm="1">
        <f t="array" ref="V251">CalculerCommissionAnnuelle(M251,Q251,L251,1.7%,2024)</f>
        <v>0</v>
      </c>
      <c r="W251" s="14" cm="1">
        <f t="array" ref="W251">CalculerCommissionAnnuelle(M251,Q251,L251,1.7%,2023)</f>
        <v>148750</v>
      </c>
      <c r="X251" s="14" cm="1">
        <f t="array" ref="X251">CalculerCommissionAnnuelle(M251,Q251,L251,1.7%,2022)</f>
        <v>403750</v>
      </c>
      <c r="Y251" s="14" cm="1">
        <f t="array" ref="Y251">CalculerCommissionAnnuelle(M251,Q251,L251,1.7%,2021)</f>
        <v>0</v>
      </c>
      <c r="Z251" s="19" t="str">
        <f t="shared" si="3"/>
        <v>GP</v>
      </c>
    </row>
    <row r="252" spans="1:26" s="1" customFormat="1" ht="18.149999999999999" customHeight="1" x14ac:dyDescent="0.25">
      <c r="A252" s="6" t="s">
        <v>882</v>
      </c>
      <c r="B252" s="6" t="s">
        <v>891</v>
      </c>
      <c r="C252" s="6" t="s">
        <v>892</v>
      </c>
      <c r="D252" s="6" t="s">
        <v>21</v>
      </c>
      <c r="E252" s="7"/>
      <c r="F252" s="6" t="s">
        <v>893</v>
      </c>
      <c r="G252" s="6" t="s">
        <v>894</v>
      </c>
      <c r="H252" s="8">
        <v>0</v>
      </c>
      <c r="I252" s="16">
        <v>44305</v>
      </c>
      <c r="J252" s="6" t="s">
        <v>59</v>
      </c>
      <c r="K252" s="6" t="s">
        <v>60</v>
      </c>
      <c r="L252" s="8">
        <v>36</v>
      </c>
      <c r="M252" s="11">
        <v>30000000</v>
      </c>
      <c r="N252" s="8">
        <v>1001988</v>
      </c>
      <c r="O252" s="8">
        <v>9.99</v>
      </c>
      <c r="P252" s="6" t="s">
        <v>24</v>
      </c>
      <c r="Q252" s="7">
        <v>44335</v>
      </c>
      <c r="R252" s="7">
        <v>45401</v>
      </c>
      <c r="S252" s="7"/>
      <c r="T252" s="6" t="s">
        <v>28</v>
      </c>
      <c r="U252" s="6" t="s">
        <v>505</v>
      </c>
      <c r="V252" s="14" cm="1">
        <f t="array" ref="V252">CalculerCommissionAnnuelle(M252,Q252,L252,1.7%,2024)</f>
        <v>0</v>
      </c>
      <c r="W252" s="14" cm="1">
        <f t="array" ref="W252">CalculerCommissionAnnuelle(M252,Q252,L252,1.7%,2023)</f>
        <v>226666.66666666666</v>
      </c>
      <c r="X252" s="14" cm="1">
        <f t="array" ref="X252">CalculerCommissionAnnuelle(M252,Q252,L252,1.7%,2022)</f>
        <v>566666.66666666674</v>
      </c>
      <c r="Y252" s="14" cm="1">
        <f t="array" ref="Y252">CalculerCommissionAnnuelle(M252,Q252,L252,1.7%,2021)</f>
        <v>906666.66666666674</v>
      </c>
      <c r="Z252" s="19" t="str">
        <f t="shared" si="3"/>
        <v>GP</v>
      </c>
    </row>
    <row r="253" spans="1:26" s="1" customFormat="1" ht="18.149999999999999" customHeight="1" x14ac:dyDescent="0.25">
      <c r="A253" s="3" t="s">
        <v>924</v>
      </c>
      <c r="B253" s="3" t="s">
        <v>925</v>
      </c>
      <c r="C253" s="3" t="s">
        <v>926</v>
      </c>
      <c r="D253" s="3" t="s">
        <v>21</v>
      </c>
      <c r="E253" s="4"/>
      <c r="F253" s="3" t="s">
        <v>927</v>
      </c>
      <c r="G253" s="3" t="s">
        <v>928</v>
      </c>
      <c r="H253" s="5">
        <v>0</v>
      </c>
      <c r="I253" s="16">
        <v>44253</v>
      </c>
      <c r="J253" s="3" t="s">
        <v>59</v>
      </c>
      <c r="K253" s="3" t="s">
        <v>60</v>
      </c>
      <c r="L253" s="5">
        <v>36</v>
      </c>
      <c r="M253" s="10">
        <v>15000000</v>
      </c>
      <c r="N253" s="5">
        <v>496883</v>
      </c>
      <c r="O253" s="5">
        <v>9.5</v>
      </c>
      <c r="P253" s="3" t="s">
        <v>24</v>
      </c>
      <c r="Q253" s="4">
        <v>44281</v>
      </c>
      <c r="R253" s="4">
        <v>45348</v>
      </c>
      <c r="S253" s="4"/>
      <c r="T253" s="3" t="s">
        <v>25</v>
      </c>
      <c r="U253" s="3" t="s">
        <v>416</v>
      </c>
      <c r="V253" s="14" cm="1">
        <f t="array" ref="V253">CalculerCommissionAnnuelle(M253,Q253,L253,1.7%,2024)</f>
        <v>0</v>
      </c>
      <c r="W253" s="14" cm="1">
        <f t="array" ref="W253">CalculerCommissionAnnuelle(M253,Q253,L253,1.7%,2023)</f>
        <v>85000</v>
      </c>
      <c r="X253" s="14" cm="1">
        <f t="array" ref="X253">CalculerCommissionAnnuelle(M253,Q253,L253,1.7%,2022)</f>
        <v>255000.00000000003</v>
      </c>
      <c r="Y253" s="14" cm="1">
        <f t="array" ref="Y253">CalculerCommissionAnnuelle(M253,Q253,L253,1.7%,2021)</f>
        <v>425000.00000000006</v>
      </c>
      <c r="Z253" s="19" t="str">
        <f t="shared" si="3"/>
        <v>GP</v>
      </c>
    </row>
    <row r="254" spans="1:26" s="1" customFormat="1" ht="18.149999999999999" customHeight="1" x14ac:dyDescent="0.25">
      <c r="A254" s="3" t="s">
        <v>924</v>
      </c>
      <c r="B254" s="3" t="s">
        <v>933</v>
      </c>
      <c r="C254" s="3" t="s">
        <v>934</v>
      </c>
      <c r="D254" s="3" t="s">
        <v>21</v>
      </c>
      <c r="E254" s="4"/>
      <c r="F254" s="3" t="s">
        <v>935</v>
      </c>
      <c r="G254" s="3" t="s">
        <v>936</v>
      </c>
      <c r="H254" s="5">
        <v>0</v>
      </c>
      <c r="I254" s="16">
        <v>44694</v>
      </c>
      <c r="J254" s="3" t="s">
        <v>22</v>
      </c>
      <c r="K254" s="3" t="s">
        <v>23</v>
      </c>
      <c r="L254" s="5">
        <v>12</v>
      </c>
      <c r="M254" s="10">
        <v>29000000</v>
      </c>
      <c r="N254" s="5">
        <v>2597949</v>
      </c>
      <c r="O254" s="5">
        <v>11</v>
      </c>
      <c r="P254" s="3" t="s">
        <v>24</v>
      </c>
      <c r="Q254" s="4">
        <v>44725</v>
      </c>
      <c r="R254" s="4">
        <v>45059</v>
      </c>
      <c r="S254" s="4"/>
      <c r="T254" s="3" t="s">
        <v>25</v>
      </c>
      <c r="U254" s="3" t="s">
        <v>416</v>
      </c>
      <c r="V254" s="14" cm="1">
        <f t="array" ref="V254">CalculerCommissionAnnuelle(M254,Q254,L254,1.7%,2024)</f>
        <v>0</v>
      </c>
      <c r="W254" s="14" cm="1">
        <f t="array" ref="W254">CalculerCommissionAnnuelle(M254,Q254,L254,1.7%,2023)</f>
        <v>0</v>
      </c>
      <c r="X254" s="14" cm="1">
        <f t="array" ref="X254">CalculerCommissionAnnuelle(M254,Q254,L254,1.7%,2022)</f>
        <v>739500</v>
      </c>
      <c r="Y254" s="14" cm="1">
        <f t="array" ref="Y254">CalculerCommissionAnnuelle(M254,Q254,L254,1.7%,2021)</f>
        <v>0</v>
      </c>
      <c r="Z254" s="19" t="str">
        <f t="shared" si="3"/>
        <v>GP</v>
      </c>
    </row>
    <row r="255" spans="1:26" s="1" customFormat="1" ht="18.149999999999999" customHeight="1" x14ac:dyDescent="0.25">
      <c r="A255" s="3" t="s">
        <v>938</v>
      </c>
      <c r="B255" s="3" t="s">
        <v>939</v>
      </c>
      <c r="C255" s="3" t="s">
        <v>940</v>
      </c>
      <c r="D255" s="3" t="s">
        <v>21</v>
      </c>
      <c r="E255" s="4"/>
      <c r="F255" s="3" t="s">
        <v>941</v>
      </c>
      <c r="G255" s="3" t="s">
        <v>942</v>
      </c>
      <c r="H255" s="5">
        <v>0</v>
      </c>
      <c r="I255" s="16">
        <v>44363</v>
      </c>
      <c r="J255" s="3" t="s">
        <v>22</v>
      </c>
      <c r="K255" s="3" t="s">
        <v>23</v>
      </c>
      <c r="L255" s="5">
        <v>12</v>
      </c>
      <c r="M255" s="10">
        <v>3000000</v>
      </c>
      <c r="N255" s="5">
        <v>268753</v>
      </c>
      <c r="O255" s="5">
        <v>11</v>
      </c>
      <c r="P255" s="3" t="s">
        <v>24</v>
      </c>
      <c r="Q255" s="4">
        <v>44393</v>
      </c>
      <c r="R255" s="4">
        <v>44728</v>
      </c>
      <c r="S255" s="4"/>
      <c r="T255" s="3" t="s">
        <v>25</v>
      </c>
      <c r="U255" s="3" t="s">
        <v>598</v>
      </c>
      <c r="V255" s="14" cm="1">
        <f t="array" ref="V255">CalculerCommissionAnnuelle(M255,Q255,L255,1.7%,2024)</f>
        <v>0</v>
      </c>
      <c r="W255" s="14" cm="1">
        <f t="array" ref="W255">CalculerCommissionAnnuelle(M255,Q255,L255,1.7%,2023)</f>
        <v>0</v>
      </c>
      <c r="X255" s="14" cm="1">
        <f t="array" ref="X255">CalculerCommissionAnnuelle(M255,Q255,L255,1.7%,2022)</f>
        <v>4250</v>
      </c>
      <c r="Y255" s="14" cm="1">
        <f t="array" ref="Y255">CalculerCommissionAnnuelle(M255,Q255,L255,1.7%,2021)</f>
        <v>29750.000000000004</v>
      </c>
      <c r="Z255" s="19" t="str">
        <f t="shared" si="3"/>
        <v>GP</v>
      </c>
    </row>
    <row r="256" spans="1:26" s="1" customFormat="1" ht="18.149999999999999" customHeight="1" x14ac:dyDescent="0.25">
      <c r="A256" s="6" t="s">
        <v>938</v>
      </c>
      <c r="B256" s="6" t="s">
        <v>943</v>
      </c>
      <c r="C256" s="6" t="s">
        <v>944</v>
      </c>
      <c r="D256" s="6" t="s">
        <v>21</v>
      </c>
      <c r="E256" s="7"/>
      <c r="F256" s="6" t="s">
        <v>945</v>
      </c>
      <c r="G256" s="6" t="s">
        <v>946</v>
      </c>
      <c r="H256" s="8">
        <v>0</v>
      </c>
      <c r="I256" s="16">
        <v>44729</v>
      </c>
      <c r="J256" s="6" t="s">
        <v>22</v>
      </c>
      <c r="K256" s="6" t="s">
        <v>23</v>
      </c>
      <c r="L256" s="8">
        <v>18</v>
      </c>
      <c r="M256" s="11">
        <v>7548021</v>
      </c>
      <c r="N256" s="8">
        <v>465814</v>
      </c>
      <c r="O256" s="8">
        <v>11</v>
      </c>
      <c r="P256" s="6" t="s">
        <v>24</v>
      </c>
      <c r="Q256" s="7">
        <v>44759</v>
      </c>
      <c r="R256" s="7">
        <v>45277</v>
      </c>
      <c r="S256" s="7"/>
      <c r="T256" s="6" t="s">
        <v>25</v>
      </c>
      <c r="U256" s="6" t="s">
        <v>598</v>
      </c>
      <c r="V256" s="14" cm="1">
        <f t="array" ref="V256">CalculerCommissionAnnuelle(M256,Q256,L256,1.7%,2024)</f>
        <v>0</v>
      </c>
      <c r="W256" s="14" cm="1">
        <f t="array" ref="W256">CalculerCommissionAnnuelle(M256,Q256,L256,1.7%,2023)</f>
        <v>57029.492000000006</v>
      </c>
      <c r="X256" s="14" cm="1">
        <f t="array" ref="X256">CalculerCommissionAnnuelle(M256,Q256,L256,1.7%,2022)</f>
        <v>92672.924500000008</v>
      </c>
      <c r="Y256" s="14" cm="1">
        <f t="array" ref="Y256">CalculerCommissionAnnuelle(M256,Q256,L256,1.7%,2021)</f>
        <v>0</v>
      </c>
      <c r="Z256" s="19" t="str">
        <f t="shared" si="3"/>
        <v>GP</v>
      </c>
    </row>
    <row r="257" spans="1:26" s="1" customFormat="1" ht="18.149999999999999" customHeight="1" x14ac:dyDescent="0.25">
      <c r="A257" s="3" t="s">
        <v>938</v>
      </c>
      <c r="B257" s="3" t="s">
        <v>947</v>
      </c>
      <c r="C257" s="3" t="s">
        <v>948</v>
      </c>
      <c r="D257" s="3" t="s">
        <v>21</v>
      </c>
      <c r="E257" s="4"/>
      <c r="F257" s="3" t="s">
        <v>949</v>
      </c>
      <c r="G257" s="3" t="s">
        <v>950</v>
      </c>
      <c r="H257" s="5">
        <v>0</v>
      </c>
      <c r="I257" s="16">
        <v>44322</v>
      </c>
      <c r="J257" s="3" t="s">
        <v>22</v>
      </c>
      <c r="K257" s="3" t="s">
        <v>23</v>
      </c>
      <c r="L257" s="5">
        <v>12</v>
      </c>
      <c r="M257" s="10">
        <v>4000000</v>
      </c>
      <c r="N257" s="5">
        <v>358338</v>
      </c>
      <c r="O257" s="5">
        <v>11</v>
      </c>
      <c r="P257" s="3" t="s">
        <v>24</v>
      </c>
      <c r="Q257" s="4">
        <v>44353</v>
      </c>
      <c r="R257" s="4">
        <v>44687</v>
      </c>
      <c r="S257" s="4"/>
      <c r="T257" s="3" t="s">
        <v>25</v>
      </c>
      <c r="U257" s="3" t="s">
        <v>598</v>
      </c>
      <c r="V257" s="14" cm="1">
        <f t="array" ref="V257">CalculerCommissionAnnuelle(M257,Q257,L257,1.7%,2024)</f>
        <v>0</v>
      </c>
      <c r="W257" s="14" cm="1">
        <f t="array" ref="W257">CalculerCommissionAnnuelle(M257,Q257,L257,1.7%,2023)</f>
        <v>0</v>
      </c>
      <c r="X257" s="14" cm="1">
        <f t="array" ref="X257">CalculerCommissionAnnuelle(M257,Q257,L257,1.7%,2022)</f>
        <v>0</v>
      </c>
      <c r="Y257" s="14" cm="1">
        <f t="array" ref="Y257">CalculerCommissionAnnuelle(M257,Q257,L257,1.7%,2021)</f>
        <v>102000.00000000001</v>
      </c>
      <c r="Z257" s="19" t="str">
        <f t="shared" si="3"/>
        <v>GP</v>
      </c>
    </row>
    <row r="258" spans="1:26" s="1" customFormat="1" ht="18.149999999999999" customHeight="1" x14ac:dyDescent="0.25">
      <c r="A258" s="6" t="s">
        <v>960</v>
      </c>
      <c r="B258" s="6" t="s">
        <v>961</v>
      </c>
      <c r="C258" s="6" t="s">
        <v>962</v>
      </c>
      <c r="D258" s="6" t="s">
        <v>21</v>
      </c>
      <c r="E258" s="7"/>
      <c r="F258" s="6" t="s">
        <v>963</v>
      </c>
      <c r="G258" s="6" t="s">
        <v>964</v>
      </c>
      <c r="H258" s="8">
        <v>0</v>
      </c>
      <c r="I258" s="16">
        <v>45044</v>
      </c>
      <c r="J258" s="6" t="s">
        <v>22</v>
      </c>
      <c r="K258" s="6" t="s">
        <v>23</v>
      </c>
      <c r="L258" s="8">
        <v>12</v>
      </c>
      <c r="M258" s="11">
        <v>30000000</v>
      </c>
      <c r="N258" s="8">
        <v>2671067</v>
      </c>
      <c r="O258" s="8">
        <v>10</v>
      </c>
      <c r="P258" s="6" t="s">
        <v>24</v>
      </c>
      <c r="Q258" s="7">
        <v>45074</v>
      </c>
      <c r="R258" s="7">
        <v>45410</v>
      </c>
      <c r="S258" s="7"/>
      <c r="T258" s="6" t="s">
        <v>28</v>
      </c>
      <c r="U258" s="6" t="s">
        <v>285</v>
      </c>
      <c r="V258" s="14" cm="1">
        <f t="array" ref="V258">CalculerCommissionAnnuelle(M258,Q258,L258,1.7%,2024)</f>
        <v>0</v>
      </c>
      <c r="W258" s="14" cm="1">
        <f t="array" ref="W258">CalculerCommissionAnnuelle(M258,Q258,L258,1.7%,2023)</f>
        <v>680000</v>
      </c>
      <c r="X258" s="14" cm="1">
        <f t="array" ref="X258">CalculerCommissionAnnuelle(M258,Q258,L258,1.7%,2022)</f>
        <v>0</v>
      </c>
      <c r="Y258" s="14" cm="1">
        <f t="array" ref="Y258">CalculerCommissionAnnuelle(M258,Q258,L258,1.7%,2021)</f>
        <v>0</v>
      </c>
      <c r="Z258" s="19" t="str">
        <f t="shared" si="3"/>
        <v>GP</v>
      </c>
    </row>
    <row r="259" spans="1:26" s="1" customFormat="1" ht="18.149999999999999" customHeight="1" x14ac:dyDescent="0.25">
      <c r="A259" s="3" t="s">
        <v>960</v>
      </c>
      <c r="B259" s="3" t="s">
        <v>965</v>
      </c>
      <c r="C259" s="3" t="s">
        <v>966</v>
      </c>
      <c r="D259" s="3" t="s">
        <v>21</v>
      </c>
      <c r="E259" s="4"/>
      <c r="F259" s="3" t="s">
        <v>967</v>
      </c>
      <c r="G259" s="3" t="s">
        <v>968</v>
      </c>
      <c r="H259" s="5">
        <v>0</v>
      </c>
      <c r="I259" s="16">
        <v>45050</v>
      </c>
      <c r="J259" s="3" t="s">
        <v>22</v>
      </c>
      <c r="K259" s="3" t="s">
        <v>23</v>
      </c>
      <c r="L259" s="5">
        <v>12</v>
      </c>
      <c r="M259" s="10">
        <v>20000000</v>
      </c>
      <c r="N259" s="5">
        <v>1780711</v>
      </c>
      <c r="O259" s="5">
        <v>10</v>
      </c>
      <c r="P259" s="3" t="s">
        <v>24</v>
      </c>
      <c r="Q259" s="4">
        <v>45081</v>
      </c>
      <c r="R259" s="4">
        <v>45416</v>
      </c>
      <c r="S259" s="4"/>
      <c r="T259" s="3" t="s">
        <v>28</v>
      </c>
      <c r="U259" s="3" t="s">
        <v>300</v>
      </c>
      <c r="V259" s="14" cm="1">
        <f t="array" ref="V259">CalculerCommissionAnnuelle(M259,Q259,L259,1.7%,2024)</f>
        <v>0</v>
      </c>
      <c r="W259" s="14" cm="1">
        <f t="array" ref="W259">CalculerCommissionAnnuelle(M259,Q259,L259,1.7%,2023)</f>
        <v>510000.00000000006</v>
      </c>
      <c r="X259" s="14" cm="1">
        <f t="array" ref="X259">CalculerCommissionAnnuelle(M259,Q259,L259,1.7%,2022)</f>
        <v>0</v>
      </c>
      <c r="Y259" s="14" cm="1">
        <f t="array" ref="Y259">CalculerCommissionAnnuelle(M259,Q259,L259,1.7%,2021)</f>
        <v>0</v>
      </c>
      <c r="Z259" s="19" t="str">
        <f t="shared" si="3"/>
        <v>GP</v>
      </c>
    </row>
    <row r="260" spans="1:26" s="1" customFormat="1" ht="18.149999999999999" customHeight="1" x14ac:dyDescent="0.25">
      <c r="A260" s="3" t="s">
        <v>973</v>
      </c>
      <c r="B260" s="3" t="s">
        <v>982</v>
      </c>
      <c r="C260" s="3" t="s">
        <v>983</v>
      </c>
      <c r="D260" s="3" t="s">
        <v>21</v>
      </c>
      <c r="E260" s="4"/>
      <c r="F260" s="3" t="s">
        <v>984</v>
      </c>
      <c r="G260" s="3" t="s">
        <v>985</v>
      </c>
      <c r="H260" s="5">
        <v>0</v>
      </c>
      <c r="I260" s="16">
        <v>45120</v>
      </c>
      <c r="J260" s="3" t="s">
        <v>22</v>
      </c>
      <c r="K260" s="3" t="s">
        <v>23</v>
      </c>
      <c r="L260" s="5">
        <v>10</v>
      </c>
      <c r="M260" s="10">
        <v>30000000</v>
      </c>
      <c r="N260" s="5">
        <v>3156556</v>
      </c>
      <c r="O260" s="5">
        <v>9</v>
      </c>
      <c r="P260" s="3" t="s">
        <v>24</v>
      </c>
      <c r="Q260" s="4">
        <v>45151</v>
      </c>
      <c r="R260" s="4">
        <v>45425</v>
      </c>
      <c r="S260" s="4"/>
      <c r="T260" s="3" t="s">
        <v>28</v>
      </c>
      <c r="U260" s="3" t="s">
        <v>300</v>
      </c>
      <c r="V260" s="14" cm="1">
        <f t="array" ref="V260">CalculerCommissionAnnuelle(M260,Q260,L260,1.7%,2024)</f>
        <v>0</v>
      </c>
      <c r="W260" s="14" cm="1">
        <f t="array" ref="W260">CalculerCommissionAnnuelle(M260,Q260,L260,1.7%,2023)</f>
        <v>306000</v>
      </c>
      <c r="X260" s="14" cm="1">
        <f t="array" ref="X260">CalculerCommissionAnnuelle(M260,Q260,L260,1.7%,2022)</f>
        <v>0</v>
      </c>
      <c r="Y260" s="14" cm="1">
        <f t="array" ref="Y260">CalculerCommissionAnnuelle(M260,Q260,L260,1.7%,2021)</f>
        <v>0</v>
      </c>
      <c r="Z260" s="19" t="str">
        <f t="shared" si="3"/>
        <v>GP</v>
      </c>
    </row>
    <row r="261" spans="1:26" s="1" customFormat="1" ht="28.75" customHeight="1" x14ac:dyDescent="0.25">
      <c r="I261" s="17"/>
      <c r="M261" s="12"/>
      <c r="V261" s="14"/>
      <c r="W261" s="14"/>
      <c r="X261" s="14"/>
      <c r="Y261" s="14"/>
      <c r="Z261" s="14"/>
    </row>
  </sheetData>
  <autoFilter ref="A1:Z260" xr:uid="{00000000-0001-0000-0000-000000000000}"/>
  <pageMargins left="0.7" right="0.7" top="0.75" bottom="0.75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39553-05ED-4771-862C-57D1974324E8}">
  <sheetPr codeName="Feuil3"/>
  <dimension ref="A1:Z18"/>
  <sheetViews>
    <sheetView tabSelected="1" workbookViewId="0">
      <selection activeCell="C11" sqref="C11"/>
    </sheetView>
  </sheetViews>
  <sheetFormatPr baseColWidth="10" defaultRowHeight="12.5" x14ac:dyDescent="0.25"/>
  <cols>
    <col min="1" max="1" width="16" customWidth="1"/>
    <col min="2" max="2" width="12.26953125" bestFit="1" customWidth="1"/>
    <col min="3" max="3" width="43.81640625" customWidth="1"/>
    <col min="4" max="4" width="11.90625" hidden="1" customWidth="1"/>
    <col min="5" max="5" width="15.36328125" hidden="1" customWidth="1"/>
    <col min="6" max="6" width="23" hidden="1" customWidth="1"/>
    <col min="7" max="7" width="9.36328125" hidden="1" customWidth="1"/>
    <col min="8" max="8" width="11.1796875" hidden="1" customWidth="1"/>
    <col min="9" max="9" width="18.54296875" bestFit="1" customWidth="1"/>
    <col min="11" max="11" width="30.6328125" bestFit="1" customWidth="1"/>
    <col min="12" max="12" width="9.81640625" customWidth="1"/>
    <col min="13" max="13" width="16.08984375" customWidth="1"/>
    <col min="14" max="14" width="10" hidden="1" customWidth="1"/>
    <col min="15" max="15" width="11.7265625" hidden="1" customWidth="1"/>
    <col min="16" max="16" width="12.7265625" hidden="1" customWidth="1"/>
    <col min="17" max="17" width="16.7265625" hidden="1" customWidth="1"/>
    <col min="18" max="18" width="22.453125" bestFit="1" customWidth="1"/>
    <col min="19" max="19" width="6.6328125" customWidth="1"/>
    <col min="20" max="20" width="13.6328125" hidden="1" customWidth="1"/>
    <col min="21" max="21" width="29.81640625" customWidth="1"/>
    <col min="22" max="24" width="13.90625" style="13" bestFit="1" customWidth="1"/>
    <col min="25" max="25" width="13.7265625" style="13" bestFit="1" customWidth="1"/>
    <col min="26" max="26" width="17.90625" customWidth="1"/>
  </cols>
  <sheetData>
    <row r="1" spans="1:26" ht="25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2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0">
        <v>2024</v>
      </c>
      <c r="W1" s="20">
        <v>2023</v>
      </c>
      <c r="X1" s="20">
        <v>2022</v>
      </c>
      <c r="Y1" s="20">
        <v>2021</v>
      </c>
      <c r="Z1" s="20" t="s">
        <v>986</v>
      </c>
    </row>
    <row r="2" spans="1:26" x14ac:dyDescent="0.25">
      <c r="B2">
        <v>25983840</v>
      </c>
      <c r="C2" t="s">
        <v>990</v>
      </c>
      <c r="I2" s="21">
        <v>44841</v>
      </c>
      <c r="J2" t="s">
        <v>29</v>
      </c>
      <c r="K2" t="s">
        <v>30</v>
      </c>
      <c r="L2">
        <f t="shared" ref="L2:L17" si="0">DATEDIF(I2,R2,"m")</f>
        <v>71</v>
      </c>
      <c r="M2" s="13">
        <v>2100000000</v>
      </c>
      <c r="R2" s="21">
        <v>47003</v>
      </c>
      <c r="U2" t="s">
        <v>83</v>
      </c>
      <c r="V2" s="13" cm="1">
        <f t="array" ref="V2">CalculerCommissionAnnuelle(M2,I2,L2,1.7%,2024)</f>
        <v>48270422.535211273</v>
      </c>
      <c r="W2" s="13" cm="1">
        <f t="array" ref="W2">CalculerCommissionAnnuelle(M2,I2,L2,1.7%,2023)</f>
        <v>60338028.169014089</v>
      </c>
      <c r="X2" s="13" cm="1">
        <f t="array" ref="X2">CalculerCommissionAnnuelle(M2,I2,L2,1.7%,2022)</f>
        <v>34694366.197183102</v>
      </c>
      <c r="Y2" s="13" cm="1">
        <f t="array" ref="Y2">CalculerCommissionAnnuelle(M2,I2,L2,1.7%,2021)</f>
        <v>0</v>
      </c>
      <c r="Z2" t="str">
        <f t="shared" ref="Z2:Z17" si="1">IF(M2&lt;=200000000,"GP","GI")</f>
        <v>GI</v>
      </c>
    </row>
    <row r="3" spans="1:26" x14ac:dyDescent="0.25">
      <c r="B3">
        <v>25983840</v>
      </c>
      <c r="C3" t="s">
        <v>990</v>
      </c>
      <c r="I3" s="21">
        <v>45281</v>
      </c>
      <c r="J3" t="s">
        <v>29</v>
      </c>
      <c r="K3" t="s">
        <v>30</v>
      </c>
      <c r="L3">
        <f t="shared" si="0"/>
        <v>47</v>
      </c>
      <c r="M3" s="13">
        <v>1500000000</v>
      </c>
      <c r="R3" s="21">
        <v>46715</v>
      </c>
      <c r="U3" t="s">
        <v>83</v>
      </c>
      <c r="V3" s="13" cm="1">
        <f t="array" ref="V3">CalculerCommissionAnnuelle(M3,I3,L3,1.7%,2024)</f>
        <v>41234042.55319149</v>
      </c>
      <c r="W3" s="13" cm="1">
        <f t="array" ref="W3">CalculerCommissionAnnuelle(M3,I3,L3,1.7%,2023)</f>
        <v>25500000</v>
      </c>
      <c r="X3" s="13" cm="1">
        <f t="array" ref="X3">CalculerCommissionAnnuelle(M3,I3,L3,1.7%,2022)</f>
        <v>0</v>
      </c>
      <c r="Y3" s="13" cm="1">
        <f t="array" ref="Y3">CalculerCommissionAnnuelle(M3,I3,L3,1.7%,2021)</f>
        <v>0</v>
      </c>
      <c r="Z3" t="str">
        <f t="shared" si="1"/>
        <v>GI</v>
      </c>
    </row>
    <row r="4" spans="1:26" x14ac:dyDescent="0.25">
      <c r="B4">
        <v>26024232</v>
      </c>
      <c r="C4" t="s">
        <v>994</v>
      </c>
      <c r="I4" s="21">
        <v>44916</v>
      </c>
      <c r="J4" t="s">
        <v>29</v>
      </c>
      <c r="K4" t="s">
        <v>1037</v>
      </c>
      <c r="L4">
        <f t="shared" si="0"/>
        <v>48</v>
      </c>
      <c r="M4" s="13">
        <v>1425000000</v>
      </c>
      <c r="R4" s="21">
        <v>46387</v>
      </c>
      <c r="U4" t="s">
        <v>72</v>
      </c>
      <c r="V4" s="13" cm="1">
        <f t="array" ref="V4">CalculerCommissionAnnuelle(M4,I4,L4,1.7%,2024)</f>
        <v>27253125.000000004</v>
      </c>
      <c r="W4" s="13" cm="1">
        <f t="array" ref="W4">CalculerCommissionAnnuelle(M4,I4,L4,1.7%,2023)</f>
        <v>39365625</v>
      </c>
      <c r="X4" s="13" cm="1">
        <f t="array" ref="X4">CalculerCommissionAnnuelle(M4,I4,L4,1.7%,2022)</f>
        <v>24225000</v>
      </c>
      <c r="Y4" s="13" cm="1">
        <f t="array" ref="Y4">CalculerCommissionAnnuelle(M4,I4,L4,1.7%,2021)</f>
        <v>0</v>
      </c>
      <c r="Z4" t="str">
        <f t="shared" si="1"/>
        <v>GI</v>
      </c>
    </row>
    <row r="5" spans="1:26" x14ac:dyDescent="0.25">
      <c r="B5">
        <v>25969709</v>
      </c>
      <c r="C5" t="s">
        <v>995</v>
      </c>
      <c r="I5" s="21">
        <v>43375</v>
      </c>
      <c r="J5" t="s">
        <v>29</v>
      </c>
      <c r="K5" t="s">
        <v>30</v>
      </c>
      <c r="L5">
        <f t="shared" si="0"/>
        <v>83</v>
      </c>
      <c r="M5" s="13">
        <v>1400000000</v>
      </c>
      <c r="R5" s="21">
        <v>45902</v>
      </c>
      <c r="U5" t="s">
        <v>47</v>
      </c>
      <c r="V5" s="13" cm="1">
        <f t="array" ref="V5">CalculerCommissionAnnuelle(M5,I5,L5,1.7%,2024)</f>
        <v>6881927.710843374</v>
      </c>
      <c r="W5" s="13" cm="1">
        <f t="array" ref="W5">CalculerCommissionAnnuelle(M5,I5,L5,1.7%,2023)</f>
        <v>13763855.421686748</v>
      </c>
      <c r="X5" s="13" cm="1">
        <f t="array" ref="X5">CalculerCommissionAnnuelle(M5,I5,L5,1.7%,2022)</f>
        <v>20645783.132530123</v>
      </c>
      <c r="Y5" s="13" cm="1">
        <f t="array" ref="Y5">CalculerCommissionAnnuelle(M5,I5,L5,1.7%,2021)</f>
        <v>27527710.843373496</v>
      </c>
      <c r="Z5" t="str">
        <f t="shared" si="1"/>
        <v>GI</v>
      </c>
    </row>
    <row r="6" spans="1:26" x14ac:dyDescent="0.25">
      <c r="B6">
        <v>15611005</v>
      </c>
      <c r="C6" t="s">
        <v>996</v>
      </c>
      <c r="I6" s="21">
        <v>42905</v>
      </c>
      <c r="J6" t="s">
        <v>29</v>
      </c>
      <c r="K6" t="s">
        <v>30</v>
      </c>
      <c r="L6">
        <f t="shared" si="0"/>
        <v>84</v>
      </c>
      <c r="M6" s="13">
        <v>1300000000</v>
      </c>
      <c r="R6" s="21">
        <v>45462</v>
      </c>
      <c r="U6" t="s">
        <v>47</v>
      </c>
      <c r="V6" s="13" cm="1">
        <f t="array" ref="V6">CalculerCommissionAnnuelle(M6,I6,L6,1.7%,2024)</f>
        <v>0</v>
      </c>
      <c r="W6" s="13" cm="1">
        <f t="array" ref="W6">CalculerCommissionAnnuelle(M6,I6,L6,1.7%,2023)</f>
        <v>4735714.2857142854</v>
      </c>
      <c r="X6" s="13" cm="1">
        <f t="array" ref="X6">CalculerCommissionAnnuelle(M6,I6,L6,1.7%,2022)</f>
        <v>11050000</v>
      </c>
      <c r="Y6" s="13" cm="1">
        <f t="array" ref="Y6">CalculerCommissionAnnuelle(M6,I6,L6,1.7%,2021)</f>
        <v>17364285.714285716</v>
      </c>
      <c r="Z6" t="str">
        <f t="shared" si="1"/>
        <v>GI</v>
      </c>
    </row>
    <row r="7" spans="1:26" x14ac:dyDescent="0.25">
      <c r="B7">
        <v>15483105</v>
      </c>
      <c r="C7" t="s">
        <v>1004</v>
      </c>
      <c r="I7" s="21">
        <v>44103</v>
      </c>
      <c r="J7" t="s">
        <v>29</v>
      </c>
      <c r="K7" t="s">
        <v>30</v>
      </c>
      <c r="L7">
        <f t="shared" si="0"/>
        <v>60</v>
      </c>
      <c r="M7" s="13">
        <v>867000000</v>
      </c>
      <c r="R7" s="21">
        <v>45929</v>
      </c>
      <c r="U7" t="s">
        <v>77</v>
      </c>
      <c r="V7" s="13" cm="1">
        <f t="array" ref="V7">CalculerCommissionAnnuelle(M7,I7,L7,1.7%,2024)</f>
        <v>5895600</v>
      </c>
      <c r="W7" s="13" cm="1">
        <f t="array" ref="W7">CalculerCommissionAnnuelle(M7,I7,L7,1.7%,2023)</f>
        <v>11791200</v>
      </c>
      <c r="X7" s="13" cm="1">
        <f t="array" ref="X7">CalculerCommissionAnnuelle(M7,I7,L7,1.7%,2022)</f>
        <v>17686800</v>
      </c>
      <c r="Y7" s="13" cm="1">
        <f t="array" ref="Y7">CalculerCommissionAnnuelle(M7,I7,L7,1.7%,2021)</f>
        <v>23582400</v>
      </c>
      <c r="Z7" t="str">
        <f t="shared" si="1"/>
        <v>GI</v>
      </c>
    </row>
    <row r="8" spans="1:26" x14ac:dyDescent="0.25">
      <c r="B8">
        <v>25993936</v>
      </c>
      <c r="C8" t="s">
        <v>1005</v>
      </c>
      <c r="I8" s="21">
        <v>43668</v>
      </c>
      <c r="J8" t="s">
        <v>50</v>
      </c>
      <c r="K8" t="s">
        <v>51</v>
      </c>
      <c r="L8">
        <f t="shared" si="0"/>
        <v>60</v>
      </c>
      <c r="M8" s="13">
        <v>736666668</v>
      </c>
      <c r="R8" s="21">
        <v>45495</v>
      </c>
      <c r="U8" t="s">
        <v>47</v>
      </c>
      <c r="V8" s="13" cm="1">
        <f t="array" ref="V8">CalculerCommissionAnnuelle(M8,I8,L8,1.7%,2024)</f>
        <v>208722.22260000004</v>
      </c>
      <c r="W8" s="13" cm="1">
        <f t="array" ref="W8">CalculerCommissionAnnuelle(M8,I8,L8,1.7%,2023)</f>
        <v>4174444.4520000005</v>
      </c>
      <c r="X8" s="13" cm="1">
        <f t="array" ref="X8">CalculerCommissionAnnuelle(M8,I8,L8,1.7%,2022)</f>
        <v>9183777.7944000009</v>
      </c>
      <c r="Y8" s="13" cm="1">
        <f t="array" ref="Y8">CalculerCommissionAnnuelle(M8,I8,L8,1.7%,2021)</f>
        <v>14193111.136800002</v>
      </c>
      <c r="Z8" t="str">
        <f t="shared" si="1"/>
        <v>GI</v>
      </c>
    </row>
    <row r="9" spans="1:26" x14ac:dyDescent="0.25">
      <c r="B9">
        <v>25969709</v>
      </c>
      <c r="C9" t="s">
        <v>995</v>
      </c>
      <c r="I9" s="21">
        <v>44145</v>
      </c>
      <c r="J9" t="s">
        <v>29</v>
      </c>
      <c r="K9" t="s">
        <v>30</v>
      </c>
      <c r="L9">
        <f t="shared" si="0"/>
        <v>57</v>
      </c>
      <c r="M9" s="13">
        <v>600000000</v>
      </c>
      <c r="R9" s="21">
        <v>45902</v>
      </c>
      <c r="U9" t="s">
        <v>47</v>
      </c>
      <c r="V9" s="13" cm="1">
        <f t="array" ref="V9">CalculerCommissionAnnuelle(M9,I9,L9,1.7%,2024)</f>
        <v>3936842.1052631582</v>
      </c>
      <c r="W9" s="13" cm="1">
        <f t="array" ref="W9">CalculerCommissionAnnuelle(M9,I9,L9,1.7%,2023)</f>
        <v>8231578.9473684216</v>
      </c>
      <c r="X9" s="13" cm="1">
        <f t="array" ref="X9">CalculerCommissionAnnuelle(M9,I9,L9,1.7%,2022)</f>
        <v>12526315.789473685</v>
      </c>
      <c r="Y9" s="13" cm="1">
        <f t="array" ref="Y9">CalculerCommissionAnnuelle(M9,I9,L9,1.7%,2021)</f>
        <v>16821052.631578948</v>
      </c>
      <c r="Z9" t="str">
        <f t="shared" si="1"/>
        <v>GI</v>
      </c>
    </row>
    <row r="10" spans="1:26" x14ac:dyDescent="0.25">
      <c r="B10">
        <v>25969709</v>
      </c>
      <c r="C10" t="s">
        <v>995</v>
      </c>
      <c r="I10" s="21">
        <v>44187</v>
      </c>
      <c r="J10" t="s">
        <v>29</v>
      </c>
      <c r="K10" t="s">
        <v>30</v>
      </c>
      <c r="L10">
        <f t="shared" si="0"/>
        <v>56</v>
      </c>
      <c r="M10" s="13">
        <v>600000000</v>
      </c>
      <c r="R10" s="21">
        <v>45902</v>
      </c>
      <c r="U10" t="s">
        <v>47</v>
      </c>
      <c r="V10" s="13" cm="1">
        <f t="array" ref="V10">CalculerCommissionAnnuelle(M10,I10,L10,1.7%,2024)</f>
        <v>4007142.8571428573</v>
      </c>
      <c r="W10" s="13" cm="1">
        <f t="array" ref="W10">CalculerCommissionAnnuelle(M10,I10,L10,1.7%,2023)</f>
        <v>8378571.42857143</v>
      </c>
      <c r="X10" s="13" cm="1">
        <f t="array" ref="X10">CalculerCommissionAnnuelle(M10,I10,L10,1.7%,2022)</f>
        <v>12750000</v>
      </c>
      <c r="Y10" s="13" cm="1">
        <f t="array" ref="Y10">CalculerCommissionAnnuelle(M10,I10,L10,1.7%,2021)</f>
        <v>17121428.571428571</v>
      </c>
      <c r="Z10" t="str">
        <f t="shared" si="1"/>
        <v>GI</v>
      </c>
    </row>
    <row r="11" spans="1:26" x14ac:dyDescent="0.25">
      <c r="B11">
        <v>15517505</v>
      </c>
      <c r="C11" t="s">
        <v>1010</v>
      </c>
      <c r="I11" s="21">
        <v>43126</v>
      </c>
      <c r="J11" t="s">
        <v>50</v>
      </c>
      <c r="K11" t="s">
        <v>51</v>
      </c>
      <c r="L11">
        <f t="shared" si="0"/>
        <v>84</v>
      </c>
      <c r="M11" s="13">
        <v>451402617</v>
      </c>
      <c r="R11" s="21">
        <v>45683</v>
      </c>
      <c r="U11" t="s">
        <v>106</v>
      </c>
      <c r="V11" s="13" cm="1">
        <f t="array" ref="V11">CalculerCommissionAnnuelle(M11,I11,L11,1.7%,2024)</f>
        <v>730842.33228571434</v>
      </c>
      <c r="W11" s="13" cm="1">
        <f t="array" ref="W11">CalculerCommissionAnnuelle(M11,I11,L11,1.7%,2023)</f>
        <v>2923369.3291428573</v>
      </c>
      <c r="X11" s="13" cm="1">
        <f t="array" ref="X11">CalculerCommissionAnnuelle(M11,I11,L11,1.7%,2022)</f>
        <v>5115896.3260000004</v>
      </c>
      <c r="Y11" s="13" cm="1">
        <f t="array" ref="Y11">CalculerCommissionAnnuelle(M11,I11,L11,1.7%,2021)</f>
        <v>7308423.3228571434</v>
      </c>
      <c r="Z11" t="str">
        <f t="shared" si="1"/>
        <v>GI</v>
      </c>
    </row>
    <row r="12" spans="1:26" x14ac:dyDescent="0.25">
      <c r="B12">
        <v>25958783</v>
      </c>
      <c r="C12" t="s">
        <v>1013</v>
      </c>
      <c r="I12" s="21">
        <v>43188</v>
      </c>
      <c r="J12" t="s">
        <v>29</v>
      </c>
      <c r="K12" t="s">
        <v>30</v>
      </c>
      <c r="L12">
        <f t="shared" si="0"/>
        <v>94</v>
      </c>
      <c r="M12" s="13">
        <v>421578644</v>
      </c>
      <c r="R12" s="21">
        <v>46081</v>
      </c>
      <c r="U12" t="s">
        <v>1038</v>
      </c>
      <c r="V12" s="13" cm="1">
        <f t="array" ref="V12">CalculerCommissionAnnuelle(M12,I12,L12,1.7%,2024)</f>
        <v>2439774.280170213</v>
      </c>
      <c r="W12" s="13" cm="1">
        <f t="array" ref="W12">CalculerCommissionAnnuelle(M12,I12,L12,1.7%,2023)</f>
        <v>4269604.9902978726</v>
      </c>
      <c r="X12" s="13" cm="1">
        <f t="array" ref="X12">CalculerCommissionAnnuelle(M12,I12,L12,1.7%,2022)</f>
        <v>6099435.7004255326</v>
      </c>
      <c r="Y12" s="13" cm="1">
        <f t="array" ref="Y12">CalculerCommissionAnnuelle(M12,I12,L12,1.7%,2021)</f>
        <v>7929266.4105531918</v>
      </c>
      <c r="Z12" t="str">
        <f t="shared" si="1"/>
        <v>GI</v>
      </c>
    </row>
    <row r="13" spans="1:26" x14ac:dyDescent="0.25">
      <c r="B13">
        <v>25958783</v>
      </c>
      <c r="C13" t="s">
        <v>1013</v>
      </c>
      <c r="I13" s="21">
        <v>43188</v>
      </c>
      <c r="J13" t="s">
        <v>29</v>
      </c>
      <c r="K13" t="s">
        <v>30</v>
      </c>
      <c r="L13">
        <f t="shared" si="0"/>
        <v>94</v>
      </c>
      <c r="M13" s="13">
        <v>349114707</v>
      </c>
      <c r="R13" s="21">
        <v>46081</v>
      </c>
      <c r="U13" t="s">
        <v>1038</v>
      </c>
      <c r="V13" s="13" cm="1">
        <f t="array" ref="V13">CalculerCommissionAnnuelle(M13,I13,L13,1.7%,2024)</f>
        <v>2020408.5171063831</v>
      </c>
      <c r="W13" s="13" cm="1">
        <f t="array" ref="W13">CalculerCommissionAnnuelle(M13,I13,L13,1.7%,2023)</f>
        <v>3535714.9049361707</v>
      </c>
      <c r="X13" s="13" cm="1">
        <f t="array" ref="X13">CalculerCommissionAnnuelle(M13,I13,L13,1.7%,2022)</f>
        <v>5051021.2927659573</v>
      </c>
      <c r="Y13" s="13" cm="1">
        <f t="array" ref="Y13">CalculerCommissionAnnuelle(M13,I13,L13,1.7%,2021)</f>
        <v>6566327.6805957453</v>
      </c>
      <c r="Z13" t="str">
        <f t="shared" si="1"/>
        <v>GI</v>
      </c>
    </row>
    <row r="14" spans="1:26" x14ac:dyDescent="0.25">
      <c r="B14">
        <v>15187000</v>
      </c>
      <c r="C14" t="s">
        <v>1021</v>
      </c>
      <c r="I14" s="21">
        <v>44027</v>
      </c>
      <c r="J14" t="s">
        <v>29</v>
      </c>
      <c r="K14" t="s">
        <v>30</v>
      </c>
      <c r="L14">
        <f t="shared" si="0"/>
        <v>48</v>
      </c>
      <c r="M14" s="13">
        <v>200000000</v>
      </c>
      <c r="R14" s="21">
        <v>45488</v>
      </c>
      <c r="U14" t="s">
        <v>47</v>
      </c>
      <c r="V14" s="13" cm="1">
        <f t="array" ref="V14">CalculerCommissionAnnuelle(M14,I14,L14,1.7%,2024)</f>
        <v>70833.333333333343</v>
      </c>
      <c r="W14" s="13" cm="1">
        <f t="array" ref="W14">CalculerCommissionAnnuelle(M14,I14,L14,1.7%,2023)</f>
        <v>1416666.6666666667</v>
      </c>
      <c r="X14" s="13" cm="1">
        <f t="array" ref="X14">CalculerCommissionAnnuelle(M14,I14,L14,1.7%,2022)</f>
        <v>3116666.666666667</v>
      </c>
      <c r="Y14" s="13" cm="1">
        <f t="array" ref="Y14">CalculerCommissionAnnuelle(M14,I14,L14,1.7%,2021)</f>
        <v>4816666.666666667</v>
      </c>
      <c r="Z14" t="str">
        <f t="shared" si="1"/>
        <v>GP</v>
      </c>
    </row>
    <row r="15" spans="1:26" x14ac:dyDescent="0.25">
      <c r="B15">
        <v>15625005</v>
      </c>
      <c r="C15" t="s">
        <v>1020</v>
      </c>
      <c r="I15" s="21">
        <v>44903</v>
      </c>
      <c r="J15" t="s">
        <v>50</v>
      </c>
      <c r="K15" t="s">
        <v>51</v>
      </c>
      <c r="L15">
        <f t="shared" si="0"/>
        <v>36</v>
      </c>
      <c r="M15" s="13">
        <v>191861359</v>
      </c>
      <c r="R15" s="21">
        <v>46006</v>
      </c>
      <c r="U15" t="s">
        <v>83</v>
      </c>
      <c r="V15" s="13" cm="1">
        <f t="array" ref="V15">CalculerCommissionAnnuelle(M15,I15,L15,1.7%,2024)</f>
        <v>2718035.9191666669</v>
      </c>
      <c r="W15" s="13" cm="1">
        <f t="array" ref="W15">CalculerCommissionAnnuelle(M15,I15,L15,1.7%,2023)</f>
        <v>4892464.6545000002</v>
      </c>
      <c r="X15" s="13" cm="1">
        <f t="array" ref="X15">CalculerCommissionAnnuelle(M15,I15,L15,1.7%,2022)</f>
        <v>3261643.1030000001</v>
      </c>
      <c r="Y15" s="13" cm="1">
        <f t="array" ref="Y15">CalculerCommissionAnnuelle(M15,I15,L15,1.7%,2021)</f>
        <v>0</v>
      </c>
      <c r="Z15" t="str">
        <f t="shared" si="1"/>
        <v>GP</v>
      </c>
    </row>
    <row r="16" spans="1:26" x14ac:dyDescent="0.25">
      <c r="B16">
        <v>15687905</v>
      </c>
      <c r="C16" t="s">
        <v>1028</v>
      </c>
      <c r="I16" s="21">
        <v>43903</v>
      </c>
      <c r="J16" t="s">
        <v>29</v>
      </c>
      <c r="K16" t="s">
        <v>30</v>
      </c>
      <c r="L16">
        <f t="shared" si="0"/>
        <v>72</v>
      </c>
      <c r="M16" s="13">
        <v>150000000</v>
      </c>
      <c r="R16" s="21">
        <v>46094</v>
      </c>
      <c r="U16" t="s">
        <v>72</v>
      </c>
      <c r="V16" s="13" cm="1">
        <f t="array" ref="V16">CalculerCommissionAnnuelle(M16,I16,L16,1.7%,2024)</f>
        <v>1275000</v>
      </c>
      <c r="W16" s="13" cm="1">
        <f t="array" ref="W16">CalculerCommissionAnnuelle(M16,I16,L16,1.7%,2023)</f>
        <v>2125000</v>
      </c>
      <c r="X16" s="13" cm="1">
        <f t="array" ref="X16">CalculerCommissionAnnuelle(M16,I16,L16,1.7%,2022)</f>
        <v>2975000</v>
      </c>
      <c r="Y16" s="13" cm="1">
        <f t="array" ref="Y16">CalculerCommissionAnnuelle(M16,I16,L16,1.7%,2021)</f>
        <v>3825000.0000000005</v>
      </c>
      <c r="Z16" t="str">
        <f t="shared" si="1"/>
        <v>GP</v>
      </c>
    </row>
    <row r="17" spans="2:26" x14ac:dyDescent="0.25">
      <c r="B17">
        <v>26101422</v>
      </c>
      <c r="C17" t="s">
        <v>1029</v>
      </c>
      <c r="I17" s="21">
        <v>45028</v>
      </c>
      <c r="J17" t="s">
        <v>29</v>
      </c>
      <c r="K17" t="s">
        <v>30</v>
      </c>
      <c r="L17">
        <f t="shared" si="0"/>
        <v>60</v>
      </c>
      <c r="M17" s="13">
        <v>150000000</v>
      </c>
      <c r="R17" s="21">
        <v>46855</v>
      </c>
      <c r="U17" t="s">
        <v>41</v>
      </c>
      <c r="V17" s="13" cm="1">
        <f t="array" ref="V17">CalculerCommissionAnnuelle(M17,I17,L17,1.7%,2024)</f>
        <v>3655000.0000000005</v>
      </c>
      <c r="W17" s="13" cm="1">
        <f t="array" ref="W17">CalculerCommissionAnnuelle(M17,I17,L17,1.7%,2023)</f>
        <v>4675000</v>
      </c>
      <c r="X17" s="13" cm="1">
        <f t="array" ref="X17">CalculerCommissionAnnuelle(M17,I17,L17,1.7%,2022)</f>
        <v>0</v>
      </c>
      <c r="Y17" s="13" cm="1">
        <f t="array" ref="Y17">CalculerCommissionAnnuelle(M17,I17,L17,1.7%,2021)</f>
        <v>0</v>
      </c>
      <c r="Z17" t="str">
        <f t="shared" si="1"/>
        <v>GP</v>
      </c>
    </row>
    <row r="18" spans="2:26" x14ac:dyDescent="0.25">
      <c r="B18">
        <v>26101422</v>
      </c>
      <c r="C18" t="s">
        <v>1029</v>
      </c>
      <c r="I18" s="21">
        <v>45028</v>
      </c>
      <c r="J18" t="s">
        <v>39</v>
      </c>
      <c r="K18" t="s">
        <v>40</v>
      </c>
      <c r="L18">
        <f t="shared" ref="L18" si="2">DATEDIF(I18,R18,"m")</f>
        <v>24</v>
      </c>
      <c r="M18" s="13">
        <v>46500000</v>
      </c>
      <c r="R18" s="21">
        <v>45759</v>
      </c>
      <c r="U18" t="s">
        <v>41</v>
      </c>
      <c r="V18" s="13" cm="1">
        <f t="array" ref="V18">CalculerCommissionAnnuelle(M18,I18,L18,1.7%,2024)</f>
        <v>461125.00000000006</v>
      </c>
      <c r="W18" s="13" cm="1">
        <f t="array" ref="W18">CalculerCommissionAnnuelle(M18,I18,L18,1.7%,2023)</f>
        <v>1251625</v>
      </c>
      <c r="X18" s="13" cm="1">
        <f t="array" ref="X18">CalculerCommissionAnnuelle(M18,I18,L18,1.7%,2022)</f>
        <v>0</v>
      </c>
      <c r="Y18" s="13" cm="1">
        <f t="array" ref="Y18">CalculerCommissionAnnuelle(M18,I18,L18,1.7%,2021)</f>
        <v>0</v>
      </c>
      <c r="Z18" t="str">
        <f t="shared" ref="Z18" si="3">IF(M18&lt;=200000000,"GP","GI")</f>
        <v>GP</v>
      </c>
    </row>
  </sheetData>
  <autoFilter ref="A1:Z18" xr:uid="{44E39553-05ED-4771-862C-57D1974324E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5856B-1270-459D-8569-1A96DF4508CB}">
  <sheetPr codeName="Feuil4"/>
  <dimension ref="A1:J35"/>
  <sheetViews>
    <sheetView workbookViewId="0">
      <selection activeCell="I19" sqref="I19"/>
    </sheetView>
  </sheetViews>
  <sheetFormatPr baseColWidth="10" defaultRowHeight="12.5" x14ac:dyDescent="0.25"/>
  <cols>
    <col min="1" max="1" width="14.7265625" customWidth="1"/>
    <col min="2" max="2" width="16.7265625" bestFit="1" customWidth="1"/>
    <col min="3" max="3" width="17.36328125" style="13" bestFit="1" customWidth="1"/>
    <col min="4" max="4" width="19.90625" style="13" bestFit="1" customWidth="1"/>
    <col min="5" max="7" width="21" style="13" bestFit="1" customWidth="1"/>
    <col min="8" max="8" width="18.6328125" style="43" bestFit="1" customWidth="1"/>
    <col min="9" max="9" width="14" style="43" customWidth="1"/>
    <col min="10" max="10" width="18.90625" bestFit="1" customWidth="1"/>
  </cols>
  <sheetData>
    <row r="1" spans="1:9" s="35" customFormat="1" ht="39" customHeight="1" x14ac:dyDescent="0.25">
      <c r="A1" s="39" t="s">
        <v>1057</v>
      </c>
      <c r="B1" s="39" t="s">
        <v>1050</v>
      </c>
      <c r="C1" s="38" t="s">
        <v>1059</v>
      </c>
      <c r="D1" s="38" t="s">
        <v>1046</v>
      </c>
      <c r="E1" s="38" t="s">
        <v>1047</v>
      </c>
      <c r="F1" s="38" t="s">
        <v>1048</v>
      </c>
      <c r="G1" s="38" t="s">
        <v>1049</v>
      </c>
      <c r="H1" s="38" t="s">
        <v>1062</v>
      </c>
      <c r="I1" s="38" t="s">
        <v>1061</v>
      </c>
    </row>
    <row r="2" spans="1:9" ht="13" x14ac:dyDescent="0.3">
      <c r="A2" s="31" t="s">
        <v>1039</v>
      </c>
      <c r="B2" s="31">
        <v>51</v>
      </c>
      <c r="C2" s="32">
        <v>58781725113</v>
      </c>
      <c r="D2" s="32">
        <v>90563995.6140351</v>
      </c>
      <c r="E2" s="32">
        <v>290590909.6348595</v>
      </c>
      <c r="F2" s="32">
        <v>776548779.88288474</v>
      </c>
      <c r="G2" s="32">
        <v>771449369.77896881</v>
      </c>
      <c r="H2" s="40">
        <f t="shared" ref="H2:H5" si="0">SUM(D2:G2)</f>
        <v>1929153054.910748</v>
      </c>
      <c r="I2" s="46">
        <f t="shared" ref="I2:I5" si="1">+H2/C2</f>
        <v>3.2818925460289049E-2</v>
      </c>
    </row>
    <row r="3" spans="1:9" x14ac:dyDescent="0.25">
      <c r="A3" s="29" t="s">
        <v>1043</v>
      </c>
      <c r="B3" s="29">
        <v>16</v>
      </c>
      <c r="C3" s="30">
        <v>13747462500</v>
      </c>
      <c r="D3" s="30">
        <v>90563995.6140351</v>
      </c>
      <c r="E3" s="30">
        <v>125627290.93567251</v>
      </c>
      <c r="F3" s="30">
        <v>88978347.953216389</v>
      </c>
      <c r="G3" s="30">
        <v>54604571.637426905</v>
      </c>
      <c r="H3" s="41">
        <f t="shared" si="0"/>
        <v>359774206.14035088</v>
      </c>
      <c r="I3" s="47">
        <f t="shared" si="1"/>
        <v>2.6170226406535088E-2</v>
      </c>
    </row>
    <row r="4" spans="1:9" x14ac:dyDescent="0.25">
      <c r="A4" s="29" t="s">
        <v>1044</v>
      </c>
      <c r="B4" s="29">
        <v>19</v>
      </c>
      <c r="C4" s="30">
        <v>25038262613</v>
      </c>
      <c r="D4" s="30">
        <v>0</v>
      </c>
      <c r="E4" s="30">
        <v>164963618.69918701</v>
      </c>
      <c r="F4" s="30">
        <v>421194598.59633493</v>
      </c>
      <c r="G4" s="30">
        <v>495374464.80820864</v>
      </c>
      <c r="H4" s="41">
        <f t="shared" si="0"/>
        <v>1081532682.1037307</v>
      </c>
      <c r="I4" s="47">
        <f t="shared" si="1"/>
        <v>4.3195196840143099E-2</v>
      </c>
    </row>
    <row r="5" spans="1:9" x14ac:dyDescent="0.25">
      <c r="A5" s="29" t="s">
        <v>1045</v>
      </c>
      <c r="B5" s="29">
        <v>16</v>
      </c>
      <c r="C5" s="30">
        <v>19996000000</v>
      </c>
      <c r="D5" s="30">
        <v>0</v>
      </c>
      <c r="E5" s="30">
        <v>0</v>
      </c>
      <c r="F5" s="30">
        <v>266375833.33333334</v>
      </c>
      <c r="G5" s="30">
        <v>221470333.33333331</v>
      </c>
      <c r="H5" s="41">
        <f t="shared" si="0"/>
        <v>487846166.66666663</v>
      </c>
      <c r="I5" s="47">
        <f t="shared" si="1"/>
        <v>2.4397187770887507E-2</v>
      </c>
    </row>
    <row r="6" spans="1:9" x14ac:dyDescent="0.25">
      <c r="A6" s="29"/>
      <c r="B6" s="29"/>
      <c r="C6" s="30"/>
      <c r="D6" s="30"/>
      <c r="E6" s="30"/>
      <c r="F6" s="30"/>
      <c r="G6" s="30"/>
      <c r="H6" s="41"/>
      <c r="I6" s="47"/>
    </row>
    <row r="7" spans="1:9" ht="13" x14ac:dyDescent="0.3">
      <c r="A7" s="31" t="s">
        <v>1040</v>
      </c>
      <c r="B7" s="31">
        <v>208</v>
      </c>
      <c r="C7" s="32">
        <v>10245817275</v>
      </c>
      <c r="D7" s="32">
        <v>52140562.754277766</v>
      </c>
      <c r="E7" s="32">
        <v>121084232.37801409</v>
      </c>
      <c r="F7" s="32">
        <v>162185561.20726928</v>
      </c>
      <c r="G7" s="32">
        <v>128552854.75220557</v>
      </c>
      <c r="H7" s="40">
        <f>SUM(D7:G7)</f>
        <v>463963211.09176666</v>
      </c>
      <c r="I7" s="46">
        <f>+H7/C7</f>
        <v>4.5283182262467844E-2</v>
      </c>
    </row>
    <row r="8" spans="1:9" x14ac:dyDescent="0.25">
      <c r="A8" s="29" t="s">
        <v>1043</v>
      </c>
      <c r="B8" s="29">
        <v>71</v>
      </c>
      <c r="C8" s="30">
        <v>4084270817</v>
      </c>
      <c r="D8" s="30">
        <v>52140562.754277766</v>
      </c>
      <c r="E8" s="30">
        <v>90942215.840193212</v>
      </c>
      <c r="F8" s="30">
        <v>57217168.939250171</v>
      </c>
      <c r="G8" s="30">
        <v>35718358.906994082</v>
      </c>
      <c r="H8" s="41">
        <f t="shared" ref="H8:H10" si="2">SUM(D8:G8)</f>
        <v>236018306.44071522</v>
      </c>
      <c r="I8" s="47">
        <f t="shared" ref="I8:I10" si="3">+H8/C8</f>
        <v>5.7787134354150546E-2</v>
      </c>
    </row>
    <row r="9" spans="1:9" x14ac:dyDescent="0.25">
      <c r="A9" s="29" t="s">
        <v>1044</v>
      </c>
      <c r="B9" s="29">
        <v>67</v>
      </c>
      <c r="C9" s="30">
        <v>2655294689</v>
      </c>
      <c r="D9" s="30">
        <v>0</v>
      </c>
      <c r="E9" s="30">
        <v>30142016.537820891</v>
      </c>
      <c r="F9" s="30">
        <v>48218944.027472906</v>
      </c>
      <c r="G9" s="30">
        <v>27077652.553499728</v>
      </c>
      <c r="H9" s="41">
        <f t="shared" si="2"/>
        <v>105438613.11879352</v>
      </c>
      <c r="I9" s="47">
        <f t="shared" si="3"/>
        <v>3.9708817840667744E-2</v>
      </c>
    </row>
    <row r="10" spans="1:9" x14ac:dyDescent="0.25">
      <c r="A10" s="29" t="s">
        <v>1045</v>
      </c>
      <c r="B10" s="29">
        <v>70</v>
      </c>
      <c r="C10" s="30">
        <v>3506251769</v>
      </c>
      <c r="D10" s="30">
        <v>0</v>
      </c>
      <c r="E10" s="30">
        <v>0</v>
      </c>
      <c r="F10" s="30">
        <v>56749448.240546286</v>
      </c>
      <c r="G10" s="30">
        <v>65756843.291711763</v>
      </c>
      <c r="H10" s="41">
        <f t="shared" si="2"/>
        <v>122506291.53225805</v>
      </c>
      <c r="I10" s="47">
        <f t="shared" si="3"/>
        <v>3.4939388156714553E-2</v>
      </c>
    </row>
    <row r="11" spans="1:9" ht="13" x14ac:dyDescent="0.3">
      <c r="A11" s="33" t="s">
        <v>1042</v>
      </c>
      <c r="B11" s="33">
        <v>259</v>
      </c>
      <c r="C11" s="34">
        <f>+C2+C7</f>
        <v>69027542388</v>
      </c>
      <c r="D11" s="34">
        <f t="shared" ref="D11:G11" si="4">+D2+D7</f>
        <v>142704558.36831287</v>
      </c>
      <c r="E11" s="34">
        <f t="shared" si="4"/>
        <v>411675142.01287359</v>
      </c>
      <c r="F11" s="34">
        <f t="shared" si="4"/>
        <v>938734341.09015405</v>
      </c>
      <c r="G11" s="34">
        <f t="shared" si="4"/>
        <v>900002224.53117442</v>
      </c>
      <c r="H11" s="42">
        <f>SUM(D11:G11)</f>
        <v>2393116266.0025148</v>
      </c>
      <c r="I11" s="48">
        <f>+H11/C11</f>
        <v>3.4669005779619684E-2</v>
      </c>
    </row>
    <row r="14" spans="1:9" s="35" customFormat="1" ht="30.5" customHeight="1" x14ac:dyDescent="0.25">
      <c r="A14" s="44" t="s">
        <v>1058</v>
      </c>
      <c r="B14" s="44" t="s">
        <v>1050</v>
      </c>
      <c r="C14" s="45" t="s">
        <v>1060</v>
      </c>
      <c r="D14" s="45" t="s">
        <v>1055</v>
      </c>
      <c r="E14" s="45" t="s">
        <v>1047</v>
      </c>
      <c r="F14" s="45" t="s">
        <v>1056</v>
      </c>
      <c r="G14" s="45" t="s">
        <v>1049</v>
      </c>
      <c r="H14" s="45" t="s">
        <v>1062</v>
      </c>
      <c r="I14" s="45" t="s">
        <v>1061</v>
      </c>
    </row>
    <row r="15" spans="1:9" ht="13" x14ac:dyDescent="0.3">
      <c r="A15" s="31" t="s">
        <v>1039</v>
      </c>
      <c r="B15" s="31">
        <v>12</v>
      </c>
      <c r="C15" s="32">
        <v>11750762636</v>
      </c>
      <c r="D15" s="32">
        <v>138414006.31147283</v>
      </c>
      <c r="E15" s="32">
        <v>159028396.2327784</v>
      </c>
      <c r="F15" s="32">
        <v>187007706.92873186</v>
      </c>
      <c r="G15" s="32">
        <v>142878850.11381447</v>
      </c>
      <c r="H15" s="40">
        <f>SUM(D15:G15)</f>
        <v>627328959.58679748</v>
      </c>
      <c r="I15" s="46">
        <f>+H15/C15</f>
        <v>5.3386233644520491E-2</v>
      </c>
    </row>
    <row r="16" spans="1:9" x14ac:dyDescent="0.25">
      <c r="A16" s="29" t="s">
        <v>1051</v>
      </c>
      <c r="B16" s="29">
        <v>1</v>
      </c>
      <c r="C16" s="30">
        <v>1300000000</v>
      </c>
      <c r="D16" s="30">
        <v>17364285.714285716</v>
      </c>
      <c r="E16" s="30">
        <v>11050000</v>
      </c>
      <c r="F16" s="30">
        <v>4735714.2857142854</v>
      </c>
      <c r="G16" s="30">
        <v>0</v>
      </c>
      <c r="H16" s="41">
        <f t="shared" ref="H16:H26" si="5">SUM(D16:G16)</f>
        <v>33150000</v>
      </c>
      <c r="I16" s="47">
        <f t="shared" ref="I16:I27" si="6">+H16/C16</f>
        <v>2.5499999999999998E-2</v>
      </c>
    </row>
    <row r="17" spans="1:9" x14ac:dyDescent="0.25">
      <c r="A17" s="29" t="s">
        <v>1052</v>
      </c>
      <c r="B17" s="29">
        <v>4</v>
      </c>
      <c r="C17" s="30">
        <v>2622095968</v>
      </c>
      <c r="D17" s="30">
        <v>49331728.257379584</v>
      </c>
      <c r="E17" s="30">
        <v>36912136.451721616</v>
      </c>
      <c r="F17" s="30">
        <v>24492544.646063648</v>
      </c>
      <c r="G17" s="30">
        <v>12072952.840405684</v>
      </c>
      <c r="H17" s="41">
        <f t="shared" si="5"/>
        <v>122809362.19557054</v>
      </c>
      <c r="I17" s="47">
        <f t="shared" si="6"/>
        <v>4.6836333869672668E-2</v>
      </c>
    </row>
    <row r="18" spans="1:9" x14ac:dyDescent="0.25">
      <c r="A18" s="29" t="s">
        <v>1053</v>
      </c>
      <c r="B18" s="29">
        <v>1</v>
      </c>
      <c r="C18" s="30">
        <v>736666668</v>
      </c>
      <c r="D18" s="30">
        <v>14193111.136800002</v>
      </c>
      <c r="E18" s="30">
        <v>9183777.7944000009</v>
      </c>
      <c r="F18" s="30">
        <v>4174444.4520000005</v>
      </c>
      <c r="G18" s="30">
        <v>208722.22260000004</v>
      </c>
      <c r="H18" s="41">
        <f t="shared" si="5"/>
        <v>27760055.605800007</v>
      </c>
      <c r="I18" s="47">
        <f t="shared" si="6"/>
        <v>3.768333333333334E-2</v>
      </c>
    </row>
    <row r="19" spans="1:9" x14ac:dyDescent="0.25">
      <c r="A19" s="29" t="s">
        <v>1054</v>
      </c>
      <c r="B19" s="29">
        <v>3</v>
      </c>
      <c r="C19" s="30">
        <v>2067000000</v>
      </c>
      <c r="D19" s="30">
        <v>57524881.203007519</v>
      </c>
      <c r="E19" s="30">
        <v>42963115.789473683</v>
      </c>
      <c r="F19" s="30">
        <v>28401350.37593985</v>
      </c>
      <c r="G19" s="30">
        <v>13839584.962406017</v>
      </c>
      <c r="H19" s="41">
        <f t="shared" si="5"/>
        <v>142728932.33082706</v>
      </c>
      <c r="I19" s="47">
        <f t="shared" si="6"/>
        <v>6.9051249313414151E-2</v>
      </c>
    </row>
    <row r="20" spans="1:9" x14ac:dyDescent="0.25">
      <c r="A20" s="29" t="s">
        <v>1044</v>
      </c>
      <c r="B20" s="29">
        <v>2</v>
      </c>
      <c r="C20" s="30">
        <v>3525000000</v>
      </c>
      <c r="D20" s="30">
        <v>0</v>
      </c>
      <c r="E20" s="30">
        <v>58919366.197183102</v>
      </c>
      <c r="F20" s="30">
        <v>99703653.169014096</v>
      </c>
      <c r="G20" s="30">
        <v>75523547.53521128</v>
      </c>
      <c r="H20" s="41">
        <f t="shared" si="5"/>
        <v>234146566.90140849</v>
      </c>
      <c r="I20" s="47">
        <f t="shared" si="6"/>
        <v>6.6424557986215174E-2</v>
      </c>
    </row>
    <row r="21" spans="1:9" x14ac:dyDescent="0.25">
      <c r="A21" s="29" t="s">
        <v>1045</v>
      </c>
      <c r="B21" s="29">
        <v>1</v>
      </c>
      <c r="C21" s="30">
        <v>1500000000</v>
      </c>
      <c r="D21" s="30">
        <v>0</v>
      </c>
      <c r="E21" s="30">
        <v>0</v>
      </c>
      <c r="F21" s="30">
        <v>25500000</v>
      </c>
      <c r="G21" s="30">
        <v>41234042.55319149</v>
      </c>
      <c r="H21" s="41">
        <f t="shared" si="5"/>
        <v>66734042.55319149</v>
      </c>
      <c r="I21" s="47">
        <f t="shared" si="6"/>
        <v>4.448936170212766E-2</v>
      </c>
    </row>
    <row r="22" spans="1:9" x14ac:dyDescent="0.25">
      <c r="A22" s="29"/>
      <c r="B22" s="29"/>
      <c r="C22" s="30"/>
      <c r="D22" s="30"/>
      <c r="E22" s="30"/>
      <c r="F22" s="30"/>
      <c r="G22" s="30"/>
      <c r="H22" s="41"/>
      <c r="I22" s="47"/>
    </row>
    <row r="23" spans="1:9" ht="13" x14ac:dyDescent="0.3">
      <c r="A23" s="31" t="s">
        <v>1040</v>
      </c>
      <c r="B23" s="31">
        <v>5</v>
      </c>
      <c r="C23" s="32">
        <v>738361359</v>
      </c>
      <c r="D23" s="32">
        <v>8641666.6666666679</v>
      </c>
      <c r="E23" s="32">
        <v>9353309.769666668</v>
      </c>
      <c r="F23" s="32">
        <v>14360756.321166668</v>
      </c>
      <c r="G23" s="32">
        <v>8179994.2525000013</v>
      </c>
      <c r="H23" s="40">
        <f>SUM(D23:G23)</f>
        <v>40535727.010000005</v>
      </c>
      <c r="I23" s="46">
        <f t="shared" si="6"/>
        <v>5.4899577985635085E-2</v>
      </c>
    </row>
    <row r="24" spans="1:9" x14ac:dyDescent="0.25">
      <c r="A24" s="29" t="s">
        <v>1054</v>
      </c>
      <c r="B24" s="29">
        <v>2</v>
      </c>
      <c r="C24" s="30">
        <v>350000000</v>
      </c>
      <c r="D24" s="30">
        <v>8641666.6666666679</v>
      </c>
      <c r="E24" s="30">
        <v>6091666.666666667</v>
      </c>
      <c r="F24" s="30">
        <v>3541666.666666667</v>
      </c>
      <c r="G24" s="30">
        <v>1345833.3333333333</v>
      </c>
      <c r="H24" s="41">
        <f t="shared" si="5"/>
        <v>19620833.333333336</v>
      </c>
      <c r="I24" s="47">
        <f t="shared" si="6"/>
        <v>5.6059523809523816E-2</v>
      </c>
    </row>
    <row r="25" spans="1:9" x14ac:dyDescent="0.25">
      <c r="A25" s="29" t="s">
        <v>1044</v>
      </c>
      <c r="B25" s="29">
        <v>1</v>
      </c>
      <c r="C25" s="30">
        <v>191861359</v>
      </c>
      <c r="D25" s="30">
        <v>0</v>
      </c>
      <c r="E25" s="30">
        <v>3261643.1030000001</v>
      </c>
      <c r="F25" s="30">
        <v>4892464.6545000002</v>
      </c>
      <c r="G25" s="30">
        <v>2718035.9191666669</v>
      </c>
      <c r="H25" s="41">
        <f t="shared" si="5"/>
        <v>10872143.676666668</v>
      </c>
      <c r="I25" s="47">
        <f t="shared" si="6"/>
        <v>5.6666666666666671E-2</v>
      </c>
    </row>
    <row r="26" spans="1:9" x14ac:dyDescent="0.25">
      <c r="A26" s="29" t="s">
        <v>1045</v>
      </c>
      <c r="B26" s="29">
        <v>2</v>
      </c>
      <c r="C26" s="30">
        <v>196500000</v>
      </c>
      <c r="D26" s="30">
        <v>0</v>
      </c>
      <c r="E26" s="30">
        <v>0</v>
      </c>
      <c r="F26" s="30">
        <v>5926625</v>
      </c>
      <c r="G26" s="30">
        <v>4116125.0000000005</v>
      </c>
      <c r="H26" s="41">
        <f t="shared" si="5"/>
        <v>10042750</v>
      </c>
      <c r="I26" s="47">
        <f t="shared" si="6"/>
        <v>5.1108142493638674E-2</v>
      </c>
    </row>
    <row r="27" spans="1:9" ht="13" x14ac:dyDescent="0.3">
      <c r="A27" s="36" t="s">
        <v>1042</v>
      </c>
      <c r="B27" s="36">
        <v>36</v>
      </c>
      <c r="C27" s="37">
        <f>+C23+C15</f>
        <v>12489123995</v>
      </c>
      <c r="D27" s="37">
        <f t="shared" ref="D27:H27" si="7">+D23+D15</f>
        <v>147055672.97813949</v>
      </c>
      <c r="E27" s="37">
        <f t="shared" si="7"/>
        <v>168381706.00244507</v>
      </c>
      <c r="F27" s="37">
        <f t="shared" si="7"/>
        <v>201368463.24989852</v>
      </c>
      <c r="G27" s="37">
        <f t="shared" si="7"/>
        <v>151058844.36631447</v>
      </c>
      <c r="H27" s="37">
        <f t="shared" si="7"/>
        <v>667864686.59679747</v>
      </c>
      <c r="I27" s="49">
        <f t="shared" si="6"/>
        <v>5.3475703088877648E-2</v>
      </c>
    </row>
    <row r="33" spans="10:10" x14ac:dyDescent="0.25">
      <c r="J33" s="28"/>
    </row>
    <row r="34" spans="10:10" x14ac:dyDescent="0.25">
      <c r="J34" s="28"/>
    </row>
    <row r="35" spans="10:10" x14ac:dyDescent="0.25">
      <c r="J35" s="28"/>
    </row>
  </sheetData>
  <pageMargins left="0.7" right="0.7" top="0.75" bottom="0.75" header="0.3" footer="0.3"/>
  <ignoredErrors>
    <ignoredError sqref="H15:H21 H8 H2:H7 H9:H11 H22:H2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9FB61-3C41-45B0-BEEF-EEF177EF63C6}">
  <sheetPr codeName="Feuil5"/>
  <dimension ref="A1:AA73"/>
  <sheetViews>
    <sheetView topLeftCell="I1" workbookViewId="0">
      <selection activeCell="AA1" sqref="AA1:AA1048576"/>
    </sheetView>
  </sheetViews>
  <sheetFormatPr baseColWidth="10" defaultRowHeight="12.5" x14ac:dyDescent="0.25"/>
  <cols>
    <col min="1" max="1" width="11.26953125" hidden="1" customWidth="1"/>
    <col min="2" max="2" width="12.26953125" bestFit="1" customWidth="1"/>
    <col min="3" max="3" width="43.81640625" customWidth="1"/>
    <col min="4" max="4" width="11.90625" hidden="1" customWidth="1"/>
    <col min="5" max="5" width="15.36328125" hidden="1" customWidth="1"/>
    <col min="6" max="6" width="23" hidden="1" customWidth="1"/>
    <col min="7" max="7" width="9.36328125" hidden="1" customWidth="1"/>
    <col min="8" max="8" width="11.1796875" hidden="1" customWidth="1"/>
    <col min="9" max="9" width="18.54296875" bestFit="1" customWidth="1"/>
    <col min="11" max="11" width="30.6328125" bestFit="1" customWidth="1"/>
    <col min="12" max="12" width="7.08984375" customWidth="1"/>
    <col min="13" max="13" width="16.08984375" customWidth="1"/>
    <col min="14" max="14" width="10" hidden="1" customWidth="1"/>
    <col min="15" max="15" width="11.7265625" hidden="1" customWidth="1"/>
    <col min="16" max="16" width="12.7265625" hidden="1" customWidth="1"/>
    <col min="17" max="17" width="16.7265625" hidden="1" customWidth="1"/>
    <col min="18" max="18" width="22.453125" bestFit="1" customWidth="1"/>
    <col min="19" max="19" width="6.6328125" customWidth="1"/>
    <col min="20" max="20" width="13.6328125" hidden="1" customWidth="1"/>
    <col min="21" max="21" width="29.81640625" customWidth="1"/>
    <col min="22" max="22" width="12.7265625" customWidth="1"/>
    <col min="26" max="26" width="18.08984375" bestFit="1" customWidth="1"/>
    <col min="27" max="27" width="24" bestFit="1" customWidth="1"/>
  </cols>
  <sheetData>
    <row r="1" spans="1:27" ht="25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2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0">
        <v>2024</v>
      </c>
      <c r="W1" s="20">
        <v>2023</v>
      </c>
      <c r="X1" s="20">
        <v>2022</v>
      </c>
      <c r="Y1" s="20">
        <v>2021</v>
      </c>
      <c r="Z1" s="20" t="s">
        <v>986</v>
      </c>
    </row>
    <row r="2" spans="1:27" x14ac:dyDescent="0.25">
      <c r="B2">
        <v>26034087</v>
      </c>
      <c r="C2" t="s">
        <v>988</v>
      </c>
      <c r="I2" s="21">
        <v>44004</v>
      </c>
      <c r="J2" t="s">
        <v>29</v>
      </c>
      <c r="K2" t="s">
        <v>30</v>
      </c>
      <c r="L2">
        <f>DATEDIF(I2,R2,"m")</f>
        <v>83</v>
      </c>
      <c r="M2" s="13">
        <v>2800000000</v>
      </c>
      <c r="R2" s="21">
        <v>46529</v>
      </c>
      <c r="U2" t="s">
        <v>77</v>
      </c>
      <c r="V2" cm="1">
        <f t="array" ref="V2">CalculerCommissionSemestrielle(M2,I2,L2,1.7%)</f>
        <v>36703614.457831331</v>
      </c>
      <c r="W2" cm="1">
        <f t="array" ref="W2">CalculerCommissionAnnuelle(M2,I2,L2,1.7%,2023)</f>
        <v>50467469.879518077</v>
      </c>
      <c r="X2" cm="1">
        <f t="array" ref="X2">CalculerCommissionAnnuelle(M2,I2,L2,1.7%,2022)</f>
        <v>64231325.301204823</v>
      </c>
      <c r="Y2" cm="1">
        <f t="array" ref="Y2">CalculerCommissionAnnuelle(M2,I2,L2,1.7%,2021)</f>
        <v>77995180.722891569</v>
      </c>
      <c r="Z2" t="str">
        <f>IF(M2&lt;=200000000,"GP","GI")</f>
        <v>GI</v>
      </c>
      <c r="AA2" t="str">
        <f>_xlfn.CONCAT(B2,M2,I2)</f>
        <v>26034087280000000044004</v>
      </c>
    </row>
    <row r="3" spans="1:27" x14ac:dyDescent="0.25">
      <c r="B3">
        <v>26039915</v>
      </c>
      <c r="C3" t="s">
        <v>989</v>
      </c>
      <c r="I3" s="21">
        <v>44826</v>
      </c>
      <c r="J3" t="s">
        <v>29</v>
      </c>
      <c r="K3" t="s">
        <v>30</v>
      </c>
      <c r="L3">
        <f t="shared" ref="L3:L66" si="0">DATEDIF(I3,R3,"m")</f>
        <v>60</v>
      </c>
      <c r="M3" s="13">
        <v>2437000000</v>
      </c>
      <c r="R3" s="21">
        <v>46652</v>
      </c>
      <c r="U3" t="s">
        <v>47</v>
      </c>
      <c r="V3" cm="1">
        <f t="array" ref="V3">CalculerCommissionSemestrielle(M3,I3,L3,1.7%)</f>
        <v>49714800</v>
      </c>
      <c r="W3" cm="1">
        <f t="array" ref="W3">CalculerCommissionAnnuelle(M3,I3,L3,1.7%,2023)</f>
        <v>66286400.000000007</v>
      </c>
      <c r="X3" cm="1">
        <f t="array" ref="X3">CalculerCommissionAnnuelle(M3,I3,L3,1.7%,2022)</f>
        <v>39357550</v>
      </c>
      <c r="Y3" cm="1">
        <f t="array" ref="Y3">CalculerCommissionAnnuelle(M3,I3,L3,1.7%,2021)</f>
        <v>0</v>
      </c>
      <c r="Z3" t="str">
        <f t="shared" ref="Z3:Z66" si="1">IF(M3&lt;=200000000,"GP","GI")</f>
        <v>GI</v>
      </c>
      <c r="AA3" t="str">
        <f t="shared" ref="AA3:AA66" si="2">_xlfn.CONCAT(B3,M3,I3)</f>
        <v>26039915243700000044826</v>
      </c>
    </row>
    <row r="4" spans="1:27" x14ac:dyDescent="0.25">
      <c r="B4">
        <v>25983840</v>
      </c>
      <c r="C4" t="s">
        <v>990</v>
      </c>
      <c r="I4" s="21">
        <v>44841</v>
      </c>
      <c r="J4" t="s">
        <v>29</v>
      </c>
      <c r="K4" t="s">
        <v>30</v>
      </c>
      <c r="L4">
        <f t="shared" si="0"/>
        <v>71</v>
      </c>
      <c r="M4" s="13">
        <v>2100000000</v>
      </c>
      <c r="R4" s="21">
        <v>47003</v>
      </c>
      <c r="U4" t="s">
        <v>83</v>
      </c>
      <c r="V4" cm="1">
        <f t="array" ref="V4">CalculerCommissionSemestrielle(M4,I4,L4,1.7%)</f>
        <v>48270422.535211273</v>
      </c>
      <c r="W4" cm="1">
        <f t="array" ref="W4">CalculerCommissionAnnuelle(M4,I4,L4,1.7%,2023)</f>
        <v>60338028.169014089</v>
      </c>
      <c r="X4" cm="1">
        <f t="array" ref="X4">CalculerCommissionAnnuelle(M4,I4,L4,1.7%,2022)</f>
        <v>34694366.197183102</v>
      </c>
      <c r="Y4" cm="1">
        <f t="array" ref="Y4">CalculerCommissionAnnuelle(M4,I4,L4,1.7%,2021)</f>
        <v>0</v>
      </c>
      <c r="Z4" t="str">
        <f t="shared" si="1"/>
        <v>GI</v>
      </c>
      <c r="AA4" t="str">
        <f t="shared" si="2"/>
        <v>25983840210000000044841</v>
      </c>
    </row>
    <row r="5" spans="1:27" x14ac:dyDescent="0.25">
      <c r="B5">
        <v>8126815</v>
      </c>
      <c r="C5" t="s">
        <v>991</v>
      </c>
      <c r="I5" s="21">
        <v>44911</v>
      </c>
      <c r="J5" t="s">
        <v>29</v>
      </c>
      <c r="K5" t="s">
        <v>30</v>
      </c>
      <c r="L5">
        <f t="shared" si="0"/>
        <v>65</v>
      </c>
      <c r="M5" s="13">
        <v>2000000000</v>
      </c>
      <c r="R5" s="21">
        <v>46889</v>
      </c>
      <c r="U5" t="s">
        <v>72</v>
      </c>
      <c r="V5" cm="1">
        <f t="array" ref="V5">CalculerCommissionSemestrielle(M5,I5,L5,1.7%)</f>
        <v>46030769.230769232</v>
      </c>
      <c r="W5" cm="1">
        <f t="array" ref="W5">CalculerCommissionAnnuelle(M5,I5,L5,1.7%,2023)</f>
        <v>58584615.384615391</v>
      </c>
      <c r="X5" cm="1">
        <f t="array" ref="X5">CalculerCommissionAnnuelle(M5,I5,L5,1.7%,2022)</f>
        <v>34000000</v>
      </c>
      <c r="Y5" cm="1">
        <f t="array" ref="Y5">CalculerCommissionAnnuelle(M5,I5,L5,1.7%,2021)</f>
        <v>0</v>
      </c>
      <c r="Z5" t="str">
        <f t="shared" si="1"/>
        <v>GI</v>
      </c>
      <c r="AA5" t="str">
        <f t="shared" si="2"/>
        <v>8126815200000000044911</v>
      </c>
    </row>
    <row r="6" spans="1:27" x14ac:dyDescent="0.25">
      <c r="B6">
        <v>26067241</v>
      </c>
      <c r="C6" t="s">
        <v>987</v>
      </c>
      <c r="I6" s="21">
        <v>44727</v>
      </c>
      <c r="J6" t="s">
        <v>29</v>
      </c>
      <c r="K6" t="s">
        <v>30</v>
      </c>
      <c r="L6">
        <f t="shared" si="0"/>
        <v>37</v>
      </c>
      <c r="M6" s="13">
        <v>2000000000</v>
      </c>
      <c r="R6" s="21">
        <v>45853</v>
      </c>
      <c r="U6" t="s">
        <v>141</v>
      </c>
      <c r="V6" cm="1">
        <f t="array" ref="V6">CalculerCommissionSemestrielle(M6,I6,L6,1.7%)</f>
        <v>18378378.37837838</v>
      </c>
      <c r="W6" cm="1">
        <f t="array" ref="W6">CalculerCommissionAnnuelle(M6,I6,L6,1.7%,2023)</f>
        <v>40432432.432432435</v>
      </c>
      <c r="X6" cm="1">
        <f t="array" ref="X6">CalculerCommissionAnnuelle(M6,I6,L6,1.7%,2022)</f>
        <v>62486486.486486487</v>
      </c>
      <c r="Y6" cm="1">
        <f t="array" ref="Y6">CalculerCommissionAnnuelle(M6,I6,L6,1.7%,2021)</f>
        <v>0</v>
      </c>
      <c r="Z6" t="str">
        <f t="shared" si="1"/>
        <v>GI</v>
      </c>
      <c r="AA6" t="str">
        <f t="shared" si="2"/>
        <v>26067241200000000044727</v>
      </c>
    </row>
    <row r="7" spans="1:27" x14ac:dyDescent="0.25">
      <c r="B7">
        <v>25956400</v>
      </c>
      <c r="C7" t="s">
        <v>992</v>
      </c>
      <c r="I7" s="21">
        <v>45104</v>
      </c>
      <c r="J7" t="s">
        <v>29</v>
      </c>
      <c r="K7" t="s">
        <v>30</v>
      </c>
      <c r="L7">
        <f t="shared" si="0"/>
        <v>60</v>
      </c>
      <c r="M7" s="13">
        <v>1600000000</v>
      </c>
      <c r="R7" s="21">
        <v>46931</v>
      </c>
      <c r="U7" t="s">
        <v>141</v>
      </c>
      <c r="V7" cm="1">
        <f t="array" ref="V7">CalculerCommissionSemestrielle(M7,I7,L7,1.7%)</f>
        <v>40800000</v>
      </c>
      <c r="W7" cm="1">
        <f t="array" ref="W7">CalculerCommissionAnnuelle(M7,I7,L7,1.7%,2023)</f>
        <v>51680000</v>
      </c>
      <c r="X7" cm="1">
        <f t="array" ref="X7">CalculerCommissionAnnuelle(M7,I7,L7,1.7%,2022)</f>
        <v>0</v>
      </c>
      <c r="Y7" cm="1">
        <f t="array" ref="Y7">CalculerCommissionAnnuelle(M7,I7,L7,1.7%,2021)</f>
        <v>0</v>
      </c>
      <c r="Z7" t="str">
        <f t="shared" si="1"/>
        <v>GI</v>
      </c>
      <c r="AA7" t="str">
        <f t="shared" si="2"/>
        <v>25956400160000000045104</v>
      </c>
    </row>
    <row r="8" spans="1:27" x14ac:dyDescent="0.25">
      <c r="B8">
        <v>26015351</v>
      </c>
      <c r="C8" t="s">
        <v>993</v>
      </c>
      <c r="I8" s="21">
        <v>45413</v>
      </c>
      <c r="J8" t="s">
        <v>39</v>
      </c>
      <c r="K8" t="s">
        <v>40</v>
      </c>
      <c r="L8">
        <f t="shared" si="0"/>
        <v>0</v>
      </c>
      <c r="M8" s="13">
        <v>1500000000</v>
      </c>
      <c r="R8" s="21">
        <v>45441</v>
      </c>
      <c r="U8" t="s">
        <v>141</v>
      </c>
      <c r="V8" cm="1">
        <f t="array" ref="V8">CalculerCommissionSemestrielle(M8,I8,L8,1.7%)</f>
        <v>0</v>
      </c>
      <c r="W8" cm="1">
        <f t="array" ref="W8">CalculerCommissionAnnuelle(M8,I8,L8,1.7%,2023)</f>
        <v>0</v>
      </c>
      <c r="X8" cm="1">
        <f t="array" ref="X8">CalculerCommissionAnnuelle(M8,I8,L8,1.7%,2022)</f>
        <v>0</v>
      </c>
      <c r="Y8" cm="1">
        <f t="array" ref="Y8">CalculerCommissionAnnuelle(M8,I8,L8,1.7%,2021)</f>
        <v>0</v>
      </c>
      <c r="Z8" t="str">
        <f t="shared" si="1"/>
        <v>GI</v>
      </c>
      <c r="AA8" t="str">
        <f t="shared" si="2"/>
        <v>26015351150000000045413</v>
      </c>
    </row>
    <row r="9" spans="1:27" x14ac:dyDescent="0.25">
      <c r="B9">
        <v>25983840</v>
      </c>
      <c r="C9" t="s">
        <v>990</v>
      </c>
      <c r="I9" s="21">
        <v>45281</v>
      </c>
      <c r="J9" t="s">
        <v>29</v>
      </c>
      <c r="K9" t="s">
        <v>30</v>
      </c>
      <c r="L9">
        <f t="shared" si="0"/>
        <v>47</v>
      </c>
      <c r="M9" s="13">
        <v>1500000000</v>
      </c>
      <c r="R9" s="21">
        <v>46715</v>
      </c>
      <c r="U9" t="s">
        <v>83</v>
      </c>
      <c r="V9" cm="1">
        <f t="array" ref="V9">CalculerCommissionSemestrielle(M9,I9,L9,1.7%)</f>
        <v>41234042.55319149</v>
      </c>
      <c r="W9" cm="1">
        <f t="array" ref="W9">CalculerCommissionAnnuelle(M9,I9,L9,1.7%,2023)</f>
        <v>25500000</v>
      </c>
      <c r="X9" cm="1">
        <f t="array" ref="X9">CalculerCommissionAnnuelle(M9,I9,L9,1.7%,2022)</f>
        <v>0</v>
      </c>
      <c r="Y9" cm="1">
        <f t="array" ref="Y9">CalculerCommissionAnnuelle(M9,I9,L9,1.7%,2021)</f>
        <v>0</v>
      </c>
      <c r="Z9" t="str">
        <f t="shared" si="1"/>
        <v>GI</v>
      </c>
      <c r="AA9" t="str">
        <f t="shared" si="2"/>
        <v>25983840150000000045281</v>
      </c>
    </row>
    <row r="10" spans="1:27" x14ac:dyDescent="0.25">
      <c r="B10">
        <v>26024232</v>
      </c>
      <c r="C10" t="s">
        <v>994</v>
      </c>
      <c r="I10" s="21">
        <v>44916</v>
      </c>
      <c r="J10" t="s">
        <v>29</v>
      </c>
      <c r="K10" t="s">
        <v>1037</v>
      </c>
      <c r="L10">
        <f t="shared" si="0"/>
        <v>48</v>
      </c>
      <c r="M10" s="13">
        <v>1425000000</v>
      </c>
      <c r="R10" s="21">
        <v>46387</v>
      </c>
      <c r="U10" t="s">
        <v>72</v>
      </c>
      <c r="V10" cm="1">
        <f t="array" ref="V10">CalculerCommissionSemestrielle(M10,I10,L10,1.7%)</f>
        <v>27253125.000000004</v>
      </c>
      <c r="W10" cm="1">
        <f t="array" ref="W10">CalculerCommissionAnnuelle(M10,I10,L10,1.7%,2023)</f>
        <v>39365625</v>
      </c>
      <c r="X10" cm="1">
        <f t="array" ref="X10">CalculerCommissionAnnuelle(M10,I10,L10,1.7%,2022)</f>
        <v>24225000</v>
      </c>
      <c r="Y10" cm="1">
        <f t="array" ref="Y10">CalculerCommissionAnnuelle(M10,I10,L10,1.7%,2021)</f>
        <v>0</v>
      </c>
      <c r="Z10" t="str">
        <f t="shared" si="1"/>
        <v>GI</v>
      </c>
      <c r="AA10" t="str">
        <f t="shared" si="2"/>
        <v>26024232142500000044916</v>
      </c>
    </row>
    <row r="11" spans="1:27" x14ac:dyDescent="0.25">
      <c r="B11">
        <v>25969709</v>
      </c>
      <c r="C11" t="s">
        <v>995</v>
      </c>
      <c r="I11" s="21">
        <v>43375</v>
      </c>
      <c r="J11" t="s">
        <v>29</v>
      </c>
      <c r="K11" t="s">
        <v>30</v>
      </c>
      <c r="L11">
        <f t="shared" si="0"/>
        <v>83</v>
      </c>
      <c r="M11" s="13">
        <v>1400000000</v>
      </c>
      <c r="R11" s="21">
        <v>45902</v>
      </c>
      <c r="U11" t="s">
        <v>47</v>
      </c>
      <c r="V11" cm="1">
        <f t="array" ref="V11">CalculerCommissionSemestrielle(M11,I11,L11,1.7%)</f>
        <v>6881927.710843374</v>
      </c>
      <c r="W11" cm="1">
        <f t="array" ref="W11">CalculerCommissionAnnuelle(M11,I11,L11,1.7%,2023)</f>
        <v>13763855.421686748</v>
      </c>
      <c r="X11" cm="1">
        <f t="array" ref="X11">CalculerCommissionAnnuelle(M11,I11,L11,1.7%,2022)</f>
        <v>20645783.132530123</v>
      </c>
      <c r="Y11" cm="1">
        <f t="array" ref="Y11">CalculerCommissionAnnuelle(M11,I11,L11,1.7%,2021)</f>
        <v>27527710.843373496</v>
      </c>
      <c r="Z11" t="str">
        <f t="shared" si="1"/>
        <v>GI</v>
      </c>
      <c r="AA11" t="str">
        <f t="shared" si="2"/>
        <v>25969709140000000043375</v>
      </c>
    </row>
    <row r="12" spans="1:27" x14ac:dyDescent="0.25">
      <c r="B12">
        <v>15611005</v>
      </c>
      <c r="C12" t="s">
        <v>996</v>
      </c>
      <c r="I12" s="21">
        <v>42905</v>
      </c>
      <c r="J12" t="s">
        <v>29</v>
      </c>
      <c r="K12" t="s">
        <v>30</v>
      </c>
      <c r="L12">
        <f t="shared" si="0"/>
        <v>84</v>
      </c>
      <c r="M12" s="13">
        <v>1300000000</v>
      </c>
      <c r="R12" s="21">
        <v>45462</v>
      </c>
      <c r="U12" t="s">
        <v>47</v>
      </c>
      <c r="V12" cm="1">
        <f t="array" ref="V12">CalculerCommissionSemestrielle(M12,I12,L12,1.7%)</f>
        <v>0</v>
      </c>
      <c r="W12" cm="1">
        <f t="array" ref="W12">CalculerCommissionAnnuelle(M12,I12,L12,1.7%,2023)</f>
        <v>4735714.2857142854</v>
      </c>
      <c r="X12" cm="1">
        <f t="array" ref="X12">CalculerCommissionAnnuelle(M12,I12,L12,1.7%,2022)</f>
        <v>11050000</v>
      </c>
      <c r="Y12" cm="1">
        <f t="array" ref="Y12">CalculerCommissionAnnuelle(M12,I12,L12,1.7%,2021)</f>
        <v>17364285.714285716</v>
      </c>
      <c r="Z12" t="str">
        <f t="shared" si="1"/>
        <v>GI</v>
      </c>
      <c r="AA12" t="str">
        <f t="shared" si="2"/>
        <v>15611005130000000042905</v>
      </c>
    </row>
    <row r="13" spans="1:27" x14ac:dyDescent="0.25">
      <c r="B13">
        <v>15652105</v>
      </c>
      <c r="C13" t="s">
        <v>997</v>
      </c>
      <c r="I13" s="21">
        <v>44673</v>
      </c>
      <c r="J13" t="s">
        <v>90</v>
      </c>
      <c r="K13" t="s">
        <v>91</v>
      </c>
      <c r="L13">
        <f t="shared" si="0"/>
        <v>96</v>
      </c>
      <c r="M13" s="13">
        <v>1260000000</v>
      </c>
      <c r="R13" s="21">
        <v>47595</v>
      </c>
      <c r="U13" t="s">
        <v>83</v>
      </c>
      <c r="V13" cm="1">
        <f t="array" ref="V13">CalculerCommissionSemestrielle(M13,I13,L13,1.7%)</f>
        <v>29898750.000000004</v>
      </c>
      <c r="W13" cm="1">
        <f t="array" ref="W13">CalculerCommissionAnnuelle(M13,I13,L13,1.7%,2023)</f>
        <v>35253750</v>
      </c>
      <c r="X13" cm="1">
        <f t="array" ref="X13">CalculerCommissionAnnuelle(M13,I13,L13,1.7%,2022)</f>
        <v>40608750</v>
      </c>
      <c r="Y13" cm="1">
        <f t="array" ref="Y13">CalculerCommissionAnnuelle(M13,I13,L13,1.7%,2021)</f>
        <v>0</v>
      </c>
      <c r="Z13" t="str">
        <f t="shared" si="1"/>
        <v>GI</v>
      </c>
      <c r="AA13" t="str">
        <f t="shared" si="2"/>
        <v>15652105126000000044673</v>
      </c>
    </row>
    <row r="14" spans="1:27" x14ac:dyDescent="0.25">
      <c r="B14">
        <v>8116000</v>
      </c>
      <c r="C14" t="s">
        <v>999</v>
      </c>
      <c r="I14" s="21">
        <v>44873</v>
      </c>
      <c r="J14" t="s">
        <v>29</v>
      </c>
      <c r="K14" t="s">
        <v>30</v>
      </c>
      <c r="L14">
        <f t="shared" si="0"/>
        <v>36</v>
      </c>
      <c r="M14" s="13">
        <v>1200000000</v>
      </c>
      <c r="R14" s="21">
        <v>45969</v>
      </c>
      <c r="U14" t="s">
        <v>72</v>
      </c>
      <c r="V14" cm="1">
        <f t="array" ref="V14">CalculerCommissionSemestrielle(M14,I14,L14,1.7%)</f>
        <v>15866666.666666668</v>
      </c>
      <c r="W14" cm="1">
        <f t="array" ref="W14">CalculerCommissionAnnuelle(M14,I14,L14,1.7%,2023)</f>
        <v>29466666.666666668</v>
      </c>
      <c r="X14" cm="1">
        <f t="array" ref="X14">CalculerCommissionAnnuelle(M14,I14,L14,1.7%,2022)</f>
        <v>19833333.333333336</v>
      </c>
      <c r="Y14" cm="1">
        <f t="array" ref="Y14">CalculerCommissionAnnuelle(M14,I14,L14,1.7%,2021)</f>
        <v>0</v>
      </c>
      <c r="Z14" t="str">
        <f t="shared" si="1"/>
        <v>GI</v>
      </c>
      <c r="AA14" t="str">
        <f t="shared" si="2"/>
        <v>8116000120000000044873</v>
      </c>
    </row>
    <row r="15" spans="1:27" x14ac:dyDescent="0.25">
      <c r="B15">
        <v>15753105</v>
      </c>
      <c r="C15" t="s">
        <v>1001</v>
      </c>
      <c r="I15" s="21">
        <v>45000</v>
      </c>
      <c r="J15" t="s">
        <v>39</v>
      </c>
      <c r="K15" t="s">
        <v>40</v>
      </c>
      <c r="L15">
        <f t="shared" si="0"/>
        <v>24</v>
      </c>
      <c r="M15" s="13">
        <v>1000000000</v>
      </c>
      <c r="R15" s="21">
        <v>45731</v>
      </c>
      <c r="U15" t="s">
        <v>47</v>
      </c>
      <c r="V15" cm="1">
        <f t="array" ref="V15">CalculerCommissionSemestrielle(M15,I15,L15,1.7%)</f>
        <v>8500000</v>
      </c>
      <c r="W15" cm="1">
        <f t="array" ref="W15">CalculerCommissionAnnuelle(M15,I15,L15,1.7%,2023)</f>
        <v>25500000</v>
      </c>
      <c r="X15" cm="1">
        <f t="array" ref="X15">CalculerCommissionAnnuelle(M15,I15,L15,1.7%,2022)</f>
        <v>0</v>
      </c>
      <c r="Y15" cm="1">
        <f t="array" ref="Y15">CalculerCommissionAnnuelle(M15,I15,L15,1.7%,2021)</f>
        <v>0</v>
      </c>
      <c r="Z15" t="str">
        <f t="shared" si="1"/>
        <v>GI</v>
      </c>
      <c r="AA15" t="str">
        <f t="shared" si="2"/>
        <v>15753105100000000045000</v>
      </c>
    </row>
    <row r="16" spans="1:27" x14ac:dyDescent="0.25">
      <c r="B16">
        <v>15689405</v>
      </c>
      <c r="C16" t="s">
        <v>1002</v>
      </c>
      <c r="I16" s="21">
        <v>45299</v>
      </c>
      <c r="J16" t="s">
        <v>29</v>
      </c>
      <c r="K16" t="s">
        <v>30</v>
      </c>
      <c r="L16">
        <f t="shared" si="0"/>
        <v>6</v>
      </c>
      <c r="M16" s="13">
        <v>1000000000</v>
      </c>
      <c r="R16" s="21">
        <v>45503</v>
      </c>
      <c r="U16" t="s">
        <v>41</v>
      </c>
      <c r="V16" cm="1">
        <f t="array" ref="V16">CalculerCommissionSemestrielle(M16,I16,L16,1.7%)</f>
        <v>2833333.3333333335</v>
      </c>
      <c r="W16" cm="1">
        <f t="array" ref="W16">CalculerCommissionAnnuelle(M16,I16,L16,1.7%,2023)</f>
        <v>0</v>
      </c>
      <c r="X16" cm="1">
        <f t="array" ref="X16">CalculerCommissionAnnuelle(M16,I16,L16,1.7%,2022)</f>
        <v>0</v>
      </c>
      <c r="Y16" cm="1">
        <f t="array" ref="Y16">CalculerCommissionAnnuelle(M16,I16,L16,1.7%,2021)</f>
        <v>0</v>
      </c>
      <c r="Z16" t="str">
        <f t="shared" si="1"/>
        <v>GI</v>
      </c>
      <c r="AA16" t="str">
        <f t="shared" si="2"/>
        <v>15689405100000000045299</v>
      </c>
    </row>
    <row r="17" spans="2:27" x14ac:dyDescent="0.25">
      <c r="B17">
        <v>15793905</v>
      </c>
      <c r="C17" t="s">
        <v>1003</v>
      </c>
      <c r="I17" s="21">
        <v>45316</v>
      </c>
      <c r="J17" t="s">
        <v>39</v>
      </c>
      <c r="K17" t="s">
        <v>40</v>
      </c>
      <c r="L17">
        <f t="shared" si="0"/>
        <v>7</v>
      </c>
      <c r="M17" s="13">
        <v>950000000</v>
      </c>
      <c r="R17" s="21">
        <v>45535</v>
      </c>
      <c r="U17" t="s">
        <v>41</v>
      </c>
      <c r="V17" cm="1">
        <f t="array" ref="V17">CalculerCommissionSemestrielle(M17,I17,L17,1.7%)</f>
        <v>4614285.7142857146</v>
      </c>
      <c r="W17" cm="1">
        <f t="array" ref="W17">CalculerCommissionAnnuelle(M17,I17,L17,1.7%,2023)</f>
        <v>0</v>
      </c>
      <c r="X17" cm="1">
        <f t="array" ref="X17">CalculerCommissionAnnuelle(M17,I17,L17,1.7%,2022)</f>
        <v>0</v>
      </c>
      <c r="Y17" cm="1">
        <f t="array" ref="Y17">CalculerCommissionAnnuelle(M17,I17,L17,1.7%,2021)</f>
        <v>0</v>
      </c>
      <c r="Z17" t="str">
        <f t="shared" si="1"/>
        <v>GI</v>
      </c>
      <c r="AA17" t="str">
        <f t="shared" si="2"/>
        <v>1579390595000000045316</v>
      </c>
    </row>
    <row r="18" spans="2:27" x14ac:dyDescent="0.25">
      <c r="B18">
        <v>15793905</v>
      </c>
      <c r="C18" t="s">
        <v>1003</v>
      </c>
      <c r="I18" s="21">
        <v>45408</v>
      </c>
      <c r="J18" t="s">
        <v>39</v>
      </c>
      <c r="K18" t="s">
        <v>40</v>
      </c>
      <c r="L18">
        <f t="shared" si="0"/>
        <v>4</v>
      </c>
      <c r="M18" s="13">
        <v>900000000</v>
      </c>
      <c r="R18" s="21">
        <v>45535</v>
      </c>
      <c r="U18" t="s">
        <v>41</v>
      </c>
      <c r="V18" cm="1">
        <f t="array" ref="V18">CalculerCommissionSemestrielle(M18,I18,L18,1.7%)</f>
        <v>7650000.0000000009</v>
      </c>
      <c r="W18" cm="1">
        <f t="array" ref="W18">CalculerCommissionAnnuelle(M18,I18,L18,1.7%,2023)</f>
        <v>0</v>
      </c>
      <c r="X18" cm="1">
        <f t="array" ref="X18">CalculerCommissionAnnuelle(M18,I18,L18,1.7%,2022)</f>
        <v>0</v>
      </c>
      <c r="Y18" cm="1">
        <f t="array" ref="Y18">CalculerCommissionAnnuelle(M18,I18,L18,1.7%,2021)</f>
        <v>0</v>
      </c>
      <c r="Z18" t="str">
        <f t="shared" si="1"/>
        <v>GI</v>
      </c>
      <c r="AA18" t="str">
        <f t="shared" si="2"/>
        <v>1579390590000000045408</v>
      </c>
    </row>
    <row r="19" spans="2:27" x14ac:dyDescent="0.25">
      <c r="B19">
        <v>15483105</v>
      </c>
      <c r="C19" t="s">
        <v>1004</v>
      </c>
      <c r="I19" s="21">
        <v>44103</v>
      </c>
      <c r="J19" t="s">
        <v>29</v>
      </c>
      <c r="K19" t="s">
        <v>30</v>
      </c>
      <c r="L19">
        <f t="shared" si="0"/>
        <v>60</v>
      </c>
      <c r="M19" s="13">
        <v>867000000</v>
      </c>
      <c r="R19" s="21">
        <v>45929</v>
      </c>
      <c r="U19" t="s">
        <v>77</v>
      </c>
      <c r="V19" cm="1">
        <f t="array" ref="V19">CalculerCommissionSemestrielle(M19,I19,L19,1.7%)</f>
        <v>5895600</v>
      </c>
      <c r="W19" cm="1">
        <f t="array" ref="W19">CalculerCommissionAnnuelle(M19,I19,L19,1.7%,2023)</f>
        <v>11791200</v>
      </c>
      <c r="X19" cm="1">
        <f t="array" ref="X19">CalculerCommissionAnnuelle(M19,I19,L19,1.7%,2022)</f>
        <v>17686800</v>
      </c>
      <c r="Y19" cm="1">
        <f t="array" ref="Y19">CalculerCommissionAnnuelle(M19,I19,L19,1.7%,2021)</f>
        <v>23582400</v>
      </c>
      <c r="Z19" t="str">
        <f t="shared" si="1"/>
        <v>GI</v>
      </c>
      <c r="AA19" t="str">
        <f t="shared" si="2"/>
        <v>1548310586700000044103</v>
      </c>
    </row>
    <row r="20" spans="2:27" x14ac:dyDescent="0.25">
      <c r="B20">
        <v>25993936</v>
      </c>
      <c r="C20" t="s">
        <v>1005</v>
      </c>
      <c r="I20" s="21">
        <v>43668</v>
      </c>
      <c r="J20" t="s">
        <v>50</v>
      </c>
      <c r="K20" t="s">
        <v>51</v>
      </c>
      <c r="L20">
        <f t="shared" si="0"/>
        <v>60</v>
      </c>
      <c r="M20" s="13">
        <v>736666668</v>
      </c>
      <c r="R20" s="21">
        <v>45495</v>
      </c>
      <c r="U20" t="s">
        <v>47</v>
      </c>
      <c r="V20" cm="1">
        <f t="array" ref="V20">CalculerCommissionSemestrielle(M20,I20,L20,1.7%)</f>
        <v>208722.22260000004</v>
      </c>
      <c r="W20" cm="1">
        <f t="array" ref="W20">CalculerCommissionAnnuelle(M20,I20,L20,1.7%,2023)</f>
        <v>4174444.4520000005</v>
      </c>
      <c r="X20" cm="1">
        <f t="array" ref="X20">CalculerCommissionAnnuelle(M20,I20,L20,1.7%,2022)</f>
        <v>9183777.7944000009</v>
      </c>
      <c r="Y20" cm="1">
        <f t="array" ref="Y20">CalculerCommissionAnnuelle(M20,I20,L20,1.7%,2021)</f>
        <v>14193111.136800002</v>
      </c>
      <c r="Z20" t="str">
        <f t="shared" si="1"/>
        <v>GI</v>
      </c>
      <c r="AA20" t="str">
        <f t="shared" si="2"/>
        <v>2599393673666666843668</v>
      </c>
    </row>
    <row r="21" spans="2:27" x14ac:dyDescent="0.25">
      <c r="B21">
        <v>8126815</v>
      </c>
      <c r="C21" t="s">
        <v>991</v>
      </c>
      <c r="I21" s="21">
        <v>44323</v>
      </c>
      <c r="J21" t="s">
        <v>29</v>
      </c>
      <c r="K21" t="s">
        <v>30</v>
      </c>
      <c r="L21">
        <f t="shared" si="0"/>
        <v>60</v>
      </c>
      <c r="M21" s="13">
        <v>600000000</v>
      </c>
      <c r="R21" s="21">
        <v>46149</v>
      </c>
      <c r="U21" t="s">
        <v>72</v>
      </c>
      <c r="V21" cm="1">
        <f t="array" ref="V21">CalculerCommissionSemestrielle(M21,I21,L21,1.7%)</f>
        <v>6800000.0000000009</v>
      </c>
      <c r="W21" cm="1">
        <f t="array" ref="W21">CalculerCommissionAnnuelle(M21,I21,L21,1.7%,2023)</f>
        <v>10880000</v>
      </c>
      <c r="X21" cm="1">
        <f t="array" ref="X21">CalculerCommissionAnnuelle(M21,I21,L21,1.7%,2022)</f>
        <v>14960000.000000002</v>
      </c>
      <c r="Y21" cm="1">
        <f t="array" ref="Y21">CalculerCommissionAnnuelle(M21,I21,L21,1.7%,2021)</f>
        <v>19040000</v>
      </c>
      <c r="Z21" t="str">
        <f t="shared" si="1"/>
        <v>GI</v>
      </c>
      <c r="AA21" t="str">
        <f t="shared" si="2"/>
        <v>812681560000000044323</v>
      </c>
    </row>
    <row r="22" spans="2:27" x14ac:dyDescent="0.25">
      <c r="B22">
        <v>8151615</v>
      </c>
      <c r="C22" t="s">
        <v>1006</v>
      </c>
      <c r="I22" s="21">
        <v>45419</v>
      </c>
      <c r="J22" t="s">
        <v>39</v>
      </c>
      <c r="K22" t="s">
        <v>40</v>
      </c>
      <c r="L22">
        <f t="shared" si="0"/>
        <v>0</v>
      </c>
      <c r="M22" s="13">
        <v>600000000</v>
      </c>
      <c r="R22" s="21">
        <v>45442</v>
      </c>
      <c r="U22" t="s">
        <v>47</v>
      </c>
      <c r="V22" cm="1">
        <f t="array" ref="V22">CalculerCommissionSemestrielle(M22,I22,L22,1.7%)</f>
        <v>0</v>
      </c>
      <c r="W22" cm="1">
        <f t="array" ref="W22">CalculerCommissionAnnuelle(M22,I22,L22,1.7%,2023)</f>
        <v>0</v>
      </c>
      <c r="X22" cm="1">
        <f t="array" ref="X22">CalculerCommissionAnnuelle(M22,I22,L22,1.7%,2022)</f>
        <v>0</v>
      </c>
      <c r="Y22" cm="1">
        <f t="array" ref="Y22">CalculerCommissionAnnuelle(M22,I22,L22,1.7%,2021)</f>
        <v>0</v>
      </c>
      <c r="Z22" t="str">
        <f t="shared" si="1"/>
        <v>GI</v>
      </c>
      <c r="AA22" t="str">
        <f t="shared" si="2"/>
        <v>815161560000000045419</v>
      </c>
    </row>
    <row r="23" spans="2:27" x14ac:dyDescent="0.25">
      <c r="B23">
        <v>25969709</v>
      </c>
      <c r="C23" t="s">
        <v>995</v>
      </c>
      <c r="I23" s="21">
        <v>44145</v>
      </c>
      <c r="J23" t="s">
        <v>29</v>
      </c>
      <c r="K23" t="s">
        <v>30</v>
      </c>
      <c r="L23">
        <f t="shared" si="0"/>
        <v>57</v>
      </c>
      <c r="M23" s="13">
        <v>600000000</v>
      </c>
      <c r="R23" s="21">
        <v>45902</v>
      </c>
      <c r="U23" t="s">
        <v>47</v>
      </c>
      <c r="V23" cm="1">
        <f t="array" ref="V23">CalculerCommissionSemestrielle(M23,I23,L23,1.7%)</f>
        <v>3936842.1052631582</v>
      </c>
      <c r="W23" cm="1">
        <f t="array" ref="W23">CalculerCommissionAnnuelle(M23,I23,L23,1.7%,2023)</f>
        <v>8231578.9473684216</v>
      </c>
      <c r="X23" cm="1">
        <f t="array" ref="X23">CalculerCommissionAnnuelle(M23,I23,L23,1.7%,2022)</f>
        <v>12526315.789473685</v>
      </c>
      <c r="Y23" cm="1">
        <f t="array" ref="Y23">CalculerCommissionAnnuelle(M23,I23,L23,1.7%,2021)</f>
        <v>16821052.631578948</v>
      </c>
      <c r="Z23" t="str">
        <f t="shared" si="1"/>
        <v>GI</v>
      </c>
      <c r="AA23" t="str">
        <f t="shared" si="2"/>
        <v>2596970960000000044145</v>
      </c>
    </row>
    <row r="24" spans="2:27" x14ac:dyDescent="0.25">
      <c r="B24">
        <v>25969709</v>
      </c>
      <c r="C24" t="s">
        <v>995</v>
      </c>
      <c r="I24" s="21">
        <v>44187</v>
      </c>
      <c r="J24" t="s">
        <v>29</v>
      </c>
      <c r="K24" t="s">
        <v>30</v>
      </c>
      <c r="L24">
        <f t="shared" si="0"/>
        <v>56</v>
      </c>
      <c r="M24" s="13">
        <v>600000000</v>
      </c>
      <c r="R24" s="21">
        <v>45902</v>
      </c>
      <c r="U24" t="s">
        <v>47</v>
      </c>
      <c r="V24" cm="1">
        <f t="array" ref="V24">CalculerCommissionSemestrielle(M24,I24,L24,1.7%)</f>
        <v>4007142.8571428573</v>
      </c>
      <c r="W24" cm="1">
        <f t="array" ref="W24">CalculerCommissionAnnuelle(M24,I24,L24,1.7%,2023)</f>
        <v>8378571.42857143</v>
      </c>
      <c r="X24" cm="1">
        <f t="array" ref="X24">CalculerCommissionAnnuelle(M24,I24,L24,1.7%,2022)</f>
        <v>12750000</v>
      </c>
      <c r="Y24" cm="1">
        <f t="array" ref="Y24">CalculerCommissionAnnuelle(M24,I24,L24,1.7%,2021)</f>
        <v>17121428.571428571</v>
      </c>
      <c r="Z24" t="str">
        <f t="shared" si="1"/>
        <v>GI</v>
      </c>
      <c r="AA24" t="str">
        <f t="shared" si="2"/>
        <v>2596970960000000044187</v>
      </c>
    </row>
    <row r="25" spans="2:27" x14ac:dyDescent="0.25">
      <c r="B25">
        <v>26032670</v>
      </c>
      <c r="C25" t="s">
        <v>1000</v>
      </c>
      <c r="I25" s="21">
        <v>45355</v>
      </c>
      <c r="J25" t="s">
        <v>39</v>
      </c>
      <c r="K25" t="s">
        <v>40</v>
      </c>
      <c r="L25">
        <f t="shared" si="0"/>
        <v>9</v>
      </c>
      <c r="M25" s="13">
        <v>500000000</v>
      </c>
      <c r="R25" s="21">
        <v>45657</v>
      </c>
      <c r="U25" t="s">
        <v>141</v>
      </c>
      <c r="V25" cm="1">
        <f t="array" ref="V25">CalculerCommissionSemestrielle(M25,I25,L25,1.7%)</f>
        <v>5666666.666666667</v>
      </c>
      <c r="W25" cm="1">
        <f t="array" ref="W25">CalculerCommissionAnnuelle(M25,I25,L25,1.7%,2023)</f>
        <v>0</v>
      </c>
      <c r="X25" cm="1">
        <f t="array" ref="X25">CalculerCommissionAnnuelle(M25,I25,L25,1.7%,2022)</f>
        <v>0</v>
      </c>
      <c r="Y25" cm="1">
        <f t="array" ref="Y25">CalculerCommissionAnnuelle(M25,I25,L25,1.7%,2021)</f>
        <v>0</v>
      </c>
      <c r="Z25" t="str">
        <f t="shared" si="1"/>
        <v>GI</v>
      </c>
      <c r="AA25" t="str">
        <f t="shared" si="2"/>
        <v>2603267050000000045355</v>
      </c>
    </row>
    <row r="26" spans="2:27" x14ac:dyDescent="0.25">
      <c r="B26">
        <v>15689405</v>
      </c>
      <c r="C26" t="s">
        <v>1002</v>
      </c>
      <c r="I26" s="21">
        <v>45299</v>
      </c>
      <c r="J26" t="s">
        <v>29</v>
      </c>
      <c r="K26" t="s">
        <v>30</v>
      </c>
      <c r="L26">
        <f t="shared" si="0"/>
        <v>6</v>
      </c>
      <c r="M26" s="13">
        <v>500000000</v>
      </c>
      <c r="R26" s="21">
        <v>45503</v>
      </c>
      <c r="U26" t="s">
        <v>41</v>
      </c>
      <c r="V26" cm="1">
        <f t="array" ref="V26">CalculerCommissionSemestrielle(M26,I26,L26,1.7%)</f>
        <v>1416666.6666666667</v>
      </c>
      <c r="W26" cm="1">
        <f t="array" ref="W26">CalculerCommissionAnnuelle(M26,I26,L26,1.7%,2023)</f>
        <v>0</v>
      </c>
      <c r="X26" cm="1">
        <f t="array" ref="X26">CalculerCommissionAnnuelle(M26,I26,L26,1.7%,2022)</f>
        <v>0</v>
      </c>
      <c r="Y26" cm="1">
        <f t="array" ref="Y26">CalculerCommissionAnnuelle(M26,I26,L26,1.7%,2021)</f>
        <v>0</v>
      </c>
      <c r="Z26" t="str">
        <f t="shared" si="1"/>
        <v>GI</v>
      </c>
      <c r="AA26" t="str">
        <f t="shared" si="2"/>
        <v>1568940550000000045299</v>
      </c>
    </row>
    <row r="27" spans="2:27" x14ac:dyDescent="0.25">
      <c r="B27">
        <v>8151615</v>
      </c>
      <c r="C27" t="s">
        <v>1006</v>
      </c>
      <c r="I27" s="21">
        <v>44553</v>
      </c>
      <c r="J27" t="s">
        <v>29</v>
      </c>
      <c r="K27" t="s">
        <v>30</v>
      </c>
      <c r="L27">
        <f t="shared" si="0"/>
        <v>60</v>
      </c>
      <c r="M27" s="13">
        <v>500000000</v>
      </c>
      <c r="R27" s="21">
        <v>46379</v>
      </c>
      <c r="U27" t="s">
        <v>47</v>
      </c>
      <c r="V27" cm="1">
        <f t="array" ref="V27">CalculerCommissionSemestrielle(M27,I27,L27,1.7%)</f>
        <v>7650000.0000000009</v>
      </c>
      <c r="W27" cm="1">
        <f t="array" ref="W27">CalculerCommissionAnnuelle(M27,I27,L27,1.7%,2023)</f>
        <v>11050000</v>
      </c>
      <c r="X27" cm="1">
        <f t="array" ref="X27">CalculerCommissionAnnuelle(M27,I27,L27,1.7%,2022)</f>
        <v>14450000.000000002</v>
      </c>
      <c r="Y27" cm="1">
        <f t="array" ref="Y27">CalculerCommissionAnnuelle(M27,I27,L27,1.7%,2021)</f>
        <v>8500000</v>
      </c>
      <c r="Z27" t="str">
        <f t="shared" si="1"/>
        <v>GI</v>
      </c>
      <c r="AA27" t="str">
        <f t="shared" si="2"/>
        <v>815161550000000044553</v>
      </c>
    </row>
    <row r="28" spans="2:27" x14ac:dyDescent="0.25">
      <c r="B28">
        <v>8151615</v>
      </c>
      <c r="C28" t="s">
        <v>1006</v>
      </c>
      <c r="I28" s="21">
        <v>44834</v>
      </c>
      <c r="J28" t="s">
        <v>29</v>
      </c>
      <c r="K28" t="s">
        <v>30</v>
      </c>
      <c r="L28">
        <f t="shared" si="0"/>
        <v>60</v>
      </c>
      <c r="M28" s="13">
        <v>500000000</v>
      </c>
      <c r="R28" s="21">
        <v>46660</v>
      </c>
      <c r="U28" t="s">
        <v>47</v>
      </c>
      <c r="V28" cm="1">
        <f t="array" ref="V28">CalculerCommissionSemestrielle(M28,I28,L28,1.7%)</f>
        <v>10200000</v>
      </c>
      <c r="W28" cm="1">
        <f t="array" ref="W28">CalculerCommissionAnnuelle(M28,I28,L28,1.7%,2023)</f>
        <v>13600000.000000002</v>
      </c>
      <c r="X28" cm="1">
        <f t="array" ref="X28">CalculerCommissionAnnuelle(M28,I28,L28,1.7%,2022)</f>
        <v>8075000.0000000009</v>
      </c>
      <c r="Y28" cm="1">
        <f t="array" ref="Y28">CalculerCommissionAnnuelle(M28,I28,L28,1.7%,2021)</f>
        <v>0</v>
      </c>
      <c r="Z28" t="str">
        <f t="shared" si="1"/>
        <v>GI</v>
      </c>
      <c r="AA28" t="str">
        <f t="shared" si="2"/>
        <v>815161550000000044834</v>
      </c>
    </row>
    <row r="29" spans="2:27" x14ac:dyDescent="0.25">
      <c r="B29">
        <v>25949442</v>
      </c>
      <c r="C29" t="s">
        <v>1008</v>
      </c>
      <c r="I29" s="21">
        <v>44456</v>
      </c>
      <c r="J29" t="s">
        <v>29</v>
      </c>
      <c r="K29" t="s">
        <v>30</v>
      </c>
      <c r="L29">
        <f t="shared" si="0"/>
        <v>63</v>
      </c>
      <c r="M29" s="13">
        <v>475000000</v>
      </c>
      <c r="R29" s="21">
        <v>46373</v>
      </c>
      <c r="U29" t="s">
        <v>141</v>
      </c>
      <c r="V29" cm="1">
        <f t="array" ref="V29">CalculerCommissionSemestrielle(M29,I29,L29,1.7%)</f>
        <v>6921428.5714285718</v>
      </c>
      <c r="W29" cm="1">
        <f t="array" ref="W29">CalculerCommissionAnnuelle(M29,I29,L29,1.7%,2023)</f>
        <v>9997619.0476190485</v>
      </c>
      <c r="X29" cm="1">
        <f t="array" ref="X29">CalculerCommissionAnnuelle(M29,I29,L29,1.7%,2022)</f>
        <v>13073809.523809524</v>
      </c>
      <c r="Y29" cm="1">
        <f t="array" ref="Y29">CalculerCommissionAnnuelle(M29,I29,L29,1.7%,2021)</f>
        <v>7690476.1904761903</v>
      </c>
      <c r="Z29" t="str">
        <f t="shared" si="1"/>
        <v>GI</v>
      </c>
      <c r="AA29" t="str">
        <f t="shared" si="2"/>
        <v>2594944247500000044456</v>
      </c>
    </row>
    <row r="30" spans="2:27" x14ac:dyDescent="0.25">
      <c r="B30">
        <v>26057767</v>
      </c>
      <c r="C30" t="s">
        <v>1009</v>
      </c>
      <c r="I30" s="21">
        <v>44316</v>
      </c>
      <c r="J30" t="s">
        <v>29</v>
      </c>
      <c r="K30" t="s">
        <v>30</v>
      </c>
      <c r="L30">
        <f t="shared" si="0"/>
        <v>60</v>
      </c>
      <c r="M30" s="13">
        <v>465000000</v>
      </c>
      <c r="R30" s="21">
        <v>46142</v>
      </c>
      <c r="U30" t="s">
        <v>141</v>
      </c>
      <c r="V30" cm="1">
        <f t="array" ref="V30">CalculerCommissionSemestrielle(M30,I30,L30,1.7%)</f>
        <v>5006500</v>
      </c>
      <c r="W30" cm="1">
        <f t="array" ref="W30">CalculerCommissionAnnuelle(M30,I30,L30,1.7%,2023)</f>
        <v>8168500.0000000009</v>
      </c>
      <c r="X30" cm="1">
        <f t="array" ref="X30">CalculerCommissionAnnuelle(M30,I30,L30,1.7%,2022)</f>
        <v>11330500</v>
      </c>
      <c r="Y30" cm="1">
        <f t="array" ref="Y30">CalculerCommissionAnnuelle(M30,I30,L30,1.7%,2021)</f>
        <v>14492500.000000002</v>
      </c>
      <c r="Z30" t="str">
        <f t="shared" si="1"/>
        <v>GI</v>
      </c>
      <c r="AA30" t="str">
        <f t="shared" si="2"/>
        <v>2605776746500000044316</v>
      </c>
    </row>
    <row r="31" spans="2:27" x14ac:dyDescent="0.25">
      <c r="B31">
        <v>15517505</v>
      </c>
      <c r="C31" t="s">
        <v>1010</v>
      </c>
      <c r="I31" s="21">
        <v>43126</v>
      </c>
      <c r="J31" t="s">
        <v>50</v>
      </c>
      <c r="K31" t="s">
        <v>51</v>
      </c>
      <c r="L31">
        <f t="shared" si="0"/>
        <v>84</v>
      </c>
      <c r="M31" s="13">
        <v>451402617</v>
      </c>
      <c r="R31" s="21">
        <v>45683</v>
      </c>
      <c r="U31" t="s">
        <v>106</v>
      </c>
      <c r="V31" cm="1">
        <f t="array" ref="V31">CalculerCommissionSemestrielle(M31,I31,L31,1.7%)</f>
        <v>730842.33228571434</v>
      </c>
      <c r="W31" cm="1">
        <f t="array" ref="W31">CalculerCommissionAnnuelle(M31,I31,L31,1.7%,2023)</f>
        <v>2923369.3291428573</v>
      </c>
      <c r="X31" cm="1">
        <f t="array" ref="X31">CalculerCommissionAnnuelle(M31,I31,L31,1.7%,2022)</f>
        <v>5115896.3260000004</v>
      </c>
      <c r="Y31" cm="1">
        <f t="array" ref="Y31">CalculerCommissionAnnuelle(M31,I31,L31,1.7%,2021)</f>
        <v>7308423.3228571434</v>
      </c>
      <c r="Z31" t="str">
        <f t="shared" si="1"/>
        <v>GI</v>
      </c>
      <c r="AA31" t="str">
        <f t="shared" si="2"/>
        <v>1551750545140261743126</v>
      </c>
    </row>
    <row r="32" spans="2:27" x14ac:dyDescent="0.25">
      <c r="B32">
        <v>8176615</v>
      </c>
      <c r="C32" t="s">
        <v>1012</v>
      </c>
      <c r="I32" s="21">
        <v>45237</v>
      </c>
      <c r="J32" t="s">
        <v>39</v>
      </c>
      <c r="K32" t="s">
        <v>40</v>
      </c>
      <c r="L32">
        <f t="shared" si="0"/>
        <v>11</v>
      </c>
      <c r="M32" s="13">
        <v>450000000</v>
      </c>
      <c r="R32" s="21">
        <v>45596</v>
      </c>
      <c r="U32" t="s">
        <v>141</v>
      </c>
      <c r="V32" cm="1">
        <f t="array" ref="V32">CalculerCommissionSemestrielle(M32,I32,L32,1.7%)</f>
        <v>2781818.1818181816</v>
      </c>
      <c r="W32" cm="1">
        <f t="array" ref="W32">CalculerCommissionAnnuelle(M32,I32,L32,1.7%,2023)</f>
        <v>6954545.4545454541</v>
      </c>
      <c r="X32" cm="1">
        <f t="array" ref="X32">CalculerCommissionAnnuelle(M32,I32,L32,1.7%,2022)</f>
        <v>0</v>
      </c>
      <c r="Y32" cm="1">
        <f t="array" ref="Y32">CalculerCommissionAnnuelle(M32,I32,L32,1.7%,2021)</f>
        <v>0</v>
      </c>
      <c r="Z32" t="str">
        <f t="shared" si="1"/>
        <v>GI</v>
      </c>
      <c r="AA32" t="str">
        <f t="shared" si="2"/>
        <v>817661545000000045237</v>
      </c>
    </row>
    <row r="33" spans="2:27" x14ac:dyDescent="0.25">
      <c r="B33">
        <v>25958783</v>
      </c>
      <c r="C33" t="s">
        <v>1013</v>
      </c>
      <c r="I33" s="21">
        <v>43188</v>
      </c>
      <c r="J33" t="s">
        <v>29</v>
      </c>
      <c r="K33" t="s">
        <v>30</v>
      </c>
      <c r="L33">
        <f t="shared" si="0"/>
        <v>94</v>
      </c>
      <c r="M33" s="13">
        <v>421578644</v>
      </c>
      <c r="R33" s="21">
        <v>46081</v>
      </c>
      <c r="U33" t="s">
        <v>1038</v>
      </c>
      <c r="V33" cm="1">
        <f t="array" ref="V33">CalculerCommissionSemestrielle(M33,I33,L33,1.7%)</f>
        <v>2439774.280170213</v>
      </c>
      <c r="W33" cm="1">
        <f t="array" ref="W33">CalculerCommissionAnnuelle(M33,I33,L33,1.7%,2023)</f>
        <v>4269604.9902978726</v>
      </c>
      <c r="X33" cm="1">
        <f t="array" ref="X33">CalculerCommissionAnnuelle(M33,I33,L33,1.7%,2022)</f>
        <v>6099435.7004255326</v>
      </c>
      <c r="Y33" cm="1">
        <f t="array" ref="Y33">CalculerCommissionAnnuelle(M33,I33,L33,1.7%,2021)</f>
        <v>7929266.4105531918</v>
      </c>
      <c r="Z33" t="str">
        <f t="shared" si="1"/>
        <v>GI</v>
      </c>
      <c r="AA33" t="str">
        <f t="shared" si="2"/>
        <v>2595878342157864443188</v>
      </c>
    </row>
    <row r="34" spans="2:27" x14ac:dyDescent="0.25">
      <c r="B34">
        <v>26024232</v>
      </c>
      <c r="C34" t="s">
        <v>994</v>
      </c>
      <c r="I34" s="21">
        <v>44925</v>
      </c>
      <c r="J34" t="s">
        <v>29</v>
      </c>
      <c r="K34" t="s">
        <v>30</v>
      </c>
      <c r="L34">
        <f t="shared" si="0"/>
        <v>48</v>
      </c>
      <c r="M34" s="13">
        <v>400000000</v>
      </c>
      <c r="R34" s="21">
        <v>46386</v>
      </c>
      <c r="U34" t="s">
        <v>72</v>
      </c>
      <c r="V34" cm="1">
        <f t="array" ref="V34">CalculerCommissionSemestrielle(M34,I34,L34,1.7%)</f>
        <v>7650000.0000000009</v>
      </c>
      <c r="W34" cm="1">
        <f t="array" ref="W34">CalculerCommissionAnnuelle(M34,I34,L34,1.7%,2023)</f>
        <v>11050000</v>
      </c>
      <c r="X34" cm="1">
        <f t="array" ref="X34">CalculerCommissionAnnuelle(M34,I34,L34,1.7%,2022)</f>
        <v>6800000.0000000009</v>
      </c>
      <c r="Y34" cm="1">
        <f t="array" ref="Y34">CalculerCommissionAnnuelle(M34,I34,L34,1.7%,2021)</f>
        <v>0</v>
      </c>
      <c r="Z34" t="str">
        <f t="shared" si="1"/>
        <v>GI</v>
      </c>
      <c r="AA34" t="str">
        <f t="shared" si="2"/>
        <v>2602423240000000044925</v>
      </c>
    </row>
    <row r="35" spans="2:27" x14ac:dyDescent="0.25">
      <c r="B35">
        <v>26015351</v>
      </c>
      <c r="C35" t="s">
        <v>993</v>
      </c>
      <c r="I35" s="21">
        <v>45071</v>
      </c>
      <c r="J35" t="s">
        <v>39</v>
      </c>
      <c r="K35" t="s">
        <v>40</v>
      </c>
      <c r="L35">
        <f t="shared" si="0"/>
        <v>24</v>
      </c>
      <c r="M35" s="13">
        <v>350000000</v>
      </c>
      <c r="R35" s="21">
        <v>45802</v>
      </c>
      <c r="U35" t="s">
        <v>141</v>
      </c>
      <c r="V35" cm="1">
        <f t="array" ref="V35">CalculerCommissionSemestrielle(M35,I35,L35,1.7%)</f>
        <v>3966666.666666667</v>
      </c>
      <c r="W35" cm="1">
        <f t="array" ref="W35">CalculerCommissionAnnuelle(M35,I35,L35,1.7%,2023)</f>
        <v>9916666.6666666679</v>
      </c>
      <c r="X35" cm="1">
        <f t="array" ref="X35">CalculerCommissionAnnuelle(M35,I35,L35,1.7%,2022)</f>
        <v>0</v>
      </c>
      <c r="Y35" cm="1">
        <f t="array" ref="Y35">CalculerCommissionAnnuelle(M35,I35,L35,1.7%,2021)</f>
        <v>0</v>
      </c>
      <c r="Z35" t="str">
        <f t="shared" si="1"/>
        <v>GI</v>
      </c>
      <c r="AA35" t="str">
        <f t="shared" si="2"/>
        <v>2601535135000000045071</v>
      </c>
    </row>
    <row r="36" spans="2:27" x14ac:dyDescent="0.25">
      <c r="B36">
        <v>25958783</v>
      </c>
      <c r="C36" t="s">
        <v>1013</v>
      </c>
      <c r="I36" s="21">
        <v>43188</v>
      </c>
      <c r="J36" t="s">
        <v>29</v>
      </c>
      <c r="K36" t="s">
        <v>30</v>
      </c>
      <c r="L36">
        <f t="shared" si="0"/>
        <v>94</v>
      </c>
      <c r="M36" s="13">
        <v>349114707</v>
      </c>
      <c r="R36" s="21">
        <v>46081</v>
      </c>
      <c r="U36" t="s">
        <v>1038</v>
      </c>
      <c r="V36" cm="1">
        <f t="array" ref="V36">CalculerCommissionSemestrielle(M36,I36,L36,1.7%)</f>
        <v>2020408.5171063831</v>
      </c>
      <c r="W36" cm="1">
        <f t="array" ref="W36">CalculerCommissionAnnuelle(M36,I36,L36,1.7%,2023)</f>
        <v>3535714.9049361707</v>
      </c>
      <c r="X36" cm="1">
        <f t="array" ref="X36">CalculerCommissionAnnuelle(M36,I36,L36,1.7%,2022)</f>
        <v>5051021.2927659573</v>
      </c>
      <c r="Y36" cm="1">
        <f t="array" ref="Y36">CalculerCommissionAnnuelle(M36,I36,L36,1.7%,2021)</f>
        <v>6566327.6805957453</v>
      </c>
      <c r="Z36" t="str">
        <f t="shared" si="1"/>
        <v>GI</v>
      </c>
      <c r="AA36" t="str">
        <f t="shared" si="2"/>
        <v>2595878334911470743188</v>
      </c>
    </row>
    <row r="37" spans="2:27" x14ac:dyDescent="0.25">
      <c r="B37">
        <v>15689405</v>
      </c>
      <c r="C37" t="s">
        <v>1002</v>
      </c>
      <c r="I37" s="21">
        <v>45299</v>
      </c>
      <c r="J37" t="s">
        <v>29</v>
      </c>
      <c r="K37" t="s">
        <v>30</v>
      </c>
      <c r="L37">
        <f t="shared" si="0"/>
        <v>6</v>
      </c>
      <c r="M37" s="13">
        <v>300000000</v>
      </c>
      <c r="R37" s="21">
        <v>45503</v>
      </c>
      <c r="U37" t="s">
        <v>41</v>
      </c>
      <c r="V37" cm="1">
        <f t="array" ref="V37">CalculerCommissionSemestrielle(M37,I37,L37,1.7%)</f>
        <v>850000.00000000012</v>
      </c>
      <c r="W37" cm="1">
        <f t="array" ref="W37">CalculerCommissionAnnuelle(M37,I37,L37,1.7%,2023)</f>
        <v>0</v>
      </c>
      <c r="X37" cm="1">
        <f t="array" ref="X37">CalculerCommissionAnnuelle(M37,I37,L37,1.7%,2022)</f>
        <v>0</v>
      </c>
      <c r="Y37" cm="1">
        <f t="array" ref="Y37">CalculerCommissionAnnuelle(M37,I37,L37,1.7%,2021)</f>
        <v>0</v>
      </c>
      <c r="Z37" t="str">
        <f t="shared" si="1"/>
        <v>GI</v>
      </c>
      <c r="AA37" t="str">
        <f t="shared" si="2"/>
        <v>1568940530000000045299</v>
      </c>
    </row>
    <row r="38" spans="2:27" x14ac:dyDescent="0.25">
      <c r="B38">
        <v>9512140</v>
      </c>
      <c r="C38" t="s">
        <v>998</v>
      </c>
      <c r="I38" s="21">
        <v>44978</v>
      </c>
      <c r="J38" t="s">
        <v>29</v>
      </c>
      <c r="K38" t="s">
        <v>30</v>
      </c>
      <c r="L38">
        <f t="shared" si="0"/>
        <v>48</v>
      </c>
      <c r="M38" s="13">
        <v>300000000</v>
      </c>
      <c r="R38" s="21">
        <v>46439</v>
      </c>
      <c r="U38" t="s">
        <v>1038</v>
      </c>
      <c r="V38" cm="1">
        <f t="array" ref="V38">CalculerCommissionSemestrielle(M38,I38,L38,1.7%)</f>
        <v>6162500</v>
      </c>
      <c r="W38" cm="1">
        <f t="array" ref="W38">CalculerCommissionAnnuelle(M38,I38,L38,1.7%,2023)</f>
        <v>8712500</v>
      </c>
      <c r="X38" cm="1">
        <f t="array" ref="X38">CalculerCommissionAnnuelle(M38,I38,L38,1.7%,2022)</f>
        <v>0</v>
      </c>
      <c r="Y38" cm="1">
        <f t="array" ref="Y38">CalculerCommissionAnnuelle(M38,I38,L38,1.7%,2021)</f>
        <v>0</v>
      </c>
      <c r="Z38" t="str">
        <f t="shared" si="1"/>
        <v>GI</v>
      </c>
      <c r="AA38" t="str">
        <f t="shared" si="2"/>
        <v>951214030000000044978</v>
      </c>
    </row>
    <row r="39" spans="2:27" x14ac:dyDescent="0.25">
      <c r="B39">
        <v>8122915</v>
      </c>
      <c r="C39" t="s">
        <v>1011</v>
      </c>
      <c r="I39" s="21">
        <v>44328</v>
      </c>
      <c r="J39" t="s">
        <v>29</v>
      </c>
      <c r="K39" t="s">
        <v>30</v>
      </c>
      <c r="L39">
        <f t="shared" si="0"/>
        <v>84</v>
      </c>
      <c r="M39" s="13">
        <v>300000000</v>
      </c>
      <c r="R39" s="21">
        <v>46885</v>
      </c>
      <c r="U39" t="s">
        <v>47</v>
      </c>
      <c r="V39" cm="1">
        <f t="array" ref="V39">CalculerCommissionSemestrielle(M39,I39,L39,1.7%)</f>
        <v>5342857.1428571437</v>
      </c>
      <c r="W39" cm="1">
        <f t="array" ref="W39">CalculerCommissionAnnuelle(M39,I39,L39,1.7%,2023)</f>
        <v>6800000.0000000009</v>
      </c>
      <c r="X39" cm="1">
        <f t="array" ref="X39">CalculerCommissionAnnuelle(M39,I39,L39,1.7%,2022)</f>
        <v>8257142.8571428573</v>
      </c>
      <c r="Y39" cm="1">
        <f t="array" ref="Y39">CalculerCommissionAnnuelle(M39,I39,L39,1.7%,2021)</f>
        <v>9714285.7142857146</v>
      </c>
      <c r="Z39" t="str">
        <f t="shared" si="1"/>
        <v>GI</v>
      </c>
      <c r="AA39" t="str">
        <f t="shared" si="2"/>
        <v>812291530000000044328</v>
      </c>
    </row>
    <row r="40" spans="2:27" x14ac:dyDescent="0.25">
      <c r="B40">
        <v>40762935</v>
      </c>
      <c r="C40" t="s">
        <v>1016</v>
      </c>
      <c r="I40" s="21">
        <v>45264</v>
      </c>
      <c r="J40" t="s">
        <v>39</v>
      </c>
      <c r="K40" t="s">
        <v>40</v>
      </c>
      <c r="L40">
        <f t="shared" si="0"/>
        <v>5</v>
      </c>
      <c r="M40" s="13">
        <v>280000000</v>
      </c>
      <c r="R40" s="21">
        <v>45443</v>
      </c>
      <c r="U40" t="s">
        <v>141</v>
      </c>
      <c r="V40" cm="1">
        <f t="array" ref="V40">CalculerCommissionSemestrielle(M40,I40,L40,1.7%)</f>
        <v>0</v>
      </c>
      <c r="W40" cm="1">
        <f t="array" ref="W40">CalculerCommissionAnnuelle(M40,I40,L40,1.7%,2023)</f>
        <v>4760000</v>
      </c>
      <c r="X40" cm="1">
        <f t="array" ref="X40">CalculerCommissionAnnuelle(M40,I40,L40,1.7%,2022)</f>
        <v>0</v>
      </c>
      <c r="Y40" cm="1">
        <f t="array" ref="Y40">CalculerCommissionAnnuelle(M40,I40,L40,1.7%,2021)</f>
        <v>0</v>
      </c>
      <c r="Z40" t="str">
        <f t="shared" si="1"/>
        <v>GI</v>
      </c>
      <c r="AA40" t="str">
        <f t="shared" si="2"/>
        <v>4076293528000000045264</v>
      </c>
    </row>
    <row r="41" spans="2:27" x14ac:dyDescent="0.25">
      <c r="B41">
        <v>8176615</v>
      </c>
      <c r="C41" t="s">
        <v>1012</v>
      </c>
      <c r="I41" s="21">
        <v>44300</v>
      </c>
      <c r="J41" t="s">
        <v>29</v>
      </c>
      <c r="K41" t="s">
        <v>30</v>
      </c>
      <c r="L41">
        <f t="shared" si="0"/>
        <v>60</v>
      </c>
      <c r="M41" s="13">
        <v>275000000</v>
      </c>
      <c r="R41" s="21">
        <v>46126</v>
      </c>
      <c r="U41" t="s">
        <v>141</v>
      </c>
      <c r="V41" cm="1">
        <f t="array" ref="V41">CalculerCommissionSemestrielle(M41,I41,L41,1.7%)</f>
        <v>2960833.3333333335</v>
      </c>
      <c r="W41" cm="1">
        <f t="array" ref="W41">CalculerCommissionAnnuelle(M41,I41,L41,1.7%,2023)</f>
        <v>4830833.333333334</v>
      </c>
      <c r="X41" cm="1">
        <f t="array" ref="X41">CalculerCommissionAnnuelle(M41,I41,L41,1.7%,2022)</f>
        <v>6700833.333333334</v>
      </c>
      <c r="Y41" cm="1">
        <f t="array" ref="Y41">CalculerCommissionAnnuelle(M41,I41,L41,1.7%,2021)</f>
        <v>8570833.333333334</v>
      </c>
      <c r="Z41" t="str">
        <f t="shared" si="1"/>
        <v>GI</v>
      </c>
      <c r="AA41" t="str">
        <f t="shared" si="2"/>
        <v>817661527500000044300</v>
      </c>
    </row>
    <row r="42" spans="2:27" x14ac:dyDescent="0.25">
      <c r="B42">
        <v>52217061</v>
      </c>
      <c r="C42" t="s">
        <v>1014</v>
      </c>
      <c r="I42" s="21">
        <v>44544</v>
      </c>
      <c r="J42" t="s">
        <v>29</v>
      </c>
      <c r="K42" t="s">
        <v>30</v>
      </c>
      <c r="L42">
        <f t="shared" si="0"/>
        <v>36</v>
      </c>
      <c r="M42" s="13">
        <v>250000000</v>
      </c>
      <c r="R42" s="21">
        <v>45640</v>
      </c>
      <c r="U42" t="s">
        <v>83</v>
      </c>
      <c r="V42" cm="1">
        <f t="array" ref="V42">CalculerCommissionSemestrielle(M42,I42,L42,1.7%)</f>
        <v>708333.33333333337</v>
      </c>
      <c r="W42" cm="1">
        <f t="array" ref="W42">CalculerCommissionAnnuelle(M42,I42,L42,1.7%,2023)</f>
        <v>3541666.666666667</v>
      </c>
      <c r="X42" cm="1">
        <f t="array" ref="X42">CalculerCommissionAnnuelle(M42,I42,L42,1.7%,2022)</f>
        <v>6375000</v>
      </c>
      <c r="Y42" cm="1">
        <f t="array" ref="Y42">CalculerCommissionAnnuelle(M42,I42,L42,1.7%,2021)</f>
        <v>4250000</v>
      </c>
      <c r="Z42" t="str">
        <f t="shared" si="1"/>
        <v>GI</v>
      </c>
      <c r="AA42" t="str">
        <f t="shared" si="2"/>
        <v>5221706125000000044544</v>
      </c>
    </row>
    <row r="43" spans="2:27" x14ac:dyDescent="0.25">
      <c r="B43">
        <v>8126815</v>
      </c>
      <c r="C43" t="s">
        <v>991</v>
      </c>
      <c r="I43" s="21">
        <v>45069</v>
      </c>
      <c r="J43" t="s">
        <v>29</v>
      </c>
      <c r="K43" t="s">
        <v>30</v>
      </c>
      <c r="L43">
        <f t="shared" si="0"/>
        <v>60</v>
      </c>
      <c r="M43" s="13">
        <v>250000000</v>
      </c>
      <c r="R43" s="21">
        <v>46896</v>
      </c>
      <c r="U43" t="s">
        <v>72</v>
      </c>
      <c r="V43" cm="1">
        <f t="array" ref="V43">CalculerCommissionSemestrielle(M43,I43,L43,1.7%)</f>
        <v>6233333.333333334</v>
      </c>
      <c r="W43" cm="1">
        <f t="array" ref="W43">CalculerCommissionAnnuelle(M43,I43,L43,1.7%,2023)</f>
        <v>7933333.333333334</v>
      </c>
      <c r="X43" cm="1">
        <f t="array" ref="X43">CalculerCommissionAnnuelle(M43,I43,L43,1.7%,2022)</f>
        <v>0</v>
      </c>
      <c r="Y43" cm="1">
        <f t="array" ref="Y43">CalculerCommissionAnnuelle(M43,I43,L43,1.7%,2021)</f>
        <v>0</v>
      </c>
      <c r="Z43" t="str">
        <f t="shared" si="1"/>
        <v>GI</v>
      </c>
      <c r="AA43" t="str">
        <f t="shared" si="2"/>
        <v>812681525000000045069</v>
      </c>
    </row>
    <row r="44" spans="2:27" x14ac:dyDescent="0.25">
      <c r="B44">
        <v>39003912</v>
      </c>
      <c r="C44" t="s">
        <v>1017</v>
      </c>
      <c r="I44" s="21">
        <v>44593</v>
      </c>
      <c r="J44" t="s">
        <v>29</v>
      </c>
      <c r="K44" t="s">
        <v>30</v>
      </c>
      <c r="L44">
        <f t="shared" si="0"/>
        <v>60</v>
      </c>
      <c r="M44" s="13">
        <v>245000000</v>
      </c>
      <c r="R44" s="21">
        <v>46419</v>
      </c>
      <c r="U44" t="s">
        <v>83</v>
      </c>
      <c r="V44" cm="1">
        <f t="array" ref="V44">CalculerCommissionSemestrielle(M44,I44,L44,1.7%)</f>
        <v>4026166.666666667</v>
      </c>
      <c r="W44" cm="1">
        <f t="array" ref="W44">CalculerCommissionAnnuelle(M44,I44,L44,1.7%,2023)</f>
        <v>5692166.666666667</v>
      </c>
      <c r="X44" cm="1">
        <f t="array" ref="X44">CalculerCommissionAnnuelle(M44,I44,L44,1.7%,2022)</f>
        <v>7358166.666666667</v>
      </c>
      <c r="Y44" cm="1">
        <f t="array" ref="Y44">CalculerCommissionAnnuelle(M44,I44,L44,1.7%,2021)</f>
        <v>0</v>
      </c>
      <c r="Z44" t="str">
        <f t="shared" si="1"/>
        <v>GI</v>
      </c>
      <c r="AA44" t="str">
        <f t="shared" si="2"/>
        <v>3900391224500000044593</v>
      </c>
    </row>
    <row r="45" spans="2:27" x14ac:dyDescent="0.25">
      <c r="B45">
        <v>8176615</v>
      </c>
      <c r="C45" t="s">
        <v>1012</v>
      </c>
      <c r="I45" s="21">
        <v>44433</v>
      </c>
      <c r="J45" t="s">
        <v>29</v>
      </c>
      <c r="K45" t="s">
        <v>30</v>
      </c>
      <c r="L45">
        <f t="shared" si="0"/>
        <v>36</v>
      </c>
      <c r="M45" s="13">
        <v>215000000</v>
      </c>
      <c r="R45" s="21">
        <v>45529</v>
      </c>
      <c r="U45" t="s">
        <v>141</v>
      </c>
      <c r="V45" cm="1">
        <f t="array" ref="V45">CalculerCommissionSemestrielle(M45,I45,L45,1.7%)</f>
        <v>203055.55555555556</v>
      </c>
      <c r="W45" cm="1">
        <f t="array" ref="W45">CalculerCommissionAnnuelle(M45,I45,L45,1.7%,2023)</f>
        <v>2233611.111111111</v>
      </c>
      <c r="X45" cm="1">
        <f t="array" ref="X45">CalculerCommissionAnnuelle(M45,I45,L45,1.7%,2022)</f>
        <v>4670277.777777778</v>
      </c>
      <c r="Y45" cm="1">
        <f t="array" ref="Y45">CalculerCommissionAnnuelle(M45,I45,L45,1.7%,2021)</f>
        <v>3248888.888888889</v>
      </c>
      <c r="Z45" t="str">
        <f t="shared" si="1"/>
        <v>GI</v>
      </c>
      <c r="AA45" t="str">
        <f t="shared" si="2"/>
        <v>817661521500000044433</v>
      </c>
    </row>
    <row r="46" spans="2:27" x14ac:dyDescent="0.25">
      <c r="B46">
        <v>15474605</v>
      </c>
      <c r="C46" t="s">
        <v>1018</v>
      </c>
      <c r="I46" s="21">
        <v>44727</v>
      </c>
      <c r="J46" t="s">
        <v>29</v>
      </c>
      <c r="K46" t="s">
        <v>30</v>
      </c>
      <c r="L46">
        <f t="shared" si="0"/>
        <v>60</v>
      </c>
      <c r="M46" s="13">
        <v>207000000</v>
      </c>
      <c r="R46" s="21">
        <v>46553</v>
      </c>
      <c r="U46" t="s">
        <v>72</v>
      </c>
      <c r="V46" cm="1">
        <f t="array" ref="V46">CalculerCommissionSemestrielle(M46,I46,L46,1.7%)</f>
        <v>3870900.0000000005</v>
      </c>
      <c r="W46" cm="1">
        <f t="array" ref="W46">CalculerCommissionAnnuelle(M46,I46,L46,1.7%,2023)</f>
        <v>5278500</v>
      </c>
      <c r="X46" cm="1">
        <f t="array" ref="X46">CalculerCommissionAnnuelle(M46,I46,L46,1.7%,2022)</f>
        <v>6686100.0000000009</v>
      </c>
      <c r="Y46" cm="1">
        <f t="array" ref="Y46">CalculerCommissionAnnuelle(M46,I46,L46,1.7%,2021)</f>
        <v>0</v>
      </c>
      <c r="Z46" t="str">
        <f t="shared" si="1"/>
        <v>GI</v>
      </c>
      <c r="AA46" t="str">
        <f t="shared" si="2"/>
        <v>1547460520700000044727</v>
      </c>
    </row>
    <row r="47" spans="2:27" x14ac:dyDescent="0.25">
      <c r="B47">
        <v>15680105</v>
      </c>
      <c r="C47" t="s">
        <v>1019</v>
      </c>
      <c r="I47" s="21">
        <v>44258</v>
      </c>
      <c r="J47" t="s">
        <v>29</v>
      </c>
      <c r="K47" t="s">
        <v>30</v>
      </c>
      <c r="L47">
        <f t="shared" si="0"/>
        <v>60</v>
      </c>
      <c r="M47" s="13">
        <v>200000000</v>
      </c>
      <c r="R47" s="21">
        <v>46084</v>
      </c>
      <c r="U47" t="s">
        <v>106</v>
      </c>
      <c r="V47" cm="1">
        <f t="array" ref="V47">CalculerCommissionSemestrielle(M47,I47,L47,1.7%)</f>
        <v>2040000.0000000002</v>
      </c>
      <c r="W47" cm="1">
        <f t="array" ref="W47">CalculerCommissionAnnuelle(M47,I47,L47,1.7%,2023)</f>
        <v>3400000.0000000005</v>
      </c>
      <c r="X47" cm="1">
        <f t="array" ref="X47">CalculerCommissionAnnuelle(M47,I47,L47,1.7%,2022)</f>
        <v>4760000</v>
      </c>
      <c r="Y47" cm="1">
        <f t="array" ref="Y47">CalculerCommissionAnnuelle(M47,I47,L47,1.7%,2021)</f>
        <v>6120000</v>
      </c>
      <c r="Z47" t="str">
        <f t="shared" si="1"/>
        <v>GP</v>
      </c>
      <c r="AA47" t="str">
        <f t="shared" si="2"/>
        <v>1568010520000000044258</v>
      </c>
    </row>
    <row r="48" spans="2:27" x14ac:dyDescent="0.25">
      <c r="B48">
        <v>15187000</v>
      </c>
      <c r="C48" t="s">
        <v>1021</v>
      </c>
      <c r="I48" s="21">
        <v>44027</v>
      </c>
      <c r="J48" t="s">
        <v>29</v>
      </c>
      <c r="K48" t="s">
        <v>30</v>
      </c>
      <c r="L48">
        <f t="shared" si="0"/>
        <v>48</v>
      </c>
      <c r="M48" s="13">
        <v>200000000</v>
      </c>
      <c r="R48" s="21">
        <v>45488</v>
      </c>
      <c r="U48" t="s">
        <v>47</v>
      </c>
      <c r="V48" cm="1">
        <f t="array" ref="V48">CalculerCommissionSemestrielle(M48,I48,L48,1.7%)</f>
        <v>70833.333333333343</v>
      </c>
      <c r="W48" cm="1">
        <f t="array" ref="W48">CalculerCommissionAnnuelle(M48,I48,L48,1.7%,2023)</f>
        <v>1416666.6666666667</v>
      </c>
      <c r="X48" cm="1">
        <f t="array" ref="X48">CalculerCommissionAnnuelle(M48,I48,L48,1.7%,2022)</f>
        <v>3116666.666666667</v>
      </c>
      <c r="Y48" cm="1">
        <f t="array" ref="Y48">CalculerCommissionAnnuelle(M48,I48,L48,1.7%,2021)</f>
        <v>4816666.666666667</v>
      </c>
      <c r="Z48" t="str">
        <f t="shared" si="1"/>
        <v>GP</v>
      </c>
      <c r="AA48" t="str">
        <f t="shared" si="2"/>
        <v>1518700020000000044027</v>
      </c>
    </row>
    <row r="49" spans="2:27" x14ac:dyDescent="0.25">
      <c r="B49">
        <v>8141415</v>
      </c>
      <c r="C49" t="s">
        <v>1022</v>
      </c>
      <c r="I49" s="21">
        <v>44774</v>
      </c>
      <c r="J49" t="s">
        <v>29</v>
      </c>
      <c r="K49" t="s">
        <v>30</v>
      </c>
      <c r="L49">
        <f t="shared" si="0"/>
        <v>36</v>
      </c>
      <c r="M49" s="13">
        <v>200000000</v>
      </c>
      <c r="R49" s="21">
        <v>45870</v>
      </c>
      <c r="U49" t="s">
        <v>77</v>
      </c>
      <c r="V49" cm="1">
        <f t="array" ref="V49">CalculerCommissionSemestrielle(M49,I49,L49,1.7%)</f>
        <v>2077777.777777778</v>
      </c>
      <c r="W49" cm="1">
        <f t="array" ref="W49">CalculerCommissionAnnuelle(M49,I49,L49,1.7%,2023)</f>
        <v>4344444.444444445</v>
      </c>
      <c r="X49" cm="1">
        <f t="array" ref="X49">CalculerCommissionAnnuelle(M49,I49,L49,1.7%,2022)</f>
        <v>3022222.2222222225</v>
      </c>
      <c r="Y49" cm="1">
        <f t="array" ref="Y49">CalculerCommissionAnnuelle(M49,I49,L49,1.7%,2021)</f>
        <v>0</v>
      </c>
      <c r="Z49" t="str">
        <f t="shared" si="1"/>
        <v>GP</v>
      </c>
      <c r="AA49" t="str">
        <f t="shared" si="2"/>
        <v>814141520000000044774</v>
      </c>
    </row>
    <row r="50" spans="2:27" x14ac:dyDescent="0.25">
      <c r="B50">
        <v>8087900</v>
      </c>
      <c r="C50" t="s">
        <v>1007</v>
      </c>
      <c r="I50" s="21">
        <v>45149</v>
      </c>
      <c r="J50" t="s">
        <v>39</v>
      </c>
      <c r="K50" t="s">
        <v>40</v>
      </c>
      <c r="L50">
        <f t="shared" si="0"/>
        <v>11</v>
      </c>
      <c r="M50" s="13">
        <v>200000000</v>
      </c>
      <c r="R50" s="21">
        <v>45504</v>
      </c>
      <c r="U50" t="s">
        <v>141</v>
      </c>
      <c r="V50" cm="1">
        <f t="array" ref="V50">CalculerCommissionSemestrielle(M50,I50,L50,1.7%)</f>
        <v>309090.90909090912</v>
      </c>
      <c r="W50" cm="1">
        <f t="array" ref="W50">CalculerCommissionAnnuelle(M50,I50,L50,1.7%,2023)</f>
        <v>2163636.3636363638</v>
      </c>
      <c r="X50" cm="1">
        <f t="array" ref="X50">CalculerCommissionAnnuelle(M50,I50,L50,1.7%,2022)</f>
        <v>0</v>
      </c>
      <c r="Y50" cm="1">
        <f t="array" ref="Y50">CalculerCommissionAnnuelle(M50,I50,L50,1.7%,2021)</f>
        <v>0</v>
      </c>
      <c r="Z50" t="str">
        <f t="shared" si="1"/>
        <v>GP</v>
      </c>
      <c r="AA50" t="str">
        <f t="shared" si="2"/>
        <v>808790020000000045149</v>
      </c>
    </row>
    <row r="51" spans="2:27" x14ac:dyDescent="0.25">
      <c r="B51">
        <v>15638305</v>
      </c>
      <c r="C51" t="s">
        <v>1024</v>
      </c>
      <c r="I51" s="21">
        <v>45415</v>
      </c>
      <c r="J51" t="s">
        <v>39</v>
      </c>
      <c r="K51" t="s">
        <v>40</v>
      </c>
      <c r="L51">
        <f t="shared" si="0"/>
        <v>11</v>
      </c>
      <c r="M51" s="13">
        <v>200000000</v>
      </c>
      <c r="R51" s="21">
        <v>45777</v>
      </c>
      <c r="U51" t="s">
        <v>47</v>
      </c>
      <c r="V51" cm="1">
        <f t="array" ref="V51">CalculerCommissionSemestrielle(M51,I51,L51,1.7%)</f>
        <v>4327272.7272727275</v>
      </c>
      <c r="W51" cm="1">
        <f t="array" ref="W51">CalculerCommissionAnnuelle(M51,I51,L51,1.7%,2023)</f>
        <v>0</v>
      </c>
      <c r="X51" cm="1">
        <f t="array" ref="X51">CalculerCommissionAnnuelle(M51,I51,L51,1.7%,2022)</f>
        <v>0</v>
      </c>
      <c r="Y51" cm="1">
        <f t="array" ref="Y51">CalculerCommissionAnnuelle(M51,I51,L51,1.7%,2021)</f>
        <v>0</v>
      </c>
      <c r="Z51" t="str">
        <f t="shared" si="1"/>
        <v>GP</v>
      </c>
      <c r="AA51" t="str">
        <f t="shared" si="2"/>
        <v>1563830520000000045415</v>
      </c>
    </row>
    <row r="52" spans="2:27" x14ac:dyDescent="0.25">
      <c r="B52">
        <v>8151615</v>
      </c>
      <c r="C52" t="s">
        <v>1006</v>
      </c>
      <c r="I52" s="21">
        <v>45041</v>
      </c>
      <c r="J52" t="s">
        <v>29</v>
      </c>
      <c r="K52" t="s">
        <v>30</v>
      </c>
      <c r="L52">
        <f t="shared" si="0"/>
        <v>48</v>
      </c>
      <c r="M52" s="13">
        <v>200000000</v>
      </c>
      <c r="R52" s="21">
        <v>46502</v>
      </c>
      <c r="U52" t="s">
        <v>47</v>
      </c>
      <c r="V52" cm="1">
        <f t="array" ref="V52">CalculerCommissionSemestrielle(M52,I52,L52,1.7%)</f>
        <v>4391666.666666667</v>
      </c>
      <c r="W52" cm="1">
        <f t="array" ref="W52">CalculerCommissionAnnuelle(M52,I52,L52,1.7%,2023)</f>
        <v>6091666.666666667</v>
      </c>
      <c r="X52" cm="1">
        <f t="array" ref="X52">CalculerCommissionAnnuelle(M52,I52,L52,1.7%,2022)</f>
        <v>0</v>
      </c>
      <c r="Y52" cm="1">
        <f t="array" ref="Y52">CalculerCommissionAnnuelle(M52,I52,L52,1.7%,2021)</f>
        <v>0</v>
      </c>
      <c r="Z52" t="str">
        <f t="shared" si="1"/>
        <v>GP</v>
      </c>
      <c r="AA52" t="str">
        <f t="shared" si="2"/>
        <v>815161520000000045041</v>
      </c>
    </row>
    <row r="53" spans="2:27" x14ac:dyDescent="0.25">
      <c r="B53">
        <v>99900</v>
      </c>
      <c r="C53" t="s">
        <v>1023</v>
      </c>
      <c r="I53" s="21">
        <v>45092</v>
      </c>
      <c r="J53" t="s">
        <v>29</v>
      </c>
      <c r="K53" t="s">
        <v>1037</v>
      </c>
      <c r="L53">
        <f t="shared" si="0"/>
        <v>11</v>
      </c>
      <c r="M53" s="13">
        <v>196700000</v>
      </c>
      <c r="R53" s="21">
        <v>45443</v>
      </c>
      <c r="U53" t="s">
        <v>141</v>
      </c>
      <c r="V53" cm="1">
        <f t="array" ref="V53">CalculerCommissionSemestrielle(M53,I53,L53,1.7%)</f>
        <v>0</v>
      </c>
      <c r="W53" cm="1">
        <f t="array" ref="W53">CalculerCommissionAnnuelle(M53,I53,L53,1.7%,2023)</f>
        <v>4863854.5454545459</v>
      </c>
      <c r="X53" cm="1">
        <f t="array" ref="X53">CalculerCommissionAnnuelle(M53,I53,L53,1.7%,2022)</f>
        <v>0</v>
      </c>
      <c r="Y53" cm="1">
        <f t="array" ref="Y53">CalculerCommissionAnnuelle(M53,I53,L53,1.7%,2021)</f>
        <v>0</v>
      </c>
      <c r="Z53" t="str">
        <f t="shared" si="1"/>
        <v>GP</v>
      </c>
      <c r="AA53" t="str">
        <f t="shared" si="2"/>
        <v>9990019670000045092</v>
      </c>
    </row>
    <row r="54" spans="2:27" x14ac:dyDescent="0.25">
      <c r="B54">
        <v>15625005</v>
      </c>
      <c r="C54" t="s">
        <v>1020</v>
      </c>
      <c r="I54" s="21">
        <v>44903</v>
      </c>
      <c r="J54" t="s">
        <v>50</v>
      </c>
      <c r="K54" t="s">
        <v>51</v>
      </c>
      <c r="L54">
        <f t="shared" si="0"/>
        <v>36</v>
      </c>
      <c r="M54" s="13">
        <v>191861359</v>
      </c>
      <c r="R54" s="21">
        <v>46006</v>
      </c>
      <c r="U54" t="s">
        <v>83</v>
      </c>
      <c r="V54" cm="1">
        <f t="array" ref="V54">CalculerCommissionSemestrielle(M54,I54,L54,1.7%)</f>
        <v>2718035.9191666669</v>
      </c>
      <c r="W54" cm="1">
        <f t="array" ref="W54">CalculerCommissionAnnuelle(M54,I54,L54,1.7%,2023)</f>
        <v>4892464.6545000002</v>
      </c>
      <c r="X54" cm="1">
        <f t="array" ref="X54">CalculerCommissionAnnuelle(M54,I54,L54,1.7%,2022)</f>
        <v>3261643.1030000001</v>
      </c>
      <c r="Y54" cm="1">
        <f t="array" ref="Y54">CalculerCommissionAnnuelle(M54,I54,L54,1.7%,2021)</f>
        <v>0</v>
      </c>
      <c r="Z54" t="str">
        <f t="shared" si="1"/>
        <v>GP</v>
      </c>
      <c r="AA54" t="str">
        <f t="shared" si="2"/>
        <v>1562500519186135944903</v>
      </c>
    </row>
    <row r="55" spans="2:27" x14ac:dyDescent="0.25">
      <c r="B55">
        <v>15510605</v>
      </c>
      <c r="C55" t="s">
        <v>1025</v>
      </c>
      <c r="I55" s="21">
        <v>44546</v>
      </c>
      <c r="J55" t="s">
        <v>50</v>
      </c>
      <c r="K55" t="s">
        <v>51</v>
      </c>
      <c r="L55">
        <f t="shared" si="0"/>
        <v>36</v>
      </c>
      <c r="M55" s="13">
        <v>180000000</v>
      </c>
      <c r="R55" s="21">
        <v>45642</v>
      </c>
      <c r="U55" t="s">
        <v>77</v>
      </c>
      <c r="V55" cm="1">
        <f t="array" ref="V55">CalculerCommissionSemestrielle(M55,I55,L55,1.7%)</f>
        <v>510000.00000000006</v>
      </c>
      <c r="W55" cm="1">
        <f t="array" ref="W55">CalculerCommissionAnnuelle(M55,I55,L55,1.7%,2023)</f>
        <v>2550000</v>
      </c>
      <c r="X55" cm="1">
        <f t="array" ref="X55">CalculerCommissionAnnuelle(M55,I55,L55,1.7%,2022)</f>
        <v>4590000</v>
      </c>
      <c r="Y55" cm="1">
        <f t="array" ref="Y55">CalculerCommissionAnnuelle(M55,I55,L55,1.7%,2021)</f>
        <v>3060000</v>
      </c>
      <c r="Z55" t="str">
        <f t="shared" si="1"/>
        <v>GP</v>
      </c>
      <c r="AA55" t="str">
        <f t="shared" si="2"/>
        <v>1551060518000000044546</v>
      </c>
    </row>
    <row r="56" spans="2:27" x14ac:dyDescent="0.25">
      <c r="B56">
        <v>15652405</v>
      </c>
      <c r="C56" t="s">
        <v>1026</v>
      </c>
      <c r="I56" s="21">
        <v>44412</v>
      </c>
      <c r="J56" t="s">
        <v>50</v>
      </c>
      <c r="K56" t="s">
        <v>51</v>
      </c>
      <c r="L56">
        <f t="shared" si="0"/>
        <v>60</v>
      </c>
      <c r="M56" s="13">
        <v>150000000</v>
      </c>
      <c r="R56" s="21">
        <v>46238</v>
      </c>
      <c r="U56" t="s">
        <v>96</v>
      </c>
      <c r="V56" cm="1">
        <f t="array" ref="V56">CalculerCommissionSemestrielle(M56,I56,L56,1.7%)</f>
        <v>1955000.0000000002</v>
      </c>
      <c r="W56" cm="1">
        <f t="array" ref="W56">CalculerCommissionAnnuelle(M56,I56,L56,1.7%,2023)</f>
        <v>2975000</v>
      </c>
      <c r="X56" cm="1">
        <f t="array" ref="X56">CalculerCommissionAnnuelle(M56,I56,L56,1.7%,2022)</f>
        <v>3995000.0000000005</v>
      </c>
      <c r="Y56" cm="1">
        <f t="array" ref="Y56">CalculerCommissionAnnuelle(M56,I56,L56,1.7%,2021)</f>
        <v>2380000</v>
      </c>
      <c r="Z56" t="str">
        <f t="shared" si="1"/>
        <v>GP</v>
      </c>
      <c r="AA56" t="str">
        <f t="shared" si="2"/>
        <v>1565240515000000044412</v>
      </c>
    </row>
    <row r="57" spans="2:27" x14ac:dyDescent="0.25">
      <c r="B57">
        <v>15668005</v>
      </c>
      <c r="C57" t="s">
        <v>1027</v>
      </c>
      <c r="I57" s="21">
        <v>44785</v>
      </c>
      <c r="J57" t="s">
        <v>39</v>
      </c>
      <c r="K57" t="s">
        <v>40</v>
      </c>
      <c r="L57">
        <f t="shared" si="0"/>
        <v>24</v>
      </c>
      <c r="M57" s="13">
        <v>150000000</v>
      </c>
      <c r="R57" s="21">
        <v>45516</v>
      </c>
      <c r="U57" t="s">
        <v>41</v>
      </c>
      <c r="V57" cm="1">
        <f t="array" ref="V57">CalculerCommissionSemestrielle(M57,I57,L57,1.7%)</f>
        <v>212500.00000000003</v>
      </c>
      <c r="W57" cm="1">
        <f t="array" ref="W57">CalculerCommissionAnnuelle(M57,I57,L57,1.7%,2023)</f>
        <v>2337500</v>
      </c>
      <c r="X57" cm="1">
        <f t="array" ref="X57">CalculerCommissionAnnuelle(M57,I57,L57,1.7%,2022)</f>
        <v>2125000</v>
      </c>
      <c r="Y57" cm="1">
        <f t="array" ref="Y57">CalculerCommissionAnnuelle(M57,I57,L57,1.7%,2021)</f>
        <v>0</v>
      </c>
      <c r="Z57" t="str">
        <f t="shared" si="1"/>
        <v>GP</v>
      </c>
      <c r="AA57" t="str">
        <f t="shared" si="2"/>
        <v>1566800515000000044785</v>
      </c>
    </row>
    <row r="58" spans="2:27" x14ac:dyDescent="0.25">
      <c r="B58">
        <v>15687905</v>
      </c>
      <c r="C58" t="s">
        <v>1028</v>
      </c>
      <c r="I58" s="21">
        <v>43903</v>
      </c>
      <c r="J58" t="s">
        <v>29</v>
      </c>
      <c r="K58" t="s">
        <v>30</v>
      </c>
      <c r="L58">
        <f t="shared" si="0"/>
        <v>72</v>
      </c>
      <c r="M58" s="13">
        <v>150000000</v>
      </c>
      <c r="R58" s="21">
        <v>46094</v>
      </c>
      <c r="U58" t="s">
        <v>72</v>
      </c>
      <c r="V58" cm="1">
        <f t="array" ref="V58">CalculerCommissionSemestrielle(M58,I58,L58,1.7%)</f>
        <v>1275000</v>
      </c>
      <c r="W58" cm="1">
        <f t="array" ref="W58">CalculerCommissionAnnuelle(M58,I58,L58,1.7%,2023)</f>
        <v>2125000</v>
      </c>
      <c r="X58" cm="1">
        <f t="array" ref="X58">CalculerCommissionAnnuelle(M58,I58,L58,1.7%,2022)</f>
        <v>2975000</v>
      </c>
      <c r="Y58" cm="1">
        <f t="array" ref="Y58">CalculerCommissionAnnuelle(M58,I58,L58,1.7%,2021)</f>
        <v>3825000.0000000005</v>
      </c>
      <c r="Z58" t="str">
        <f t="shared" si="1"/>
        <v>GP</v>
      </c>
      <c r="AA58" t="str">
        <f t="shared" si="2"/>
        <v>1568790515000000043903</v>
      </c>
    </row>
    <row r="59" spans="2:27" x14ac:dyDescent="0.25">
      <c r="B59">
        <v>26101422</v>
      </c>
      <c r="C59" t="s">
        <v>1029</v>
      </c>
      <c r="I59" s="21">
        <v>45028</v>
      </c>
      <c r="J59" t="s">
        <v>29</v>
      </c>
      <c r="K59" t="s">
        <v>30</v>
      </c>
      <c r="L59">
        <f t="shared" si="0"/>
        <v>60</v>
      </c>
      <c r="M59" s="13">
        <v>150000000</v>
      </c>
      <c r="R59" s="21">
        <v>46855</v>
      </c>
      <c r="U59" t="s">
        <v>41</v>
      </c>
      <c r="V59" cm="1">
        <f t="array" ref="V59">CalculerCommissionSemestrielle(M59,I59,L59,1.7%)</f>
        <v>3655000.0000000005</v>
      </c>
      <c r="W59" cm="1">
        <f t="array" ref="W59">CalculerCommissionAnnuelle(M59,I59,L59,1.7%,2023)</f>
        <v>4675000</v>
      </c>
      <c r="X59" cm="1">
        <f t="array" ref="X59">CalculerCommissionAnnuelle(M59,I59,L59,1.7%,2022)</f>
        <v>0</v>
      </c>
      <c r="Y59" cm="1">
        <f t="array" ref="Y59">CalculerCommissionAnnuelle(M59,I59,L59,1.7%,2021)</f>
        <v>0</v>
      </c>
      <c r="Z59" t="str">
        <f t="shared" si="1"/>
        <v>GP</v>
      </c>
      <c r="AA59" t="str">
        <f t="shared" si="2"/>
        <v>2610142215000000045028</v>
      </c>
    </row>
    <row r="60" spans="2:27" x14ac:dyDescent="0.25">
      <c r="B60">
        <v>26068228</v>
      </c>
      <c r="C60" t="s">
        <v>1030</v>
      </c>
      <c r="I60" s="21">
        <v>45056</v>
      </c>
      <c r="J60" t="s">
        <v>39</v>
      </c>
      <c r="K60" t="s">
        <v>40</v>
      </c>
      <c r="L60">
        <f t="shared" si="0"/>
        <v>24</v>
      </c>
      <c r="M60" s="13">
        <v>150000000</v>
      </c>
      <c r="R60" s="21">
        <v>45787</v>
      </c>
      <c r="U60" t="s">
        <v>41</v>
      </c>
      <c r="V60" cm="1">
        <f t="array" ref="V60">CalculerCommissionSemestrielle(M60,I60,L60,1.7%)</f>
        <v>1700000.0000000002</v>
      </c>
      <c r="W60" cm="1">
        <f t="array" ref="W60">CalculerCommissionAnnuelle(M60,I60,L60,1.7%,2023)</f>
        <v>4250000</v>
      </c>
      <c r="X60" cm="1">
        <f t="array" ref="X60">CalculerCommissionAnnuelle(M60,I60,L60,1.7%,2022)</f>
        <v>0</v>
      </c>
      <c r="Y60" cm="1">
        <f t="array" ref="Y60">CalculerCommissionAnnuelle(M60,I60,L60,1.7%,2021)</f>
        <v>0</v>
      </c>
      <c r="Z60" t="str">
        <f t="shared" si="1"/>
        <v>GP</v>
      </c>
      <c r="AA60" t="str">
        <f t="shared" si="2"/>
        <v>2606822815000000045056</v>
      </c>
    </row>
    <row r="61" spans="2:27" x14ac:dyDescent="0.25">
      <c r="B61">
        <v>26032670</v>
      </c>
      <c r="C61" t="s">
        <v>1000</v>
      </c>
      <c r="I61" s="21">
        <v>44266</v>
      </c>
      <c r="J61" t="s">
        <v>29</v>
      </c>
      <c r="K61" t="s">
        <v>30</v>
      </c>
      <c r="L61">
        <f t="shared" si="0"/>
        <v>60</v>
      </c>
      <c r="M61" s="13">
        <v>127000000</v>
      </c>
      <c r="R61" s="21">
        <v>46092</v>
      </c>
      <c r="U61" t="s">
        <v>141</v>
      </c>
      <c r="V61" cm="1">
        <f t="array" ref="V61">CalculerCommissionSemestrielle(M61,I61,L61,1.7%)</f>
        <v>1295400</v>
      </c>
      <c r="W61" cm="1">
        <f t="array" ref="W61">CalculerCommissionAnnuelle(M61,I61,L61,1.7%,2023)</f>
        <v>2159000</v>
      </c>
      <c r="X61" cm="1">
        <f t="array" ref="X61">CalculerCommissionAnnuelle(M61,I61,L61,1.7%,2022)</f>
        <v>3022600</v>
      </c>
      <c r="Y61" cm="1">
        <f t="array" ref="Y61">CalculerCommissionAnnuelle(M61,I61,L61,1.7%,2021)</f>
        <v>3886200.0000000005</v>
      </c>
      <c r="Z61" t="str">
        <f t="shared" si="1"/>
        <v>GP</v>
      </c>
      <c r="AA61" t="str">
        <f t="shared" si="2"/>
        <v>2603267012700000044266</v>
      </c>
    </row>
    <row r="62" spans="2:27" x14ac:dyDescent="0.25">
      <c r="B62">
        <v>15625005</v>
      </c>
      <c r="C62" t="s">
        <v>1020</v>
      </c>
      <c r="I62" s="21">
        <v>44908</v>
      </c>
      <c r="J62" t="s">
        <v>39</v>
      </c>
      <c r="K62" t="s">
        <v>40</v>
      </c>
      <c r="L62">
        <f t="shared" si="0"/>
        <v>24</v>
      </c>
      <c r="M62" s="13">
        <v>100000000</v>
      </c>
      <c r="R62" s="21">
        <v>45639</v>
      </c>
      <c r="U62" t="s">
        <v>83</v>
      </c>
      <c r="V62" cm="1">
        <f t="array" ref="V62">CalculerCommissionSemestrielle(M62,I62,L62,1.7%)</f>
        <v>425000.00000000006</v>
      </c>
      <c r="W62" cm="1">
        <f t="array" ref="W62">CalculerCommissionAnnuelle(M62,I62,L62,1.7%,2023)</f>
        <v>2125000</v>
      </c>
      <c r="X62" cm="1">
        <f t="array" ref="X62">CalculerCommissionAnnuelle(M62,I62,L62,1.7%,2022)</f>
        <v>1700000.0000000002</v>
      </c>
      <c r="Y62" cm="1">
        <f t="array" ref="Y62">CalculerCommissionAnnuelle(M62,I62,L62,1.7%,2021)</f>
        <v>0</v>
      </c>
      <c r="Z62" t="str">
        <f t="shared" si="1"/>
        <v>GP</v>
      </c>
      <c r="AA62" t="str">
        <f t="shared" si="2"/>
        <v>1562500510000000044908</v>
      </c>
    </row>
    <row r="63" spans="2:27" x14ac:dyDescent="0.25">
      <c r="B63">
        <v>33096020</v>
      </c>
      <c r="C63" t="s">
        <v>1031</v>
      </c>
      <c r="I63" s="21">
        <v>44468</v>
      </c>
      <c r="J63" t="s">
        <v>29</v>
      </c>
      <c r="K63" t="s">
        <v>30</v>
      </c>
      <c r="L63">
        <f t="shared" si="0"/>
        <v>48</v>
      </c>
      <c r="M63" s="13">
        <v>100000000</v>
      </c>
      <c r="R63" s="21">
        <v>45929</v>
      </c>
      <c r="U63" t="s">
        <v>141</v>
      </c>
      <c r="V63" cm="1">
        <f t="array" ref="V63">CalculerCommissionSemestrielle(M63,I63,L63,1.7%)</f>
        <v>850000.00000000012</v>
      </c>
      <c r="W63" cm="1">
        <f t="array" ref="W63">CalculerCommissionAnnuelle(M63,I63,L63,1.7%,2023)</f>
        <v>1700000.0000000002</v>
      </c>
      <c r="X63" cm="1">
        <f t="array" ref="X63">CalculerCommissionAnnuelle(M63,I63,L63,1.7%,2022)</f>
        <v>2550000</v>
      </c>
      <c r="Y63" cm="1">
        <f t="array" ref="Y63">CalculerCommissionAnnuelle(M63,I63,L63,1.7%,2021)</f>
        <v>1593750</v>
      </c>
      <c r="Z63" t="str">
        <f t="shared" si="1"/>
        <v>GP</v>
      </c>
      <c r="AA63" t="str">
        <f t="shared" si="2"/>
        <v>3309602010000000044468</v>
      </c>
    </row>
    <row r="64" spans="2:27" x14ac:dyDescent="0.25">
      <c r="B64">
        <v>8021300</v>
      </c>
      <c r="C64" t="s">
        <v>1032</v>
      </c>
      <c r="I64" s="21">
        <v>45167</v>
      </c>
      <c r="J64" t="s">
        <v>39</v>
      </c>
      <c r="K64" t="s">
        <v>40</v>
      </c>
      <c r="L64">
        <f t="shared" si="0"/>
        <v>11</v>
      </c>
      <c r="M64" s="13">
        <v>100000000</v>
      </c>
      <c r="R64" s="21">
        <v>45504</v>
      </c>
      <c r="U64" t="s">
        <v>141</v>
      </c>
      <c r="V64" cm="1">
        <f t="array" ref="V64">CalculerCommissionSemestrielle(M64,I64,L64,1.7%)</f>
        <v>154545.45454545456</v>
      </c>
      <c r="W64" cm="1">
        <f t="array" ref="W64">CalculerCommissionAnnuelle(M64,I64,L64,1.7%,2023)</f>
        <v>1081818.1818181819</v>
      </c>
      <c r="X64" cm="1">
        <f t="array" ref="X64">CalculerCommissionAnnuelle(M64,I64,L64,1.7%,2022)</f>
        <v>0</v>
      </c>
      <c r="Y64" cm="1">
        <f t="array" ref="Y64">CalculerCommissionAnnuelle(M64,I64,L64,1.7%,2021)</f>
        <v>0</v>
      </c>
      <c r="Z64" t="str">
        <f t="shared" si="1"/>
        <v>GP</v>
      </c>
      <c r="AA64" t="str">
        <f t="shared" si="2"/>
        <v>802130010000000045167</v>
      </c>
    </row>
    <row r="65" spans="2:27" x14ac:dyDescent="0.25">
      <c r="B65">
        <v>15717705</v>
      </c>
      <c r="C65" t="s">
        <v>1015</v>
      </c>
      <c r="I65" s="21">
        <v>45211</v>
      </c>
      <c r="J65" t="s">
        <v>29</v>
      </c>
      <c r="K65" t="s">
        <v>1037</v>
      </c>
      <c r="L65">
        <f t="shared" si="0"/>
        <v>8</v>
      </c>
      <c r="M65" s="13">
        <v>100000000</v>
      </c>
      <c r="R65" s="21">
        <v>45473</v>
      </c>
      <c r="U65" t="s">
        <v>77</v>
      </c>
      <c r="V65" cm="1">
        <f t="array" ref="V65">CalculerCommissionSemestrielle(M65,I65,L65,1.7%)</f>
        <v>0</v>
      </c>
      <c r="W65" cm="1">
        <f t="array" ref="W65">CalculerCommissionAnnuelle(M65,I65,L65,1.7%,2023)</f>
        <v>1275000</v>
      </c>
      <c r="X65" cm="1">
        <f t="array" ref="X65">CalculerCommissionAnnuelle(M65,I65,L65,1.7%,2022)</f>
        <v>0</v>
      </c>
      <c r="Y65" cm="1">
        <f t="array" ref="Y65">CalculerCommissionAnnuelle(M65,I65,L65,1.7%,2021)</f>
        <v>0</v>
      </c>
      <c r="Z65" t="str">
        <f t="shared" si="1"/>
        <v>GP</v>
      </c>
      <c r="AA65" t="str">
        <f t="shared" si="2"/>
        <v>1571770510000000045211</v>
      </c>
    </row>
    <row r="66" spans="2:27" x14ac:dyDescent="0.25">
      <c r="B66">
        <v>768312</v>
      </c>
      <c r="C66" t="s">
        <v>409</v>
      </c>
      <c r="I66" s="21">
        <v>44462</v>
      </c>
      <c r="J66" t="s">
        <v>29</v>
      </c>
      <c r="K66" t="s">
        <v>30</v>
      </c>
      <c r="L66">
        <f t="shared" si="0"/>
        <v>60</v>
      </c>
      <c r="M66" s="13">
        <v>97000000</v>
      </c>
      <c r="R66" s="21">
        <v>46288</v>
      </c>
      <c r="U66" t="s">
        <v>1038</v>
      </c>
      <c r="V66" cm="1">
        <f t="array" ref="V66">CalculerCommissionSemestrielle(M66,I66,L66,1.7%)</f>
        <v>1319200</v>
      </c>
      <c r="W66" cm="1">
        <f t="array" ref="W66">CalculerCommissionAnnuelle(M66,I66,L66,1.7%,2023)</f>
        <v>1978800.0000000002</v>
      </c>
      <c r="X66" cm="1">
        <f t="array" ref="X66">CalculerCommissionAnnuelle(M66,I66,L66,1.7%,2022)</f>
        <v>2638400</v>
      </c>
      <c r="Y66" cm="1">
        <f t="array" ref="Y66">CalculerCommissionAnnuelle(M66,I66,L66,1.7%,2021)</f>
        <v>1566550</v>
      </c>
      <c r="Z66" t="str">
        <f t="shared" si="1"/>
        <v>GP</v>
      </c>
      <c r="AA66" t="str">
        <f t="shared" si="2"/>
        <v>7683129700000044462</v>
      </c>
    </row>
    <row r="67" spans="2:27" x14ac:dyDescent="0.25">
      <c r="B67">
        <v>27515460</v>
      </c>
      <c r="C67" t="s">
        <v>1033</v>
      </c>
      <c r="I67" s="21">
        <v>44529</v>
      </c>
      <c r="J67" t="s">
        <v>29</v>
      </c>
      <c r="K67" t="s">
        <v>30</v>
      </c>
      <c r="L67">
        <f t="shared" ref="L67:L73" si="3">DATEDIF(I67,R67,"m")</f>
        <v>36</v>
      </c>
      <c r="M67" s="13">
        <v>88000000</v>
      </c>
      <c r="R67" s="21">
        <v>45625</v>
      </c>
      <c r="U67" t="s">
        <v>83</v>
      </c>
      <c r="V67" cm="1">
        <f t="array" ref="V67">CalculerCommissionSemestrielle(M67,I67,L67,1.7%)</f>
        <v>207777.77777777778</v>
      </c>
      <c r="W67" cm="1">
        <f t="array" ref="W67">CalculerCommissionAnnuelle(M67,I67,L67,1.7%,2023)</f>
        <v>1163555.5555555555</v>
      </c>
      <c r="X67" cm="1">
        <f t="array" ref="X67">CalculerCommissionAnnuelle(M67,I67,L67,1.7%,2022)</f>
        <v>2160888.888888889</v>
      </c>
      <c r="Y67" cm="1">
        <f t="array" ref="Y67">CalculerCommissionAnnuelle(M67,I67,L67,1.7%,2021)</f>
        <v>1454444.4444444445</v>
      </c>
      <c r="Z67" t="str">
        <f t="shared" ref="Z67:Z73" si="4">IF(M67&lt;=200000000,"GP","GI")</f>
        <v>GP</v>
      </c>
      <c r="AA67" t="str">
        <f t="shared" ref="AA67:AA73" si="5">_xlfn.CONCAT(B67,M67,I67)</f>
        <v>275154608800000044529</v>
      </c>
    </row>
    <row r="68" spans="2:27" x14ac:dyDescent="0.25">
      <c r="B68">
        <v>40762935</v>
      </c>
      <c r="C68" t="s">
        <v>1016</v>
      </c>
      <c r="I68" s="21">
        <v>45196</v>
      </c>
      <c r="J68" t="s">
        <v>39</v>
      </c>
      <c r="K68" t="s">
        <v>40</v>
      </c>
      <c r="L68">
        <f t="shared" si="3"/>
        <v>8</v>
      </c>
      <c r="M68" s="13">
        <v>80000000</v>
      </c>
      <c r="R68" s="21">
        <v>45443</v>
      </c>
      <c r="U68" t="s">
        <v>141</v>
      </c>
      <c r="V68" cm="1">
        <f t="array" ref="V68">CalculerCommissionSemestrielle(M68,I68,L68,1.7%)</f>
        <v>0</v>
      </c>
      <c r="W68" cm="1">
        <f t="array" ref="W68">CalculerCommissionAnnuelle(M68,I68,L68,1.7%,2023)</f>
        <v>850000.00000000012</v>
      </c>
      <c r="X68" cm="1">
        <f t="array" ref="X68">CalculerCommissionAnnuelle(M68,I68,L68,1.7%,2022)</f>
        <v>0</v>
      </c>
      <c r="Y68" cm="1">
        <f t="array" ref="Y68">CalculerCommissionAnnuelle(M68,I68,L68,1.7%,2021)</f>
        <v>0</v>
      </c>
      <c r="Z68" t="str">
        <f t="shared" si="4"/>
        <v>GP</v>
      </c>
      <c r="AA68" t="str">
        <f t="shared" si="5"/>
        <v>407629358000000045196</v>
      </c>
    </row>
    <row r="69" spans="2:27" x14ac:dyDescent="0.25">
      <c r="B69">
        <v>33096020</v>
      </c>
      <c r="C69" t="s">
        <v>1031</v>
      </c>
      <c r="I69" s="21">
        <v>45337</v>
      </c>
      <c r="J69" t="s">
        <v>29</v>
      </c>
      <c r="K69" t="s">
        <v>30</v>
      </c>
      <c r="L69">
        <f t="shared" si="3"/>
        <v>11</v>
      </c>
      <c r="M69" s="13">
        <v>80000000</v>
      </c>
      <c r="R69" s="21">
        <v>45688</v>
      </c>
      <c r="U69" t="s">
        <v>141</v>
      </c>
      <c r="V69" cm="1">
        <f t="array" ref="V69">CalculerCommissionSemestrielle(M69,I69,L69,1.7%)</f>
        <v>989090.90909090906</v>
      </c>
      <c r="W69" cm="1">
        <f t="array" ref="W69">CalculerCommissionAnnuelle(M69,I69,L69,1.7%,2023)</f>
        <v>0</v>
      </c>
      <c r="X69" cm="1">
        <f t="array" ref="X69">CalculerCommissionAnnuelle(M69,I69,L69,1.7%,2022)</f>
        <v>0</v>
      </c>
      <c r="Y69" cm="1">
        <f t="array" ref="Y69">CalculerCommissionAnnuelle(M69,I69,L69,1.7%,2021)</f>
        <v>0</v>
      </c>
      <c r="Z69" t="str">
        <f t="shared" si="4"/>
        <v>GP</v>
      </c>
      <c r="AA69" t="str">
        <f t="shared" si="5"/>
        <v>330960208000000045337</v>
      </c>
    </row>
    <row r="70" spans="2:27" x14ac:dyDescent="0.25">
      <c r="B70">
        <v>15767405</v>
      </c>
      <c r="C70" t="s">
        <v>1034</v>
      </c>
      <c r="I70" s="21">
        <v>45391</v>
      </c>
      <c r="J70" t="s">
        <v>39</v>
      </c>
      <c r="K70" t="s">
        <v>40</v>
      </c>
      <c r="L70">
        <f t="shared" si="3"/>
        <v>10</v>
      </c>
      <c r="M70" s="13">
        <v>50000000</v>
      </c>
      <c r="R70" s="21">
        <v>45716</v>
      </c>
      <c r="U70" t="s">
        <v>41</v>
      </c>
      <c r="V70" cm="1">
        <f t="array" ref="V70">CalculerCommissionSemestrielle(M70,I70,L70,1.7%)</f>
        <v>850000.00000000012</v>
      </c>
      <c r="W70" cm="1">
        <f t="array" ref="W70">CalculerCommissionAnnuelle(M70,I70,L70,1.7%,2023)</f>
        <v>0</v>
      </c>
      <c r="X70" cm="1">
        <f t="array" ref="X70">CalculerCommissionAnnuelle(M70,I70,L70,1.7%,2022)</f>
        <v>0</v>
      </c>
      <c r="Y70" cm="1">
        <f t="array" ref="Y70">CalculerCommissionAnnuelle(M70,I70,L70,1.7%,2021)</f>
        <v>0</v>
      </c>
      <c r="Z70" t="str">
        <f t="shared" si="4"/>
        <v>GP</v>
      </c>
      <c r="AA70" t="str">
        <f t="shared" si="5"/>
        <v>157674055000000045391</v>
      </c>
    </row>
    <row r="71" spans="2:27" x14ac:dyDescent="0.25">
      <c r="B71">
        <v>26101422</v>
      </c>
      <c r="C71" t="s">
        <v>1029</v>
      </c>
      <c r="I71" s="21">
        <v>45028</v>
      </c>
      <c r="J71" t="s">
        <v>39</v>
      </c>
      <c r="K71" t="s">
        <v>40</v>
      </c>
      <c r="L71">
        <f t="shared" si="3"/>
        <v>24</v>
      </c>
      <c r="M71" s="13">
        <v>46500000</v>
      </c>
      <c r="R71" s="21">
        <v>45759</v>
      </c>
      <c r="U71" t="s">
        <v>41</v>
      </c>
      <c r="V71" cm="1">
        <f t="array" ref="V71">CalculerCommissionSemestrielle(M71,I71,L71,1.7%)</f>
        <v>461125.00000000006</v>
      </c>
      <c r="W71" cm="1">
        <f t="array" ref="W71">CalculerCommissionAnnuelle(M71,I71,L71,1.7%,2023)</f>
        <v>1251625</v>
      </c>
      <c r="X71" cm="1">
        <f t="array" ref="X71">CalculerCommissionAnnuelle(M71,I71,L71,1.7%,2022)</f>
        <v>0</v>
      </c>
      <c r="Y71" cm="1">
        <f t="array" ref="Y71">CalculerCommissionAnnuelle(M71,I71,L71,1.7%,2021)</f>
        <v>0</v>
      </c>
      <c r="Z71" t="str">
        <f t="shared" si="4"/>
        <v>GP</v>
      </c>
      <c r="AA71" t="str">
        <f t="shared" si="5"/>
        <v>261014224650000045028</v>
      </c>
    </row>
    <row r="72" spans="2:27" x14ac:dyDescent="0.25">
      <c r="B72">
        <v>15053900</v>
      </c>
      <c r="C72" t="s">
        <v>1035</v>
      </c>
      <c r="I72" s="21">
        <v>45244</v>
      </c>
      <c r="J72" t="s">
        <v>29</v>
      </c>
      <c r="K72" t="s">
        <v>1037</v>
      </c>
      <c r="L72">
        <f t="shared" si="3"/>
        <v>6</v>
      </c>
      <c r="M72" s="13">
        <v>40000000</v>
      </c>
      <c r="R72" s="21">
        <v>45443</v>
      </c>
      <c r="U72" t="s">
        <v>41</v>
      </c>
      <c r="V72" cm="1">
        <f t="array" ref="V72">CalculerCommissionSemestrielle(M72,I72,L72,1.7%)</f>
        <v>0</v>
      </c>
      <c r="W72" cm="1">
        <f t="array" ref="W72">CalculerCommissionAnnuelle(M72,I72,L72,1.7%,2023)</f>
        <v>566666.66666666674</v>
      </c>
      <c r="X72" cm="1">
        <f t="array" ref="X72">CalculerCommissionAnnuelle(M72,I72,L72,1.7%,2022)</f>
        <v>0</v>
      </c>
      <c r="Y72" cm="1">
        <f t="array" ref="Y72">CalculerCommissionAnnuelle(M72,I72,L72,1.7%,2021)</f>
        <v>0</v>
      </c>
      <c r="Z72" t="str">
        <f t="shared" si="4"/>
        <v>GP</v>
      </c>
      <c r="AA72" t="str">
        <f t="shared" si="5"/>
        <v>150539004000000045244</v>
      </c>
    </row>
    <row r="73" spans="2:27" x14ac:dyDescent="0.25">
      <c r="B73">
        <v>8087400</v>
      </c>
      <c r="C73" t="s">
        <v>1036</v>
      </c>
      <c r="I73" s="21">
        <v>42711</v>
      </c>
      <c r="J73" t="s">
        <v>29</v>
      </c>
      <c r="K73" t="s">
        <v>30</v>
      </c>
      <c r="L73">
        <f t="shared" si="3"/>
        <v>996</v>
      </c>
      <c r="M73" s="13">
        <v>1</v>
      </c>
      <c r="R73" s="21">
        <v>73050</v>
      </c>
      <c r="U73" t="s">
        <v>141</v>
      </c>
      <c r="V73" cm="1">
        <f t="array" ref="V73">CalculerCommissionSemestrielle(M73,I73,L73,1.7%)</f>
        <v>3.0825301204819279E-2</v>
      </c>
      <c r="W73" cm="1">
        <f t="array" ref="W73">CalculerCommissionAnnuelle(M73,I73,L73,1.7%,2023)</f>
        <v>3.1234939759036146E-2</v>
      </c>
      <c r="X73" cm="1">
        <f t="array" ref="X73">CalculerCommissionAnnuelle(M73,I73,L73,1.7%,2022)</f>
        <v>3.1644578313253013E-2</v>
      </c>
      <c r="Y73" cm="1">
        <f t="array" ref="Y73">CalculerCommissionAnnuelle(M73,I73,L73,1.7%,2021)</f>
        <v>3.2054216867469884E-2</v>
      </c>
      <c r="Z73" t="str">
        <f t="shared" si="4"/>
        <v>GP</v>
      </c>
      <c r="AA73" t="str">
        <f t="shared" si="5"/>
        <v>8087400142711</v>
      </c>
    </row>
  </sheetData>
  <autoFilter ref="A1:Z73" xr:uid="{99A9FB61-3C41-45B0-BEEF-EEF177EF63C6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16993-C165-427D-AF59-CF6560C985C0}">
  <sheetPr codeName="Feuil6"/>
  <dimension ref="A1:AB260"/>
  <sheetViews>
    <sheetView topLeftCell="I1" workbookViewId="0">
      <selection activeCell="AB1" sqref="AB1"/>
    </sheetView>
  </sheetViews>
  <sheetFormatPr baseColWidth="10" defaultRowHeight="12.5" x14ac:dyDescent="0.25"/>
  <cols>
    <col min="9" max="9" width="10.90625" style="21"/>
    <col min="13" max="13" width="16.36328125" style="13" bestFit="1" customWidth="1"/>
    <col min="17" max="18" width="10.90625" style="21"/>
    <col min="25" max="25" width="6.90625" customWidth="1"/>
    <col min="26" max="26" width="10.90625" hidden="1" customWidth="1"/>
    <col min="27" max="28" width="24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1" t="s">
        <v>8</v>
      </c>
      <c r="J1" t="s">
        <v>9</v>
      </c>
      <c r="K1" t="s">
        <v>10</v>
      </c>
      <c r="L1" t="s">
        <v>11</v>
      </c>
      <c r="M1" s="13" t="s">
        <v>12</v>
      </c>
      <c r="N1" t="s">
        <v>13</v>
      </c>
      <c r="O1" t="s">
        <v>14</v>
      </c>
      <c r="P1" t="s">
        <v>15</v>
      </c>
      <c r="Q1" s="21" t="s">
        <v>16</v>
      </c>
      <c r="R1" s="21" t="s">
        <v>17</v>
      </c>
      <c r="S1" t="s">
        <v>18</v>
      </c>
      <c r="T1" t="s">
        <v>19</v>
      </c>
      <c r="U1" t="s">
        <v>20</v>
      </c>
      <c r="V1">
        <v>2024</v>
      </c>
      <c r="W1">
        <v>2023</v>
      </c>
      <c r="X1">
        <v>2022</v>
      </c>
      <c r="Y1">
        <v>2021</v>
      </c>
      <c r="Z1" t="s">
        <v>986</v>
      </c>
      <c r="AB1" t="s">
        <v>1041</v>
      </c>
    </row>
    <row r="2" spans="1:28" x14ac:dyDescent="0.25">
      <c r="A2" t="s">
        <v>26</v>
      </c>
      <c r="B2">
        <v>26087571</v>
      </c>
      <c r="C2" t="s">
        <v>223</v>
      </c>
      <c r="D2" t="s">
        <v>21</v>
      </c>
      <c r="F2" t="s">
        <v>224</v>
      </c>
      <c r="G2" t="s">
        <v>225</v>
      </c>
      <c r="H2">
        <v>0</v>
      </c>
      <c r="I2" s="21">
        <v>44944</v>
      </c>
      <c r="J2" t="s">
        <v>226</v>
      </c>
      <c r="K2" t="s">
        <v>227</v>
      </c>
      <c r="L2">
        <v>96</v>
      </c>
      <c r="M2" s="13">
        <v>2000000000</v>
      </c>
      <c r="N2">
        <v>18910013</v>
      </c>
      <c r="O2">
        <v>7</v>
      </c>
      <c r="P2" t="s">
        <v>24</v>
      </c>
      <c r="Q2" s="21">
        <v>45706</v>
      </c>
      <c r="R2" s="21">
        <v>48597</v>
      </c>
      <c r="T2" t="s">
        <v>28</v>
      </c>
      <c r="U2" t="s">
        <v>157</v>
      </c>
      <c r="V2">
        <v>0</v>
      </c>
      <c r="W2">
        <v>0</v>
      </c>
      <c r="X2">
        <v>0</v>
      </c>
      <c r="Y2">
        <v>0</v>
      </c>
      <c r="Z2" t="s">
        <v>1039</v>
      </c>
      <c r="AA2" t="str">
        <f>_xlfn.CONCAT(B2,M2,I2)</f>
        <v>26087571200000000044944</v>
      </c>
      <c r="AB2" t="e">
        <f>VLOOKUP(AA2,Balance!AA:AA,1,FALSE)</f>
        <v>#N/A</v>
      </c>
    </row>
    <row r="3" spans="1:28" x14ac:dyDescent="0.25">
      <c r="A3" t="s">
        <v>26</v>
      </c>
      <c r="B3">
        <v>26039915</v>
      </c>
      <c r="C3" t="s">
        <v>176</v>
      </c>
      <c r="D3" t="s">
        <v>21</v>
      </c>
      <c r="F3" t="s">
        <v>177</v>
      </c>
      <c r="G3" t="s">
        <v>178</v>
      </c>
      <c r="H3">
        <v>0</v>
      </c>
      <c r="I3" s="21">
        <v>44826</v>
      </c>
      <c r="J3" t="s">
        <v>29</v>
      </c>
      <c r="K3" t="s">
        <v>30</v>
      </c>
      <c r="L3">
        <v>60</v>
      </c>
      <c r="M3" s="13">
        <v>2437000000</v>
      </c>
      <c r="N3">
        <v>49635469</v>
      </c>
      <c r="O3">
        <v>7</v>
      </c>
      <c r="P3" t="s">
        <v>24</v>
      </c>
      <c r="Q3" s="21">
        <v>44856</v>
      </c>
      <c r="R3" s="21">
        <v>46652</v>
      </c>
      <c r="T3" t="s">
        <v>28</v>
      </c>
      <c r="U3" t="s">
        <v>47</v>
      </c>
      <c r="V3">
        <v>51095766.666666672</v>
      </c>
      <c r="W3">
        <v>67667366.666666672</v>
      </c>
      <c r="X3">
        <v>40048033.333333336</v>
      </c>
      <c r="Y3">
        <v>0</v>
      </c>
      <c r="Z3" t="s">
        <v>1039</v>
      </c>
      <c r="AA3" t="str">
        <f t="shared" ref="AA3:AA66" si="0">_xlfn.CONCAT(B3,M3,I3)</f>
        <v>26039915243700000044826</v>
      </c>
      <c r="AB3" t="str">
        <f>VLOOKUP(AA3,Balance!AA:AA,1,FALSE)</f>
        <v>26039915243700000044826</v>
      </c>
    </row>
    <row r="4" spans="1:28" x14ac:dyDescent="0.25">
      <c r="A4" t="s">
        <v>330</v>
      </c>
      <c r="B4">
        <v>8126815</v>
      </c>
      <c r="C4" t="s">
        <v>352</v>
      </c>
      <c r="D4" t="s">
        <v>21</v>
      </c>
      <c r="F4" t="s">
        <v>353</v>
      </c>
      <c r="G4" t="s">
        <v>355</v>
      </c>
      <c r="H4">
        <v>0</v>
      </c>
      <c r="I4" s="21">
        <v>44911</v>
      </c>
      <c r="J4" t="s">
        <v>29</v>
      </c>
      <c r="K4" t="s">
        <v>30</v>
      </c>
      <c r="L4">
        <v>60</v>
      </c>
      <c r="M4" s="13">
        <v>2000000000</v>
      </c>
      <c r="N4">
        <v>41298652</v>
      </c>
      <c r="O4">
        <v>7.5</v>
      </c>
      <c r="P4" t="s">
        <v>24</v>
      </c>
      <c r="Q4" s="21">
        <v>45093</v>
      </c>
      <c r="R4" s="21">
        <v>46889</v>
      </c>
      <c r="T4" t="s">
        <v>28</v>
      </c>
      <c r="U4" t="s">
        <v>72</v>
      </c>
      <c r="V4">
        <v>51000000</v>
      </c>
      <c r="W4">
        <v>64600000.000000007</v>
      </c>
      <c r="X4">
        <v>0</v>
      </c>
      <c r="Y4">
        <v>0</v>
      </c>
      <c r="Z4" t="s">
        <v>1039</v>
      </c>
      <c r="AA4" t="str">
        <f t="shared" si="0"/>
        <v>8126815200000000044911</v>
      </c>
      <c r="AB4" t="str">
        <f>VLOOKUP(AA4,Balance!AA:AA,1,FALSE)</f>
        <v>8126815200000000044911</v>
      </c>
    </row>
    <row r="5" spans="1:28" x14ac:dyDescent="0.25">
      <c r="A5" t="s">
        <v>26</v>
      </c>
      <c r="B5">
        <v>25956400</v>
      </c>
      <c r="C5" t="s">
        <v>144</v>
      </c>
      <c r="D5" t="s">
        <v>21</v>
      </c>
      <c r="F5" t="s">
        <v>145</v>
      </c>
      <c r="G5" t="s">
        <v>146</v>
      </c>
      <c r="H5">
        <v>0</v>
      </c>
      <c r="I5" s="21">
        <v>45104</v>
      </c>
      <c r="J5" t="s">
        <v>29</v>
      </c>
      <c r="K5" t="s">
        <v>30</v>
      </c>
      <c r="L5">
        <v>60</v>
      </c>
      <c r="M5" s="13">
        <v>1600000000</v>
      </c>
      <c r="N5">
        <v>0</v>
      </c>
      <c r="O5">
        <v>7</v>
      </c>
      <c r="P5" t="s">
        <v>24</v>
      </c>
      <c r="Q5" s="21">
        <v>45134</v>
      </c>
      <c r="R5" s="21">
        <v>46931</v>
      </c>
      <c r="T5" t="s">
        <v>28</v>
      </c>
      <c r="U5" t="s">
        <v>141</v>
      </c>
      <c r="V5">
        <v>41706666.666666672</v>
      </c>
      <c r="W5">
        <v>24933333.333333336</v>
      </c>
      <c r="X5">
        <v>0</v>
      </c>
      <c r="Y5">
        <v>0</v>
      </c>
      <c r="Z5" t="s">
        <v>1039</v>
      </c>
      <c r="AA5" t="str">
        <f t="shared" si="0"/>
        <v>25956400160000000045104</v>
      </c>
      <c r="AB5" t="str">
        <f>VLOOKUP(AA5,Balance!AA:AA,1,FALSE)</f>
        <v>25956400160000000045104</v>
      </c>
    </row>
    <row r="6" spans="1:28" x14ac:dyDescent="0.25">
      <c r="A6" t="s">
        <v>330</v>
      </c>
      <c r="B6">
        <v>8186915</v>
      </c>
      <c r="C6" t="s">
        <v>386</v>
      </c>
      <c r="D6" t="s">
        <v>21</v>
      </c>
      <c r="F6" t="s">
        <v>387</v>
      </c>
      <c r="G6" t="s">
        <v>390</v>
      </c>
      <c r="H6">
        <v>0</v>
      </c>
      <c r="I6" s="21">
        <v>45274</v>
      </c>
      <c r="J6" t="s">
        <v>29</v>
      </c>
      <c r="K6" t="s">
        <v>30</v>
      </c>
      <c r="L6">
        <v>72</v>
      </c>
      <c r="M6" s="13">
        <v>1350000000</v>
      </c>
      <c r="N6">
        <v>7463304</v>
      </c>
      <c r="O6">
        <v>7.25</v>
      </c>
      <c r="P6" t="s">
        <v>24</v>
      </c>
      <c r="Q6" s="21">
        <v>45671</v>
      </c>
      <c r="R6" s="21">
        <v>47831</v>
      </c>
      <c r="T6" t="s">
        <v>28</v>
      </c>
      <c r="U6" t="s">
        <v>49</v>
      </c>
      <c r="V6">
        <v>0</v>
      </c>
      <c r="W6">
        <v>0</v>
      </c>
      <c r="X6">
        <v>0</v>
      </c>
      <c r="Y6">
        <v>0</v>
      </c>
      <c r="Z6" t="s">
        <v>1039</v>
      </c>
      <c r="AA6" t="str">
        <f t="shared" si="0"/>
        <v>8186915135000000045274</v>
      </c>
      <c r="AB6" t="e">
        <f>VLOOKUP(AA6,Balance!AA:AA,1,FALSE)</f>
        <v>#N/A</v>
      </c>
    </row>
    <row r="7" spans="1:28" x14ac:dyDescent="0.25">
      <c r="A7" t="s">
        <v>26</v>
      </c>
      <c r="B7">
        <v>25983840</v>
      </c>
      <c r="C7" t="s">
        <v>153</v>
      </c>
      <c r="D7" t="s">
        <v>21</v>
      </c>
      <c r="F7" t="s">
        <v>154</v>
      </c>
      <c r="G7" t="s">
        <v>156</v>
      </c>
      <c r="H7">
        <v>0</v>
      </c>
      <c r="I7" s="21">
        <v>44841</v>
      </c>
      <c r="J7" t="s">
        <v>62</v>
      </c>
      <c r="K7" t="s">
        <v>63</v>
      </c>
      <c r="L7">
        <v>60</v>
      </c>
      <c r="M7" s="13">
        <v>1550262613</v>
      </c>
      <c r="N7">
        <v>32011878</v>
      </c>
      <c r="O7">
        <v>7.5</v>
      </c>
      <c r="P7" t="s">
        <v>24</v>
      </c>
      <c r="Q7" s="21">
        <v>45206</v>
      </c>
      <c r="R7" s="21">
        <v>47003</v>
      </c>
      <c r="T7" t="s">
        <v>28</v>
      </c>
      <c r="U7" t="s">
        <v>83</v>
      </c>
      <c r="V7">
        <v>43045625.220966667</v>
      </c>
      <c r="W7">
        <v>25475982.273633335</v>
      </c>
      <c r="X7">
        <v>0</v>
      </c>
      <c r="Y7">
        <v>0</v>
      </c>
      <c r="Z7" t="s">
        <v>1039</v>
      </c>
      <c r="AA7" t="str">
        <f t="shared" si="0"/>
        <v>25983840155026261344841</v>
      </c>
      <c r="AB7" t="e">
        <f>VLOOKUP(AA7,Balance!AA:AA,1,FALSE)</f>
        <v>#N/A</v>
      </c>
    </row>
    <row r="8" spans="1:28" x14ac:dyDescent="0.25">
      <c r="A8" t="s">
        <v>26</v>
      </c>
      <c r="B8">
        <v>25983840</v>
      </c>
      <c r="C8" t="s">
        <v>153</v>
      </c>
      <c r="D8" t="s">
        <v>21</v>
      </c>
      <c r="F8" t="s">
        <v>154</v>
      </c>
      <c r="G8" t="s">
        <v>155</v>
      </c>
      <c r="H8">
        <v>0</v>
      </c>
      <c r="I8" s="21">
        <v>44889</v>
      </c>
      <c r="J8" t="s">
        <v>29</v>
      </c>
      <c r="K8" t="s">
        <v>30</v>
      </c>
      <c r="L8">
        <v>60</v>
      </c>
      <c r="M8" s="13">
        <v>1500000000</v>
      </c>
      <c r="N8">
        <v>30973989</v>
      </c>
      <c r="O8">
        <v>7.5</v>
      </c>
      <c r="P8" t="s">
        <v>24</v>
      </c>
      <c r="Q8" s="21">
        <v>44919</v>
      </c>
      <c r="R8" s="21">
        <v>46715</v>
      </c>
      <c r="T8" t="s">
        <v>28</v>
      </c>
      <c r="U8" t="s">
        <v>83</v>
      </c>
      <c r="V8">
        <v>33150000.000000004</v>
      </c>
      <c r="W8">
        <v>43350000</v>
      </c>
      <c r="X8">
        <v>25500000</v>
      </c>
      <c r="Y8">
        <v>0</v>
      </c>
      <c r="Z8" t="s">
        <v>1039</v>
      </c>
      <c r="AA8" t="str">
        <f t="shared" si="0"/>
        <v>25983840150000000044889</v>
      </c>
      <c r="AB8" t="e">
        <f>VLOOKUP(AA8,Balance!AA:AA,1,FALSE)</f>
        <v>#N/A</v>
      </c>
    </row>
    <row r="9" spans="1:28" x14ac:dyDescent="0.25">
      <c r="A9" t="s">
        <v>26</v>
      </c>
      <c r="B9">
        <v>15652105</v>
      </c>
      <c r="C9" t="s">
        <v>87</v>
      </c>
      <c r="D9" t="s">
        <v>21</v>
      </c>
      <c r="F9" t="s">
        <v>88</v>
      </c>
      <c r="G9" t="s">
        <v>89</v>
      </c>
      <c r="H9">
        <v>0</v>
      </c>
      <c r="I9" s="21">
        <v>44673</v>
      </c>
      <c r="J9" t="s">
        <v>90</v>
      </c>
      <c r="K9" t="s">
        <v>91</v>
      </c>
      <c r="L9">
        <v>84</v>
      </c>
      <c r="M9" s="13">
        <v>1260000000</v>
      </c>
      <c r="N9">
        <v>19942885</v>
      </c>
      <c r="O9">
        <v>7.25</v>
      </c>
      <c r="P9" t="s">
        <v>24</v>
      </c>
      <c r="Q9" s="21">
        <v>45068</v>
      </c>
      <c r="R9" s="21">
        <v>47595</v>
      </c>
      <c r="T9" t="s">
        <v>28</v>
      </c>
      <c r="U9" t="s">
        <v>83</v>
      </c>
      <c r="V9">
        <v>34680000</v>
      </c>
      <c r="W9">
        <v>40800000</v>
      </c>
      <c r="X9">
        <v>0</v>
      </c>
      <c r="Y9">
        <v>0</v>
      </c>
      <c r="Z9" t="s">
        <v>1039</v>
      </c>
      <c r="AA9" t="str">
        <f t="shared" si="0"/>
        <v>15652105126000000044673</v>
      </c>
      <c r="AB9" t="str">
        <f>VLOOKUP(AA9,Balance!AA:AA,1,FALSE)</f>
        <v>15652105126000000044673</v>
      </c>
    </row>
    <row r="10" spans="1:28" x14ac:dyDescent="0.25">
      <c r="A10" t="s">
        <v>750</v>
      </c>
      <c r="B10">
        <v>52318361</v>
      </c>
      <c r="C10" t="s">
        <v>774</v>
      </c>
      <c r="D10" t="s">
        <v>21</v>
      </c>
      <c r="F10" t="s">
        <v>775</v>
      </c>
      <c r="G10" t="s">
        <v>777</v>
      </c>
      <c r="H10">
        <v>0</v>
      </c>
      <c r="I10" s="21">
        <v>45265</v>
      </c>
      <c r="J10" t="s">
        <v>62</v>
      </c>
      <c r="K10" t="s">
        <v>63</v>
      </c>
      <c r="L10">
        <v>48</v>
      </c>
      <c r="M10" s="13">
        <v>1000000000</v>
      </c>
      <c r="N10">
        <v>16681300</v>
      </c>
      <c r="O10">
        <v>6.75</v>
      </c>
      <c r="P10" t="s">
        <v>24</v>
      </c>
      <c r="Q10" s="21">
        <v>45631</v>
      </c>
      <c r="R10" s="21">
        <v>47062</v>
      </c>
      <c r="T10" t="s">
        <v>28</v>
      </c>
      <c r="U10" t="s">
        <v>49</v>
      </c>
      <c r="V10">
        <v>17000000</v>
      </c>
      <c r="W10">
        <v>0</v>
      </c>
      <c r="X10">
        <v>0</v>
      </c>
      <c r="Y10">
        <v>0</v>
      </c>
      <c r="Z10" t="s">
        <v>1039</v>
      </c>
      <c r="AA10" t="str">
        <f t="shared" si="0"/>
        <v>52318361100000000045265</v>
      </c>
      <c r="AB10" t="e">
        <f>VLOOKUP(AA10,Balance!AA:AA,1,FALSE)</f>
        <v>#N/A</v>
      </c>
    </row>
    <row r="11" spans="1:28" x14ac:dyDescent="0.25">
      <c r="A11" t="s">
        <v>330</v>
      </c>
      <c r="B11">
        <v>8186915</v>
      </c>
      <c r="C11" t="s">
        <v>386</v>
      </c>
      <c r="D11" t="s">
        <v>21</v>
      </c>
      <c r="F11" t="s">
        <v>387</v>
      </c>
      <c r="G11" t="s">
        <v>389</v>
      </c>
      <c r="H11">
        <v>0</v>
      </c>
      <c r="I11" s="21">
        <v>44742</v>
      </c>
      <c r="J11" t="s">
        <v>29</v>
      </c>
      <c r="K11" t="s">
        <v>30</v>
      </c>
      <c r="L11">
        <v>78</v>
      </c>
      <c r="M11" s="13">
        <v>1200000000</v>
      </c>
      <c r="N11">
        <v>19892463</v>
      </c>
      <c r="O11">
        <v>7</v>
      </c>
      <c r="P11" t="s">
        <v>24</v>
      </c>
      <c r="Q11" s="21">
        <v>44956</v>
      </c>
      <c r="R11" s="21">
        <v>47299</v>
      </c>
      <c r="T11" t="s">
        <v>28</v>
      </c>
      <c r="U11" t="s">
        <v>49</v>
      </c>
      <c r="V11">
        <v>30338461.53846154</v>
      </c>
      <c r="W11">
        <v>36615384.615384616</v>
      </c>
      <c r="X11">
        <v>0</v>
      </c>
      <c r="Y11">
        <v>0</v>
      </c>
      <c r="Z11" t="s">
        <v>1039</v>
      </c>
      <c r="AA11" t="str">
        <f t="shared" si="0"/>
        <v>8186915120000000044742</v>
      </c>
      <c r="AB11" t="e">
        <f>VLOOKUP(AA11,Balance!AA:AA,1,FALSE)</f>
        <v>#N/A</v>
      </c>
    </row>
    <row r="12" spans="1:28" x14ac:dyDescent="0.25">
      <c r="A12" t="s">
        <v>656</v>
      </c>
      <c r="B12">
        <v>25949442</v>
      </c>
      <c r="C12" t="s">
        <v>668</v>
      </c>
      <c r="D12" t="s">
        <v>21</v>
      </c>
      <c r="F12" t="s">
        <v>669</v>
      </c>
      <c r="G12" t="s">
        <v>672</v>
      </c>
      <c r="H12">
        <v>0</v>
      </c>
      <c r="I12" s="21">
        <v>45254</v>
      </c>
      <c r="J12" t="s">
        <v>62</v>
      </c>
      <c r="K12" t="s">
        <v>63</v>
      </c>
      <c r="L12">
        <v>48</v>
      </c>
      <c r="M12" s="13">
        <v>900000000</v>
      </c>
      <c r="N12">
        <v>21928353</v>
      </c>
      <c r="O12">
        <v>6.75</v>
      </c>
      <c r="P12" t="s">
        <v>24</v>
      </c>
      <c r="Q12" s="21">
        <v>45284</v>
      </c>
      <c r="R12" s="21">
        <v>46715</v>
      </c>
      <c r="T12" t="s">
        <v>28</v>
      </c>
      <c r="U12" t="s">
        <v>141</v>
      </c>
      <c r="V12">
        <v>24862500</v>
      </c>
      <c r="W12">
        <v>15300000.000000002</v>
      </c>
      <c r="X12">
        <v>0</v>
      </c>
      <c r="Y12">
        <v>0</v>
      </c>
      <c r="Z12" t="s">
        <v>1039</v>
      </c>
      <c r="AA12" t="str">
        <f t="shared" si="0"/>
        <v>2594944290000000045254</v>
      </c>
      <c r="AB12" t="e">
        <f>VLOOKUP(AA12,Balance!AA:AA,1,FALSE)</f>
        <v>#N/A</v>
      </c>
    </row>
    <row r="13" spans="1:28" x14ac:dyDescent="0.25">
      <c r="A13" t="s">
        <v>330</v>
      </c>
      <c r="B13">
        <v>8028300</v>
      </c>
      <c r="C13" t="s">
        <v>332</v>
      </c>
      <c r="D13" t="s">
        <v>21</v>
      </c>
      <c r="F13" t="s">
        <v>333</v>
      </c>
      <c r="G13" t="s">
        <v>334</v>
      </c>
      <c r="H13">
        <v>0</v>
      </c>
      <c r="I13" s="21">
        <v>45083</v>
      </c>
      <c r="J13" t="s">
        <v>29</v>
      </c>
      <c r="K13" t="s">
        <v>30</v>
      </c>
      <c r="L13">
        <v>48</v>
      </c>
      <c r="M13" s="13">
        <v>1000000000</v>
      </c>
      <c r="N13">
        <v>24227933</v>
      </c>
      <c r="O13">
        <v>6.5</v>
      </c>
      <c r="P13" t="s">
        <v>24</v>
      </c>
      <c r="Q13" s="21">
        <v>45113</v>
      </c>
      <c r="R13" s="21">
        <v>46544</v>
      </c>
      <c r="T13" t="s">
        <v>28</v>
      </c>
      <c r="U13" t="s">
        <v>78</v>
      </c>
      <c r="V13">
        <v>24083333.333333336</v>
      </c>
      <c r="W13">
        <v>15229166.666666668</v>
      </c>
      <c r="X13">
        <v>0</v>
      </c>
      <c r="Y13">
        <v>0</v>
      </c>
      <c r="Z13" t="s">
        <v>1039</v>
      </c>
      <c r="AA13" t="str">
        <f t="shared" si="0"/>
        <v>8028300100000000045083</v>
      </c>
      <c r="AB13" t="e">
        <f>VLOOKUP(AA13,Balance!AA:AA,1,FALSE)</f>
        <v>#N/A</v>
      </c>
    </row>
    <row r="14" spans="1:28" x14ac:dyDescent="0.25">
      <c r="A14" t="s">
        <v>330</v>
      </c>
      <c r="B14">
        <v>8116000</v>
      </c>
      <c r="C14" t="s">
        <v>342</v>
      </c>
      <c r="D14" t="s">
        <v>21</v>
      </c>
      <c r="F14" t="s">
        <v>343</v>
      </c>
      <c r="G14" t="s">
        <v>346</v>
      </c>
      <c r="H14">
        <v>0</v>
      </c>
      <c r="I14" s="21">
        <v>45065</v>
      </c>
      <c r="J14" t="s">
        <v>29</v>
      </c>
      <c r="K14" t="s">
        <v>30</v>
      </c>
      <c r="L14">
        <v>36</v>
      </c>
      <c r="M14" s="13">
        <v>1200000000</v>
      </c>
      <c r="N14">
        <v>37385357</v>
      </c>
      <c r="O14">
        <v>6.5</v>
      </c>
      <c r="P14" t="s">
        <v>24</v>
      </c>
      <c r="Q14" s="21">
        <v>45096</v>
      </c>
      <c r="R14" s="21">
        <v>46161</v>
      </c>
      <c r="T14" t="s">
        <v>28</v>
      </c>
      <c r="U14" t="s">
        <v>72</v>
      </c>
      <c r="V14">
        <v>23800000</v>
      </c>
      <c r="W14">
        <v>37400000</v>
      </c>
      <c r="X14">
        <v>0</v>
      </c>
      <c r="Y14">
        <v>0</v>
      </c>
      <c r="Z14" t="s">
        <v>1039</v>
      </c>
      <c r="AA14" t="str">
        <f t="shared" si="0"/>
        <v>8116000120000000045065</v>
      </c>
      <c r="AB14" t="e">
        <f>VLOOKUP(AA14,Balance!AA:AA,1,FALSE)</f>
        <v>#N/A</v>
      </c>
    </row>
    <row r="15" spans="1:28" x14ac:dyDescent="0.25">
      <c r="A15" t="s">
        <v>330</v>
      </c>
      <c r="B15">
        <v>8186915</v>
      </c>
      <c r="C15" t="s">
        <v>386</v>
      </c>
      <c r="D15" t="s">
        <v>21</v>
      </c>
      <c r="F15" t="s">
        <v>387</v>
      </c>
      <c r="G15" t="s">
        <v>388</v>
      </c>
      <c r="H15">
        <v>0</v>
      </c>
      <c r="I15" s="21">
        <v>44742</v>
      </c>
      <c r="J15" t="s">
        <v>29</v>
      </c>
      <c r="K15" t="s">
        <v>30</v>
      </c>
      <c r="L15">
        <v>60</v>
      </c>
      <c r="M15" s="13">
        <v>1100000000</v>
      </c>
      <c r="N15">
        <v>22250112</v>
      </c>
      <c r="O15">
        <v>6.75</v>
      </c>
      <c r="P15" t="s">
        <v>24</v>
      </c>
      <c r="Q15" s="21">
        <v>44772</v>
      </c>
      <c r="R15" s="21">
        <v>46568</v>
      </c>
      <c r="T15" t="s">
        <v>28</v>
      </c>
      <c r="U15" t="s">
        <v>49</v>
      </c>
      <c r="V15">
        <v>21193333.333333336</v>
      </c>
      <c r="W15">
        <v>28673333.333333336</v>
      </c>
      <c r="X15">
        <v>17141666.666666668</v>
      </c>
      <c r="Y15">
        <v>0</v>
      </c>
      <c r="Z15" t="s">
        <v>1039</v>
      </c>
      <c r="AA15" t="str">
        <f t="shared" si="0"/>
        <v>8186915110000000044742</v>
      </c>
      <c r="AB15" t="e">
        <f>VLOOKUP(AA15,Balance!AA:AA,1,FALSE)</f>
        <v>#N/A</v>
      </c>
    </row>
    <row r="16" spans="1:28" x14ac:dyDescent="0.25">
      <c r="A16" t="s">
        <v>330</v>
      </c>
      <c r="B16">
        <v>8116000</v>
      </c>
      <c r="C16" t="s">
        <v>342</v>
      </c>
      <c r="D16" t="s">
        <v>21</v>
      </c>
      <c r="F16" t="s">
        <v>343</v>
      </c>
      <c r="G16" t="s">
        <v>345</v>
      </c>
      <c r="H16">
        <v>0</v>
      </c>
      <c r="I16" s="21">
        <v>44873</v>
      </c>
      <c r="J16" t="s">
        <v>29</v>
      </c>
      <c r="K16" t="s">
        <v>30</v>
      </c>
      <c r="L16">
        <v>36</v>
      </c>
      <c r="M16" s="13">
        <v>1200000000</v>
      </c>
      <c r="N16">
        <v>37385357</v>
      </c>
      <c r="O16">
        <v>6.5</v>
      </c>
      <c r="P16" t="s">
        <v>24</v>
      </c>
      <c r="Q16" s="21">
        <v>44903</v>
      </c>
      <c r="R16" s="21">
        <v>45969</v>
      </c>
      <c r="T16" t="s">
        <v>28</v>
      </c>
      <c r="U16" t="s">
        <v>72</v>
      </c>
      <c r="V16">
        <v>17000000</v>
      </c>
      <c r="W16">
        <v>30600000.000000004</v>
      </c>
      <c r="X16">
        <v>20400000</v>
      </c>
      <c r="Y16">
        <v>0</v>
      </c>
      <c r="Z16" t="s">
        <v>1039</v>
      </c>
      <c r="AA16" t="str">
        <f t="shared" si="0"/>
        <v>8116000120000000044873</v>
      </c>
      <c r="AB16" t="str">
        <f>VLOOKUP(AA16,Balance!AA:AA,1,FALSE)</f>
        <v>8116000120000000044873</v>
      </c>
    </row>
    <row r="17" spans="1:28" x14ac:dyDescent="0.25">
      <c r="A17" t="s">
        <v>656</v>
      </c>
      <c r="B17">
        <v>25949442</v>
      </c>
      <c r="C17" t="s">
        <v>668</v>
      </c>
      <c r="D17" t="s">
        <v>21</v>
      </c>
      <c r="F17" t="s">
        <v>669</v>
      </c>
      <c r="G17" t="s">
        <v>671</v>
      </c>
      <c r="H17">
        <v>0</v>
      </c>
      <c r="I17" s="21">
        <v>45184</v>
      </c>
      <c r="J17" t="s">
        <v>62</v>
      </c>
      <c r="K17" t="s">
        <v>63</v>
      </c>
      <c r="L17">
        <v>60</v>
      </c>
      <c r="M17" s="13">
        <v>500000000</v>
      </c>
      <c r="N17">
        <v>9835441</v>
      </c>
      <c r="O17">
        <v>7</v>
      </c>
      <c r="P17" t="s">
        <v>24</v>
      </c>
      <c r="Q17" s="21">
        <v>45580</v>
      </c>
      <c r="R17" s="21">
        <v>47376</v>
      </c>
      <c r="T17" t="s">
        <v>28</v>
      </c>
      <c r="U17" t="s">
        <v>141</v>
      </c>
      <c r="V17">
        <v>8216666.666666667</v>
      </c>
      <c r="W17">
        <v>0</v>
      </c>
      <c r="X17">
        <v>0</v>
      </c>
      <c r="Y17">
        <v>0</v>
      </c>
      <c r="Z17" t="s">
        <v>1039</v>
      </c>
      <c r="AA17" t="str">
        <f t="shared" si="0"/>
        <v>2594944250000000045184</v>
      </c>
      <c r="AB17" t="e">
        <f>VLOOKUP(AA17,Balance!AA:AA,1,FALSE)</f>
        <v>#N/A</v>
      </c>
    </row>
    <row r="18" spans="1:28" x14ac:dyDescent="0.25">
      <c r="A18" t="s">
        <v>796</v>
      </c>
      <c r="B18">
        <v>55009264</v>
      </c>
      <c r="C18" t="s">
        <v>810</v>
      </c>
      <c r="D18" t="s">
        <v>21</v>
      </c>
      <c r="E18">
        <v>25533</v>
      </c>
      <c r="F18" t="s">
        <v>811</v>
      </c>
      <c r="G18" t="s">
        <v>812</v>
      </c>
      <c r="H18">
        <v>0</v>
      </c>
      <c r="I18" s="21">
        <v>45253</v>
      </c>
      <c r="J18" t="s">
        <v>62</v>
      </c>
      <c r="K18" t="s">
        <v>63</v>
      </c>
      <c r="L18">
        <v>120</v>
      </c>
      <c r="M18" s="13">
        <v>396000000</v>
      </c>
      <c r="N18">
        <v>4458400</v>
      </c>
      <c r="O18">
        <v>9</v>
      </c>
      <c r="P18" t="s">
        <v>24</v>
      </c>
      <c r="Q18" s="21">
        <v>45649</v>
      </c>
      <c r="R18" s="21">
        <v>49271</v>
      </c>
      <c r="T18" t="s">
        <v>28</v>
      </c>
      <c r="U18" t="s">
        <v>641</v>
      </c>
      <c r="V18">
        <v>6732000.0000000009</v>
      </c>
      <c r="W18">
        <v>0</v>
      </c>
      <c r="X18">
        <v>0</v>
      </c>
      <c r="Y18">
        <v>0</v>
      </c>
      <c r="Z18" t="s">
        <v>1039</v>
      </c>
      <c r="AA18" t="str">
        <f t="shared" si="0"/>
        <v>5500926439600000045253</v>
      </c>
      <c r="AB18" t="e">
        <f>VLOOKUP(AA18,Balance!AA:AA,1,FALSE)</f>
        <v>#N/A</v>
      </c>
    </row>
    <row r="19" spans="1:28" x14ac:dyDescent="0.25">
      <c r="A19" t="s">
        <v>26</v>
      </c>
      <c r="B19">
        <v>26037024</v>
      </c>
      <c r="C19" t="s">
        <v>172</v>
      </c>
      <c r="D19" t="s">
        <v>21</v>
      </c>
      <c r="F19" t="s">
        <v>173</v>
      </c>
      <c r="G19" t="s">
        <v>174</v>
      </c>
      <c r="H19">
        <v>0</v>
      </c>
      <c r="I19" s="21">
        <v>44925</v>
      </c>
      <c r="J19" t="s">
        <v>29</v>
      </c>
      <c r="K19" t="s">
        <v>30</v>
      </c>
      <c r="L19">
        <v>20</v>
      </c>
      <c r="M19" s="13">
        <v>6739000000</v>
      </c>
      <c r="N19">
        <v>405617238</v>
      </c>
      <c r="O19">
        <v>6.65</v>
      </c>
      <c r="P19" t="s">
        <v>24</v>
      </c>
      <c r="Q19" s="21">
        <v>45381</v>
      </c>
      <c r="R19" s="21">
        <v>47117</v>
      </c>
      <c r="T19" t="s">
        <v>28</v>
      </c>
      <c r="U19" t="s">
        <v>54</v>
      </c>
      <c r="V19">
        <v>160388200</v>
      </c>
      <c r="W19">
        <v>0</v>
      </c>
      <c r="X19">
        <v>0</v>
      </c>
      <c r="Y19">
        <v>0</v>
      </c>
      <c r="Z19" t="s">
        <v>1039</v>
      </c>
      <c r="AA19" t="str">
        <f t="shared" si="0"/>
        <v>26037024673900000044925</v>
      </c>
      <c r="AB19" t="e">
        <f>VLOOKUP(AA19,Balance!AA:AA,1,FALSE)</f>
        <v>#N/A</v>
      </c>
    </row>
    <row r="20" spans="1:28" x14ac:dyDescent="0.25">
      <c r="A20" t="s">
        <v>330</v>
      </c>
      <c r="B20">
        <v>8151615</v>
      </c>
      <c r="C20" t="s">
        <v>367</v>
      </c>
      <c r="D20" t="s">
        <v>21</v>
      </c>
      <c r="F20" t="s">
        <v>368</v>
      </c>
      <c r="G20" t="s">
        <v>370</v>
      </c>
      <c r="H20">
        <v>0</v>
      </c>
      <c r="I20" s="21">
        <v>44834</v>
      </c>
      <c r="J20" t="s">
        <v>29</v>
      </c>
      <c r="K20" t="s">
        <v>30</v>
      </c>
      <c r="L20">
        <v>60</v>
      </c>
      <c r="M20" s="13">
        <v>500000000</v>
      </c>
      <c r="N20">
        <v>0</v>
      </c>
      <c r="O20">
        <v>6.5</v>
      </c>
      <c r="P20" t="s">
        <v>24</v>
      </c>
      <c r="Q20" s="21">
        <v>44864</v>
      </c>
      <c r="R20" s="21">
        <v>46660</v>
      </c>
      <c r="T20" t="s">
        <v>28</v>
      </c>
      <c r="U20" t="s">
        <v>47</v>
      </c>
      <c r="V20">
        <v>10483333.333333334</v>
      </c>
      <c r="W20">
        <v>13883333.333333334</v>
      </c>
      <c r="X20">
        <v>8216666.666666667</v>
      </c>
      <c r="Y20">
        <v>0</v>
      </c>
      <c r="Z20" t="s">
        <v>1039</v>
      </c>
      <c r="AA20" t="str">
        <f t="shared" si="0"/>
        <v>815161550000000044834</v>
      </c>
      <c r="AB20" t="str">
        <f>VLOOKUP(AA20,Balance!AA:AA,1,FALSE)</f>
        <v>815161550000000044834</v>
      </c>
    </row>
    <row r="21" spans="1:28" x14ac:dyDescent="0.25">
      <c r="A21" t="s">
        <v>396</v>
      </c>
      <c r="B21">
        <v>26006403</v>
      </c>
      <c r="C21" t="s">
        <v>403</v>
      </c>
      <c r="D21" t="s">
        <v>21</v>
      </c>
      <c r="F21" t="s">
        <v>404</v>
      </c>
      <c r="G21" t="s">
        <v>405</v>
      </c>
      <c r="H21">
        <v>0</v>
      </c>
      <c r="I21" s="21">
        <v>45217</v>
      </c>
      <c r="J21" t="s">
        <v>59</v>
      </c>
      <c r="K21" t="s">
        <v>60</v>
      </c>
      <c r="L21">
        <v>60</v>
      </c>
      <c r="M21" s="13">
        <v>350000000</v>
      </c>
      <c r="N21">
        <v>7730540</v>
      </c>
      <c r="O21">
        <v>9.99</v>
      </c>
      <c r="P21" t="s">
        <v>24</v>
      </c>
      <c r="Q21" s="21">
        <v>45248</v>
      </c>
      <c r="R21" s="21">
        <v>47044</v>
      </c>
      <c r="T21" t="s">
        <v>28</v>
      </c>
      <c r="U21" t="s">
        <v>406</v>
      </c>
      <c r="V21">
        <v>9916666.6666666679</v>
      </c>
      <c r="W21">
        <v>5850833.333333334</v>
      </c>
      <c r="X21">
        <v>0</v>
      </c>
      <c r="Y21">
        <v>0</v>
      </c>
      <c r="Z21" t="s">
        <v>1039</v>
      </c>
      <c r="AA21" t="str">
        <f t="shared" si="0"/>
        <v>2600640335000000045217</v>
      </c>
      <c r="AB21" t="e">
        <f>VLOOKUP(AA21,Balance!AA:AA,1,FALSE)</f>
        <v>#N/A</v>
      </c>
    </row>
    <row r="22" spans="1:28" x14ac:dyDescent="0.25">
      <c r="A22" t="s">
        <v>26</v>
      </c>
      <c r="B22">
        <v>15793905</v>
      </c>
      <c r="C22" t="s">
        <v>129</v>
      </c>
      <c r="D22" t="s">
        <v>21</v>
      </c>
      <c r="F22" t="s">
        <v>130</v>
      </c>
      <c r="G22" t="s">
        <v>131</v>
      </c>
      <c r="H22">
        <v>0</v>
      </c>
      <c r="I22" s="21">
        <v>45274</v>
      </c>
      <c r="J22" t="s">
        <v>29</v>
      </c>
      <c r="K22" t="s">
        <v>30</v>
      </c>
      <c r="L22">
        <v>60</v>
      </c>
      <c r="M22" s="13">
        <v>300000000</v>
      </c>
      <c r="N22">
        <v>6280053</v>
      </c>
      <c r="O22">
        <v>8</v>
      </c>
      <c r="P22" t="s">
        <v>24</v>
      </c>
      <c r="Q22" s="21">
        <v>45457</v>
      </c>
      <c r="R22" s="21">
        <v>47252</v>
      </c>
      <c r="S22">
        <v>45305</v>
      </c>
      <c r="T22" t="s">
        <v>25</v>
      </c>
      <c r="U22" t="s">
        <v>41</v>
      </c>
      <c r="V22">
        <v>9690000</v>
      </c>
      <c r="W22">
        <v>0</v>
      </c>
      <c r="X22">
        <v>0</v>
      </c>
      <c r="Y22">
        <v>0</v>
      </c>
      <c r="Z22" t="s">
        <v>1039</v>
      </c>
      <c r="AA22" t="str">
        <f t="shared" si="0"/>
        <v>1579390530000000045274</v>
      </c>
      <c r="AB22" t="e">
        <f>VLOOKUP(AA22,Balance!AA:AA,1,FALSE)</f>
        <v>#N/A</v>
      </c>
    </row>
    <row r="23" spans="1:28" x14ac:dyDescent="0.25">
      <c r="A23" t="s">
        <v>26</v>
      </c>
      <c r="B23">
        <v>15753105</v>
      </c>
      <c r="C23" t="s">
        <v>116</v>
      </c>
      <c r="D23" t="s">
        <v>21</v>
      </c>
      <c r="F23" t="s">
        <v>117</v>
      </c>
      <c r="G23" t="s">
        <v>118</v>
      </c>
      <c r="H23">
        <v>0</v>
      </c>
      <c r="I23" s="21">
        <v>45000</v>
      </c>
      <c r="J23" t="s">
        <v>39</v>
      </c>
      <c r="K23" t="s">
        <v>40</v>
      </c>
      <c r="L23">
        <v>24</v>
      </c>
      <c r="M23" s="13">
        <v>1000000000</v>
      </c>
      <c r="N23">
        <v>44781646</v>
      </c>
      <c r="O23">
        <v>6</v>
      </c>
      <c r="P23" t="s">
        <v>24</v>
      </c>
      <c r="Q23" s="21">
        <v>45031</v>
      </c>
      <c r="R23" s="21">
        <v>45731</v>
      </c>
      <c r="T23" t="s">
        <v>28</v>
      </c>
      <c r="U23" t="s">
        <v>47</v>
      </c>
      <c r="V23">
        <v>9916666.6666666679</v>
      </c>
      <c r="W23">
        <v>26916666.666666668</v>
      </c>
      <c r="X23">
        <v>0</v>
      </c>
      <c r="Y23">
        <v>0</v>
      </c>
      <c r="Z23" t="s">
        <v>1039</v>
      </c>
      <c r="AA23" t="str">
        <f t="shared" si="0"/>
        <v>15753105100000000045000</v>
      </c>
      <c r="AB23" t="str">
        <f>VLOOKUP(AA23,Balance!AA:AA,1,FALSE)</f>
        <v>15753105100000000045000</v>
      </c>
    </row>
    <row r="24" spans="1:28" x14ac:dyDescent="0.25">
      <c r="A24" t="s">
        <v>26</v>
      </c>
      <c r="B24">
        <v>26059205</v>
      </c>
      <c r="C24" t="s">
        <v>196</v>
      </c>
      <c r="D24" t="s">
        <v>21</v>
      </c>
      <c r="F24" t="s">
        <v>197</v>
      </c>
      <c r="G24" t="s">
        <v>198</v>
      </c>
      <c r="H24">
        <v>0</v>
      </c>
      <c r="I24" s="21">
        <v>44631</v>
      </c>
      <c r="J24" t="s">
        <v>62</v>
      </c>
      <c r="K24" t="s">
        <v>63</v>
      </c>
      <c r="L24">
        <v>60</v>
      </c>
      <c r="M24" s="13">
        <v>500000000</v>
      </c>
      <c r="N24">
        <v>10466755</v>
      </c>
      <c r="O24">
        <v>8</v>
      </c>
      <c r="P24" t="s">
        <v>24</v>
      </c>
      <c r="Q24" s="21">
        <v>44662</v>
      </c>
      <c r="R24" s="21">
        <v>46457</v>
      </c>
      <c r="T24" t="s">
        <v>28</v>
      </c>
      <c r="U24" t="s">
        <v>132</v>
      </c>
      <c r="V24">
        <v>8783333.333333334</v>
      </c>
      <c r="W24">
        <v>12183333.333333334</v>
      </c>
      <c r="X24">
        <v>15583333.333333334</v>
      </c>
      <c r="Y24">
        <v>0</v>
      </c>
      <c r="Z24" t="s">
        <v>1039</v>
      </c>
      <c r="AA24" t="str">
        <f t="shared" si="0"/>
        <v>2605920550000000044631</v>
      </c>
      <c r="AB24" t="e">
        <f>VLOOKUP(AA24,Balance!AA:AA,1,FALSE)</f>
        <v>#N/A</v>
      </c>
    </row>
    <row r="25" spans="1:28" x14ac:dyDescent="0.25">
      <c r="A25" t="s">
        <v>330</v>
      </c>
      <c r="B25">
        <v>8151615</v>
      </c>
      <c r="C25" t="s">
        <v>367</v>
      </c>
      <c r="D25" t="s">
        <v>21</v>
      </c>
      <c r="F25" t="s">
        <v>368</v>
      </c>
      <c r="G25" t="s">
        <v>369</v>
      </c>
      <c r="H25">
        <v>0</v>
      </c>
      <c r="I25" s="21">
        <v>44553</v>
      </c>
      <c r="J25" t="s">
        <v>29</v>
      </c>
      <c r="K25" t="s">
        <v>30</v>
      </c>
      <c r="L25">
        <v>60</v>
      </c>
      <c r="M25" s="13">
        <v>500000000</v>
      </c>
      <c r="N25">
        <v>10043941</v>
      </c>
      <c r="O25">
        <v>6.5</v>
      </c>
      <c r="P25" t="s">
        <v>24</v>
      </c>
      <c r="Q25" s="21">
        <v>44584</v>
      </c>
      <c r="R25" s="21">
        <v>46379</v>
      </c>
      <c r="T25" t="s">
        <v>28</v>
      </c>
      <c r="U25" t="s">
        <v>47</v>
      </c>
      <c r="V25">
        <v>7933333.333333334</v>
      </c>
      <c r="W25">
        <v>11333333.333333334</v>
      </c>
      <c r="X25">
        <v>14733333.333333334</v>
      </c>
      <c r="Y25">
        <v>0</v>
      </c>
      <c r="Z25" t="s">
        <v>1039</v>
      </c>
      <c r="AA25" t="str">
        <f t="shared" si="0"/>
        <v>815161550000000044553</v>
      </c>
      <c r="AB25" t="str">
        <f>VLOOKUP(AA25,Balance!AA:AA,1,FALSE)</f>
        <v>815161550000000044553</v>
      </c>
    </row>
    <row r="26" spans="1:28" x14ac:dyDescent="0.25">
      <c r="A26" t="s">
        <v>407</v>
      </c>
      <c r="B26">
        <v>26024232</v>
      </c>
      <c r="C26" t="s">
        <v>451</v>
      </c>
      <c r="D26" t="s">
        <v>21</v>
      </c>
      <c r="F26" t="s">
        <v>452</v>
      </c>
      <c r="G26" t="s">
        <v>453</v>
      </c>
      <c r="H26">
        <v>0</v>
      </c>
      <c r="I26" s="21">
        <v>44925</v>
      </c>
      <c r="J26" t="s">
        <v>59</v>
      </c>
      <c r="K26" t="s">
        <v>60</v>
      </c>
      <c r="L26">
        <v>48</v>
      </c>
      <c r="M26" s="13">
        <v>400000000</v>
      </c>
      <c r="N26">
        <v>9911337</v>
      </c>
      <c r="O26">
        <v>7.5</v>
      </c>
      <c r="P26" t="s">
        <v>24</v>
      </c>
      <c r="Q26" s="21">
        <v>44956</v>
      </c>
      <c r="R26" s="21">
        <v>46386</v>
      </c>
      <c r="T26" t="s">
        <v>28</v>
      </c>
      <c r="U26" t="s">
        <v>72</v>
      </c>
      <c r="V26">
        <v>7933333.333333334</v>
      </c>
      <c r="W26">
        <v>11333333.333333334</v>
      </c>
      <c r="X26">
        <v>0</v>
      </c>
      <c r="Y26">
        <v>0</v>
      </c>
      <c r="Z26" t="s">
        <v>1039</v>
      </c>
      <c r="AA26" t="str">
        <f t="shared" si="0"/>
        <v>2602423240000000044925</v>
      </c>
      <c r="AB26" t="str">
        <f>VLOOKUP(AA26,Balance!AA:AA,1,FALSE)</f>
        <v>2602423240000000044925</v>
      </c>
    </row>
    <row r="27" spans="1:28" x14ac:dyDescent="0.25">
      <c r="A27" t="s">
        <v>750</v>
      </c>
      <c r="B27">
        <v>52318361</v>
      </c>
      <c r="C27" t="s">
        <v>774</v>
      </c>
      <c r="D27" t="s">
        <v>21</v>
      </c>
      <c r="F27" t="s">
        <v>775</v>
      </c>
      <c r="G27" t="s">
        <v>776</v>
      </c>
      <c r="H27">
        <v>0</v>
      </c>
      <c r="I27" s="21">
        <v>44742</v>
      </c>
      <c r="J27" t="s">
        <v>29</v>
      </c>
      <c r="K27" t="s">
        <v>30</v>
      </c>
      <c r="L27">
        <v>48</v>
      </c>
      <c r="M27" s="13">
        <v>500000000</v>
      </c>
      <c r="N27">
        <v>0</v>
      </c>
      <c r="O27">
        <v>6.25</v>
      </c>
      <c r="P27" t="s">
        <v>24</v>
      </c>
      <c r="Q27" s="21">
        <v>44772</v>
      </c>
      <c r="R27" s="21">
        <v>46203</v>
      </c>
      <c r="T27" t="s">
        <v>28</v>
      </c>
      <c r="U27" t="s">
        <v>49</v>
      </c>
      <c r="V27">
        <v>7791666.666666667</v>
      </c>
      <c r="W27">
        <v>12041666.666666668</v>
      </c>
      <c r="X27">
        <v>7614583.333333334</v>
      </c>
      <c r="Y27">
        <v>0</v>
      </c>
      <c r="Z27" t="s">
        <v>1039</v>
      </c>
      <c r="AA27" t="str">
        <f t="shared" si="0"/>
        <v>5231836150000000044742</v>
      </c>
      <c r="AB27" t="e">
        <f>VLOOKUP(AA27,Balance!AA:AA,1,FALSE)</f>
        <v>#N/A</v>
      </c>
    </row>
    <row r="28" spans="1:28" x14ac:dyDescent="0.25">
      <c r="A28" t="s">
        <v>330</v>
      </c>
      <c r="B28">
        <v>8126815</v>
      </c>
      <c r="C28" t="s">
        <v>352</v>
      </c>
      <c r="D28" t="s">
        <v>21</v>
      </c>
      <c r="F28" t="s">
        <v>353</v>
      </c>
      <c r="G28" t="s">
        <v>354</v>
      </c>
      <c r="H28">
        <v>0</v>
      </c>
      <c r="I28" s="21">
        <v>44323</v>
      </c>
      <c r="J28" t="s">
        <v>29</v>
      </c>
      <c r="K28" t="s">
        <v>30</v>
      </c>
      <c r="L28">
        <v>60</v>
      </c>
      <c r="M28" s="13">
        <v>600000000</v>
      </c>
      <c r="N28">
        <v>12560106</v>
      </c>
      <c r="O28">
        <v>8</v>
      </c>
      <c r="P28" t="s">
        <v>24</v>
      </c>
      <c r="Q28" s="21">
        <v>44354</v>
      </c>
      <c r="R28" s="21">
        <v>46149</v>
      </c>
      <c r="T28" t="s">
        <v>28</v>
      </c>
      <c r="U28" t="s">
        <v>72</v>
      </c>
      <c r="V28">
        <v>7140000.0000000009</v>
      </c>
      <c r="W28">
        <v>11220000</v>
      </c>
      <c r="X28">
        <v>15300000.000000002</v>
      </c>
      <c r="Y28">
        <v>19380000</v>
      </c>
      <c r="Z28" t="s">
        <v>1039</v>
      </c>
      <c r="AA28" t="str">
        <f t="shared" si="0"/>
        <v>812681560000000044323</v>
      </c>
      <c r="AB28" t="str">
        <f>VLOOKUP(AA28,Balance!AA:AA,1,FALSE)</f>
        <v>812681560000000044323</v>
      </c>
    </row>
    <row r="29" spans="1:28" x14ac:dyDescent="0.25">
      <c r="A29" t="s">
        <v>955</v>
      </c>
      <c r="B29">
        <v>26067168</v>
      </c>
      <c r="C29" t="s">
        <v>957</v>
      </c>
      <c r="D29" t="s">
        <v>21</v>
      </c>
      <c r="F29" t="s">
        <v>958</v>
      </c>
      <c r="G29" t="s">
        <v>959</v>
      </c>
      <c r="H29">
        <v>0</v>
      </c>
      <c r="I29" s="21">
        <v>44480</v>
      </c>
      <c r="J29" t="s">
        <v>62</v>
      </c>
      <c r="K29" t="s">
        <v>63</v>
      </c>
      <c r="L29">
        <v>60</v>
      </c>
      <c r="M29" s="13">
        <v>465000000</v>
      </c>
      <c r="N29">
        <v>9867297</v>
      </c>
      <c r="O29">
        <v>8.5</v>
      </c>
      <c r="P29" t="s">
        <v>24</v>
      </c>
      <c r="Q29" s="21">
        <v>44876</v>
      </c>
      <c r="R29" s="21">
        <v>46671</v>
      </c>
      <c r="S29">
        <v>44541</v>
      </c>
      <c r="T29" t="s">
        <v>25</v>
      </c>
      <c r="U29" t="s">
        <v>279</v>
      </c>
      <c r="V29">
        <v>10013000</v>
      </c>
      <c r="W29">
        <v>13175000.000000002</v>
      </c>
      <c r="X29">
        <v>7773250.0000000009</v>
      </c>
      <c r="Y29">
        <v>0</v>
      </c>
      <c r="Z29" t="s">
        <v>1039</v>
      </c>
      <c r="AA29" t="str">
        <f t="shared" si="0"/>
        <v>2606716846500000044480</v>
      </c>
      <c r="AB29" t="e">
        <f>VLOOKUP(AA29,Balance!AA:AA,1,FALSE)</f>
        <v>#N/A</v>
      </c>
    </row>
    <row r="30" spans="1:28" x14ac:dyDescent="0.25">
      <c r="A30" t="s">
        <v>656</v>
      </c>
      <c r="B30">
        <v>25949442</v>
      </c>
      <c r="C30" t="s">
        <v>668</v>
      </c>
      <c r="D30" t="s">
        <v>21</v>
      </c>
      <c r="F30" t="s">
        <v>669</v>
      </c>
      <c r="G30" t="s">
        <v>670</v>
      </c>
      <c r="H30">
        <v>0</v>
      </c>
      <c r="I30" s="21">
        <v>44456</v>
      </c>
      <c r="J30" t="s">
        <v>62</v>
      </c>
      <c r="K30" t="s">
        <v>63</v>
      </c>
      <c r="L30">
        <v>60</v>
      </c>
      <c r="M30" s="13">
        <v>475000000</v>
      </c>
      <c r="N30">
        <v>9674537</v>
      </c>
      <c r="O30">
        <v>7</v>
      </c>
      <c r="P30" t="s">
        <v>24</v>
      </c>
      <c r="Q30" s="21">
        <v>44578</v>
      </c>
      <c r="R30" s="21">
        <v>46373</v>
      </c>
      <c r="T30" t="s">
        <v>28</v>
      </c>
      <c r="U30" t="s">
        <v>141</v>
      </c>
      <c r="V30">
        <v>7536666.666666667</v>
      </c>
      <c r="W30">
        <v>10766666.666666668</v>
      </c>
      <c r="X30">
        <v>13996666.666666668</v>
      </c>
      <c r="Y30">
        <v>0</v>
      </c>
      <c r="Z30" t="s">
        <v>1039</v>
      </c>
      <c r="AA30" t="str">
        <f t="shared" si="0"/>
        <v>2594944247500000044456</v>
      </c>
      <c r="AB30" t="str">
        <f>VLOOKUP(AA30,Balance!AA:AA,1,FALSE)</f>
        <v>2594944247500000044456</v>
      </c>
    </row>
    <row r="31" spans="1:28" x14ac:dyDescent="0.25">
      <c r="A31" t="s">
        <v>330</v>
      </c>
      <c r="B31">
        <v>8126815</v>
      </c>
      <c r="C31" t="s">
        <v>352</v>
      </c>
      <c r="D31" t="s">
        <v>21</v>
      </c>
      <c r="F31" t="s">
        <v>353</v>
      </c>
      <c r="G31" t="s">
        <v>356</v>
      </c>
      <c r="H31">
        <v>0</v>
      </c>
      <c r="I31" s="21">
        <v>45069</v>
      </c>
      <c r="J31" t="s">
        <v>29</v>
      </c>
      <c r="K31" t="s">
        <v>30</v>
      </c>
      <c r="L31">
        <v>60</v>
      </c>
      <c r="M31" s="13">
        <v>250000000</v>
      </c>
      <c r="N31">
        <v>5162332</v>
      </c>
      <c r="O31">
        <v>7.5</v>
      </c>
      <c r="P31" t="s">
        <v>24</v>
      </c>
      <c r="Q31" s="21">
        <v>45100</v>
      </c>
      <c r="R31" s="21">
        <v>46896</v>
      </c>
      <c r="T31" t="s">
        <v>28</v>
      </c>
      <c r="U31" t="s">
        <v>72</v>
      </c>
      <c r="V31">
        <v>6375000</v>
      </c>
      <c r="W31">
        <v>8075000.0000000009</v>
      </c>
      <c r="X31">
        <v>0</v>
      </c>
      <c r="Y31">
        <v>0</v>
      </c>
      <c r="Z31" t="s">
        <v>1039</v>
      </c>
      <c r="AA31" t="str">
        <f t="shared" si="0"/>
        <v>812681525000000045069</v>
      </c>
      <c r="AB31" t="str">
        <f>VLOOKUP(AA31,Balance!AA:AA,1,FALSE)</f>
        <v>812681525000000045069</v>
      </c>
    </row>
    <row r="32" spans="1:28" x14ac:dyDescent="0.25">
      <c r="A32" t="s">
        <v>656</v>
      </c>
      <c r="B32">
        <v>9512140</v>
      </c>
      <c r="C32" t="s">
        <v>32</v>
      </c>
      <c r="D32" t="s">
        <v>21</v>
      </c>
      <c r="F32" t="s">
        <v>661</v>
      </c>
      <c r="G32" t="s">
        <v>662</v>
      </c>
      <c r="H32">
        <v>0</v>
      </c>
      <c r="I32" s="21">
        <v>44978</v>
      </c>
      <c r="J32" t="s">
        <v>29</v>
      </c>
      <c r="K32" t="s">
        <v>30</v>
      </c>
      <c r="L32">
        <v>48</v>
      </c>
      <c r="M32" s="13">
        <v>300000000</v>
      </c>
      <c r="N32">
        <v>7433503</v>
      </c>
      <c r="O32">
        <v>7.5</v>
      </c>
      <c r="P32" t="s">
        <v>24</v>
      </c>
      <c r="Q32" s="21">
        <v>45006</v>
      </c>
      <c r="R32" s="21">
        <v>46439</v>
      </c>
      <c r="T32" t="s">
        <v>28</v>
      </c>
      <c r="U32" t="s">
        <v>34</v>
      </c>
      <c r="V32">
        <v>6375000</v>
      </c>
      <c r="W32">
        <v>8925000</v>
      </c>
      <c r="X32">
        <v>0</v>
      </c>
      <c r="Y32">
        <v>0</v>
      </c>
      <c r="Z32" t="s">
        <v>1039</v>
      </c>
      <c r="AA32" t="str">
        <f t="shared" si="0"/>
        <v>951214030000000044978</v>
      </c>
      <c r="AB32" t="str">
        <f>VLOOKUP(AA32,Balance!AA:AA,1,FALSE)</f>
        <v>951214030000000044978</v>
      </c>
    </row>
    <row r="33" spans="1:28" x14ac:dyDescent="0.25">
      <c r="A33" t="s">
        <v>528</v>
      </c>
      <c r="B33">
        <v>26054343</v>
      </c>
      <c r="C33" t="s">
        <v>550</v>
      </c>
      <c r="D33" t="s">
        <v>21</v>
      </c>
      <c r="F33" t="s">
        <v>551</v>
      </c>
      <c r="G33" t="s">
        <v>552</v>
      </c>
      <c r="H33">
        <v>0</v>
      </c>
      <c r="I33" s="21">
        <v>45183</v>
      </c>
      <c r="J33" t="s">
        <v>62</v>
      </c>
      <c r="K33" t="s">
        <v>63</v>
      </c>
      <c r="L33">
        <v>84</v>
      </c>
      <c r="M33" s="13">
        <v>200000000</v>
      </c>
      <c r="N33">
        <v>3254475</v>
      </c>
      <c r="O33">
        <v>8</v>
      </c>
      <c r="P33" t="s">
        <v>24</v>
      </c>
      <c r="Q33" s="21">
        <v>45213</v>
      </c>
      <c r="R33" s="21">
        <v>47740</v>
      </c>
      <c r="T33" t="s">
        <v>28</v>
      </c>
      <c r="U33" t="s">
        <v>498</v>
      </c>
      <c r="V33">
        <v>5909523.8095238097</v>
      </c>
      <c r="W33">
        <v>3319047.6190476189</v>
      </c>
      <c r="X33">
        <v>0</v>
      </c>
      <c r="Y33">
        <v>0</v>
      </c>
      <c r="Z33" t="s">
        <v>1040</v>
      </c>
      <c r="AA33" t="str">
        <f t="shared" si="0"/>
        <v>2605434320000000045183</v>
      </c>
      <c r="AB33" t="e">
        <f>VLOOKUP(AA33,Balance!AA:AA,1,FALSE)</f>
        <v>#N/A</v>
      </c>
    </row>
    <row r="34" spans="1:28" x14ac:dyDescent="0.25">
      <c r="A34" t="s">
        <v>407</v>
      </c>
      <c r="B34">
        <v>26052612</v>
      </c>
      <c r="C34" t="s">
        <v>474</v>
      </c>
      <c r="D34" t="s">
        <v>21</v>
      </c>
      <c r="F34" t="s">
        <v>475</v>
      </c>
      <c r="G34" t="s">
        <v>476</v>
      </c>
      <c r="H34">
        <v>0</v>
      </c>
      <c r="I34" s="21">
        <v>44375</v>
      </c>
      <c r="J34" t="s">
        <v>62</v>
      </c>
      <c r="K34" t="s">
        <v>63</v>
      </c>
      <c r="L34">
        <v>114</v>
      </c>
      <c r="M34" s="13">
        <v>260000000</v>
      </c>
      <c r="N34">
        <v>3575752</v>
      </c>
      <c r="O34">
        <v>8.75</v>
      </c>
      <c r="P34" t="s">
        <v>24</v>
      </c>
      <c r="Q34" s="21">
        <v>44436</v>
      </c>
      <c r="R34" s="21">
        <v>47876</v>
      </c>
      <c r="T34" t="s">
        <v>28</v>
      </c>
      <c r="U34" t="s">
        <v>256</v>
      </c>
      <c r="V34">
        <v>5970877.1929824566</v>
      </c>
      <c r="W34">
        <v>6901403.5087719308</v>
      </c>
      <c r="X34">
        <v>7831929.8245614041</v>
      </c>
      <c r="Y34">
        <v>4264912.2807017546</v>
      </c>
      <c r="Z34" t="s">
        <v>1039</v>
      </c>
      <c r="AA34" t="str">
        <f t="shared" si="0"/>
        <v>2605261226000000044375</v>
      </c>
      <c r="AB34" t="e">
        <f>VLOOKUP(AA34,Balance!AA:AA,1,FALSE)</f>
        <v>#N/A</v>
      </c>
    </row>
    <row r="35" spans="1:28" x14ac:dyDescent="0.25">
      <c r="A35" t="s">
        <v>257</v>
      </c>
      <c r="B35">
        <v>26002353</v>
      </c>
      <c r="C35" t="s">
        <v>276</v>
      </c>
      <c r="D35" t="s">
        <v>21</v>
      </c>
      <c r="F35" t="s">
        <v>277</v>
      </c>
      <c r="G35" t="s">
        <v>278</v>
      </c>
      <c r="H35">
        <v>0</v>
      </c>
      <c r="I35" s="21">
        <v>44575</v>
      </c>
      <c r="J35" t="s">
        <v>29</v>
      </c>
      <c r="K35" t="s">
        <v>30</v>
      </c>
      <c r="L35">
        <v>41</v>
      </c>
      <c r="M35" s="13">
        <v>700000000</v>
      </c>
      <c r="N35">
        <v>19918110</v>
      </c>
      <c r="O35">
        <v>7.75</v>
      </c>
      <c r="P35" t="s">
        <v>24</v>
      </c>
      <c r="Q35" s="21">
        <v>44606</v>
      </c>
      <c r="R35" s="21">
        <v>45822</v>
      </c>
      <c r="S35">
        <v>44575</v>
      </c>
      <c r="T35" t="s">
        <v>25</v>
      </c>
      <c r="U35" t="s">
        <v>279</v>
      </c>
      <c r="V35">
        <v>5804878.0487804879</v>
      </c>
      <c r="W35">
        <v>12770731.707317075</v>
      </c>
      <c r="X35">
        <v>19736585.36585366</v>
      </c>
      <c r="Y35">
        <v>0</v>
      </c>
      <c r="Z35" t="s">
        <v>1039</v>
      </c>
      <c r="AA35" t="str">
        <f t="shared" si="0"/>
        <v>2600235370000000044575</v>
      </c>
      <c r="AB35" t="e">
        <f>VLOOKUP(AA35,Balance!AA:AA,1,FALSE)</f>
        <v>#N/A</v>
      </c>
    </row>
    <row r="36" spans="1:28" x14ac:dyDescent="0.25">
      <c r="A36" t="s">
        <v>26</v>
      </c>
      <c r="B36">
        <v>26057767</v>
      </c>
      <c r="C36" t="s">
        <v>184</v>
      </c>
      <c r="D36" t="s">
        <v>21</v>
      </c>
      <c r="F36" t="s">
        <v>185</v>
      </c>
      <c r="G36" t="s">
        <v>186</v>
      </c>
      <c r="H36">
        <v>0</v>
      </c>
      <c r="I36" s="21">
        <v>44316</v>
      </c>
      <c r="J36" t="s">
        <v>62</v>
      </c>
      <c r="K36" t="s">
        <v>63</v>
      </c>
      <c r="L36">
        <v>60</v>
      </c>
      <c r="M36" s="13">
        <v>465000000</v>
      </c>
      <c r="N36">
        <v>9734082</v>
      </c>
      <c r="O36">
        <v>8</v>
      </c>
      <c r="P36" t="s">
        <v>24</v>
      </c>
      <c r="Q36" s="21">
        <v>44346</v>
      </c>
      <c r="R36" s="21">
        <v>46142</v>
      </c>
      <c r="T36" t="s">
        <v>28</v>
      </c>
      <c r="U36" t="s">
        <v>141</v>
      </c>
      <c r="V36">
        <v>5270000</v>
      </c>
      <c r="W36">
        <v>8432000</v>
      </c>
      <c r="X36">
        <v>11594000</v>
      </c>
      <c r="Y36">
        <v>14756000.000000002</v>
      </c>
      <c r="Z36" t="s">
        <v>1039</v>
      </c>
      <c r="AA36" t="str">
        <f t="shared" si="0"/>
        <v>2605776746500000044316</v>
      </c>
      <c r="AB36" t="str">
        <f>VLOOKUP(AA36,Balance!AA:AA,1,FALSE)</f>
        <v>2605776746500000044316</v>
      </c>
    </row>
    <row r="37" spans="1:28" x14ac:dyDescent="0.25">
      <c r="A37" t="s">
        <v>330</v>
      </c>
      <c r="B37">
        <v>8122915</v>
      </c>
      <c r="C37" t="s">
        <v>348</v>
      </c>
      <c r="D37" t="s">
        <v>21</v>
      </c>
      <c r="F37" t="s">
        <v>349</v>
      </c>
      <c r="G37" t="s">
        <v>350</v>
      </c>
      <c r="H37">
        <v>0</v>
      </c>
      <c r="I37" s="21">
        <v>44328</v>
      </c>
      <c r="J37" t="s">
        <v>29</v>
      </c>
      <c r="K37" t="s">
        <v>30</v>
      </c>
      <c r="L37">
        <v>72</v>
      </c>
      <c r="M37" s="13">
        <v>300000000</v>
      </c>
      <c r="N37">
        <v>5461418</v>
      </c>
      <c r="O37">
        <v>8</v>
      </c>
      <c r="P37" t="s">
        <v>24</v>
      </c>
      <c r="Q37" s="21">
        <v>44724</v>
      </c>
      <c r="R37" s="21">
        <v>46885</v>
      </c>
      <c r="T37" t="s">
        <v>28</v>
      </c>
      <c r="U37" t="s">
        <v>47</v>
      </c>
      <c r="V37">
        <v>6375000</v>
      </c>
      <c r="W37">
        <v>8075000.0000000009</v>
      </c>
      <c r="X37">
        <v>9775000</v>
      </c>
      <c r="Y37">
        <v>0</v>
      </c>
      <c r="Z37" t="s">
        <v>1039</v>
      </c>
      <c r="AA37" t="str">
        <f t="shared" si="0"/>
        <v>812291530000000044328</v>
      </c>
      <c r="AB37" t="str">
        <f>VLOOKUP(AA37,Balance!AA:AA,1,FALSE)</f>
        <v>812291530000000044328</v>
      </c>
    </row>
    <row r="38" spans="1:28" x14ac:dyDescent="0.25">
      <c r="A38" t="s">
        <v>330</v>
      </c>
      <c r="B38">
        <v>8151615</v>
      </c>
      <c r="C38" t="s">
        <v>367</v>
      </c>
      <c r="D38" t="s">
        <v>21</v>
      </c>
      <c r="F38" t="s">
        <v>368</v>
      </c>
      <c r="G38" t="s">
        <v>371</v>
      </c>
      <c r="H38">
        <v>0</v>
      </c>
      <c r="I38" s="21">
        <v>45041</v>
      </c>
      <c r="J38" t="s">
        <v>29</v>
      </c>
      <c r="K38" t="s">
        <v>30</v>
      </c>
      <c r="L38">
        <v>48</v>
      </c>
      <c r="M38" s="13">
        <v>200000000</v>
      </c>
      <c r="N38">
        <v>4900441</v>
      </c>
      <c r="O38">
        <v>7</v>
      </c>
      <c r="P38" t="s">
        <v>24</v>
      </c>
      <c r="Q38" s="21">
        <v>45071</v>
      </c>
      <c r="R38" s="21">
        <v>46502</v>
      </c>
      <c r="T38" t="s">
        <v>28</v>
      </c>
      <c r="U38" t="s">
        <v>47</v>
      </c>
      <c r="V38">
        <v>4533333.333333334</v>
      </c>
      <c r="W38">
        <v>6233333.333333334</v>
      </c>
      <c r="X38">
        <v>0</v>
      </c>
      <c r="Y38">
        <v>0</v>
      </c>
      <c r="Z38" t="s">
        <v>1040</v>
      </c>
      <c r="AA38" t="str">
        <f t="shared" si="0"/>
        <v>815161520000000045041</v>
      </c>
      <c r="AB38" t="str">
        <f>VLOOKUP(AA38,Balance!AA:AA,1,FALSE)</f>
        <v>815161520000000045041</v>
      </c>
    </row>
    <row r="39" spans="1:28" x14ac:dyDescent="0.25">
      <c r="A39" t="s">
        <v>257</v>
      </c>
      <c r="B39">
        <v>26002353</v>
      </c>
      <c r="C39" t="s">
        <v>276</v>
      </c>
      <c r="D39" t="s">
        <v>21</v>
      </c>
      <c r="F39" t="s">
        <v>277</v>
      </c>
      <c r="G39" t="s">
        <v>280</v>
      </c>
      <c r="H39">
        <v>0</v>
      </c>
      <c r="I39" s="21">
        <v>44902</v>
      </c>
      <c r="J39" t="s">
        <v>29</v>
      </c>
      <c r="K39" t="s">
        <v>30</v>
      </c>
      <c r="L39">
        <v>30</v>
      </c>
      <c r="M39" s="13">
        <v>400000000</v>
      </c>
      <c r="N39">
        <v>15005815</v>
      </c>
      <c r="O39">
        <v>8</v>
      </c>
      <c r="P39" t="s">
        <v>24</v>
      </c>
      <c r="Q39" s="21">
        <v>44933</v>
      </c>
      <c r="R39" s="21">
        <v>45815</v>
      </c>
      <c r="S39">
        <v>44902</v>
      </c>
      <c r="T39" t="s">
        <v>25</v>
      </c>
      <c r="U39" t="s">
        <v>279</v>
      </c>
      <c r="V39">
        <v>4533333.333333334</v>
      </c>
      <c r="W39">
        <v>9973333.333333334</v>
      </c>
      <c r="X39">
        <v>0</v>
      </c>
      <c r="Y39">
        <v>0</v>
      </c>
      <c r="Z39" t="s">
        <v>1039</v>
      </c>
      <c r="AA39" t="str">
        <f t="shared" si="0"/>
        <v>2600235340000000044902</v>
      </c>
      <c r="AB39" t="e">
        <f>VLOOKUP(AA39,Balance!AA:AA,1,FALSE)</f>
        <v>#N/A</v>
      </c>
    </row>
    <row r="40" spans="1:28" x14ac:dyDescent="0.25">
      <c r="A40" t="s">
        <v>291</v>
      </c>
      <c r="B40">
        <v>39003912</v>
      </c>
      <c r="C40" t="s">
        <v>293</v>
      </c>
      <c r="D40" t="s">
        <v>21</v>
      </c>
      <c r="F40" t="s">
        <v>294</v>
      </c>
      <c r="G40" t="s">
        <v>295</v>
      </c>
      <c r="H40">
        <v>0</v>
      </c>
      <c r="I40" s="21">
        <v>44593</v>
      </c>
      <c r="J40" t="s">
        <v>50</v>
      </c>
      <c r="K40" t="s">
        <v>51</v>
      </c>
      <c r="L40">
        <v>60</v>
      </c>
      <c r="M40" s="13">
        <v>245000000</v>
      </c>
      <c r="N40">
        <v>5212641</v>
      </c>
      <c r="O40">
        <v>8</v>
      </c>
      <c r="P40" t="s">
        <v>24</v>
      </c>
      <c r="Q40" s="21">
        <v>44621</v>
      </c>
      <c r="R40" s="21">
        <v>46419</v>
      </c>
      <c r="T40" t="s">
        <v>28</v>
      </c>
      <c r="U40" t="s">
        <v>83</v>
      </c>
      <c r="V40">
        <v>4165000.0000000005</v>
      </c>
      <c r="W40">
        <v>5831000</v>
      </c>
      <c r="X40">
        <v>7497000.0000000009</v>
      </c>
      <c r="Y40">
        <v>0</v>
      </c>
      <c r="Z40" t="s">
        <v>1039</v>
      </c>
      <c r="AA40" t="str">
        <f t="shared" si="0"/>
        <v>3900391224500000044593</v>
      </c>
      <c r="AB40" t="str">
        <f>VLOOKUP(AA40,Balance!AA:AA,1,FALSE)</f>
        <v>3900391224500000044593</v>
      </c>
    </row>
    <row r="41" spans="1:28" x14ac:dyDescent="0.25">
      <c r="A41" t="s">
        <v>26</v>
      </c>
      <c r="B41">
        <v>26015351</v>
      </c>
      <c r="C41" t="s">
        <v>163</v>
      </c>
      <c r="D41" t="s">
        <v>21</v>
      </c>
      <c r="F41" t="s">
        <v>164</v>
      </c>
      <c r="G41" t="s">
        <v>166</v>
      </c>
      <c r="H41">
        <v>0</v>
      </c>
      <c r="I41" s="21">
        <v>45071</v>
      </c>
      <c r="J41" t="s">
        <v>39</v>
      </c>
      <c r="K41" t="s">
        <v>40</v>
      </c>
      <c r="L41">
        <v>24</v>
      </c>
      <c r="M41" s="13">
        <v>350000000</v>
      </c>
      <c r="N41">
        <v>15859899</v>
      </c>
      <c r="O41">
        <v>7</v>
      </c>
      <c r="P41" t="s">
        <v>24</v>
      </c>
      <c r="Q41" s="21">
        <v>45102</v>
      </c>
      <c r="R41" s="21">
        <v>45802</v>
      </c>
      <c r="T41" t="s">
        <v>28</v>
      </c>
      <c r="U41" t="s">
        <v>141</v>
      </c>
      <c r="V41">
        <v>4462500</v>
      </c>
      <c r="W41">
        <v>10412500</v>
      </c>
      <c r="X41">
        <v>0</v>
      </c>
      <c r="Y41">
        <v>0</v>
      </c>
      <c r="Z41" t="s">
        <v>1039</v>
      </c>
      <c r="AA41" t="str">
        <f t="shared" si="0"/>
        <v>2601535135000000045071</v>
      </c>
      <c r="AB41" t="str">
        <f>VLOOKUP(AA41,Balance!AA:AA,1,FALSE)</f>
        <v>2601535135000000045071</v>
      </c>
    </row>
    <row r="42" spans="1:28" x14ac:dyDescent="0.25">
      <c r="A42" t="s">
        <v>26</v>
      </c>
      <c r="B42">
        <v>15474605</v>
      </c>
      <c r="C42" t="s">
        <v>69</v>
      </c>
      <c r="D42" t="s">
        <v>21</v>
      </c>
      <c r="F42" t="s">
        <v>70</v>
      </c>
      <c r="G42" t="s">
        <v>71</v>
      </c>
      <c r="H42">
        <v>0</v>
      </c>
      <c r="I42" s="21">
        <v>44727</v>
      </c>
      <c r="J42" t="s">
        <v>29</v>
      </c>
      <c r="K42" t="s">
        <v>30</v>
      </c>
      <c r="L42">
        <v>60</v>
      </c>
      <c r="M42" s="13">
        <v>207000000</v>
      </c>
      <c r="N42">
        <v>4333237</v>
      </c>
      <c r="O42">
        <v>8</v>
      </c>
      <c r="P42" t="s">
        <v>24</v>
      </c>
      <c r="Q42" s="21">
        <v>44757</v>
      </c>
      <c r="R42" s="21">
        <v>46553</v>
      </c>
      <c r="T42" t="s">
        <v>28</v>
      </c>
      <c r="U42" t="s">
        <v>72</v>
      </c>
      <c r="V42">
        <v>3988200.0000000005</v>
      </c>
      <c r="W42">
        <v>5395800</v>
      </c>
      <c r="X42">
        <v>3225750</v>
      </c>
      <c r="Y42">
        <v>0</v>
      </c>
      <c r="Z42" t="s">
        <v>1039</v>
      </c>
      <c r="AA42" t="str">
        <f t="shared" si="0"/>
        <v>1547460520700000044727</v>
      </c>
      <c r="AB42" t="str">
        <f>VLOOKUP(AA42,Balance!AA:AA,1,FALSE)</f>
        <v>1547460520700000044727</v>
      </c>
    </row>
    <row r="43" spans="1:28" x14ac:dyDescent="0.25">
      <c r="A43" t="s">
        <v>257</v>
      </c>
      <c r="B43">
        <v>24234611</v>
      </c>
      <c r="C43" t="s">
        <v>259</v>
      </c>
      <c r="D43" t="s">
        <v>21</v>
      </c>
      <c r="F43" t="s">
        <v>260</v>
      </c>
      <c r="G43" t="s">
        <v>261</v>
      </c>
      <c r="H43">
        <v>0</v>
      </c>
      <c r="I43" s="21">
        <v>45289</v>
      </c>
      <c r="J43" t="s">
        <v>59</v>
      </c>
      <c r="K43" t="s">
        <v>60</v>
      </c>
      <c r="L43">
        <v>36</v>
      </c>
      <c r="M43" s="13">
        <v>150000000</v>
      </c>
      <c r="N43">
        <v>4959845</v>
      </c>
      <c r="O43">
        <v>9.99</v>
      </c>
      <c r="P43" t="s">
        <v>24</v>
      </c>
      <c r="Q43" s="21">
        <v>45320</v>
      </c>
      <c r="R43" s="21">
        <v>46385</v>
      </c>
      <c r="T43" t="s">
        <v>28</v>
      </c>
      <c r="U43" t="s">
        <v>262</v>
      </c>
      <c r="V43">
        <v>3966666.666666667</v>
      </c>
      <c r="W43">
        <v>0</v>
      </c>
      <c r="X43">
        <v>0</v>
      </c>
      <c r="Y43">
        <v>0</v>
      </c>
      <c r="Z43" t="s">
        <v>1040</v>
      </c>
      <c r="AA43" t="str">
        <f t="shared" si="0"/>
        <v>2423461115000000045289</v>
      </c>
      <c r="AB43" t="e">
        <f>VLOOKUP(AA43,Balance!AA:AA,1,FALSE)</f>
        <v>#N/A</v>
      </c>
    </row>
    <row r="44" spans="1:28" x14ac:dyDescent="0.25">
      <c r="A44" t="s">
        <v>702</v>
      </c>
      <c r="B44">
        <v>27516560</v>
      </c>
      <c r="C44" t="s">
        <v>739</v>
      </c>
      <c r="D44" t="s">
        <v>21</v>
      </c>
      <c r="F44" t="s">
        <v>740</v>
      </c>
      <c r="G44" t="s">
        <v>741</v>
      </c>
      <c r="H44">
        <v>0</v>
      </c>
      <c r="I44" s="21">
        <v>44207</v>
      </c>
      <c r="J44" t="s">
        <v>62</v>
      </c>
      <c r="K44" t="s">
        <v>63</v>
      </c>
      <c r="L44">
        <v>120</v>
      </c>
      <c r="M44" s="13">
        <v>174000000</v>
      </c>
      <c r="N44">
        <v>2238202</v>
      </c>
      <c r="O44">
        <v>8</v>
      </c>
      <c r="P44" t="s">
        <v>24</v>
      </c>
      <c r="Q44" s="21">
        <v>44572</v>
      </c>
      <c r="R44" s="21">
        <v>48193</v>
      </c>
      <c r="T44" t="s">
        <v>28</v>
      </c>
      <c r="U44" t="s">
        <v>707</v>
      </c>
      <c r="V44">
        <v>4338400</v>
      </c>
      <c r="W44">
        <v>4930000</v>
      </c>
      <c r="X44">
        <v>5521600</v>
      </c>
      <c r="Y44">
        <v>0</v>
      </c>
      <c r="Z44" t="s">
        <v>1040</v>
      </c>
      <c r="AA44" t="str">
        <f t="shared" si="0"/>
        <v>2751656017400000044207</v>
      </c>
      <c r="AB44" t="e">
        <f>VLOOKUP(AA44,Balance!AA:AA,1,FALSE)</f>
        <v>#N/A</v>
      </c>
    </row>
    <row r="45" spans="1:28" x14ac:dyDescent="0.25">
      <c r="A45" t="s">
        <v>857</v>
      </c>
      <c r="B45">
        <v>25951660</v>
      </c>
      <c r="C45" t="s">
        <v>859</v>
      </c>
      <c r="D45" t="s">
        <v>21</v>
      </c>
      <c r="F45" t="s">
        <v>860</v>
      </c>
      <c r="G45" t="s">
        <v>862</v>
      </c>
      <c r="H45">
        <v>0</v>
      </c>
      <c r="I45" s="21">
        <v>45280</v>
      </c>
      <c r="J45" t="s">
        <v>62</v>
      </c>
      <c r="K45" t="s">
        <v>63</v>
      </c>
      <c r="L45">
        <v>60</v>
      </c>
      <c r="M45" s="13">
        <v>120000000</v>
      </c>
      <c r="N45">
        <v>2622816</v>
      </c>
      <c r="O45">
        <v>9</v>
      </c>
      <c r="P45" t="s">
        <v>24</v>
      </c>
      <c r="Q45" s="21">
        <v>45311</v>
      </c>
      <c r="R45" s="21">
        <v>47107</v>
      </c>
      <c r="T45" t="s">
        <v>28</v>
      </c>
      <c r="U45" t="s">
        <v>416</v>
      </c>
      <c r="V45">
        <v>3536000.0000000005</v>
      </c>
      <c r="W45">
        <v>0</v>
      </c>
      <c r="X45">
        <v>0</v>
      </c>
      <c r="Y45">
        <v>0</v>
      </c>
      <c r="Z45" t="s">
        <v>1040</v>
      </c>
      <c r="AA45" t="str">
        <f t="shared" si="0"/>
        <v>2595166012000000045280</v>
      </c>
      <c r="AB45" t="e">
        <f>VLOOKUP(AA45,Balance!AA:AA,1,FALSE)</f>
        <v>#N/A</v>
      </c>
    </row>
    <row r="46" spans="1:28" x14ac:dyDescent="0.25">
      <c r="A46" t="s">
        <v>796</v>
      </c>
      <c r="B46">
        <v>55393364</v>
      </c>
      <c r="C46" t="s">
        <v>814</v>
      </c>
      <c r="D46" t="s">
        <v>21</v>
      </c>
      <c r="F46" t="s">
        <v>815</v>
      </c>
      <c r="G46" t="s">
        <v>816</v>
      </c>
      <c r="H46">
        <v>0</v>
      </c>
      <c r="I46" s="21">
        <v>44441</v>
      </c>
      <c r="J46" t="s">
        <v>62</v>
      </c>
      <c r="K46" t="s">
        <v>63</v>
      </c>
      <c r="L46">
        <v>78</v>
      </c>
      <c r="M46" s="13">
        <v>180000000</v>
      </c>
      <c r="N46">
        <v>3306066</v>
      </c>
      <c r="O46">
        <v>10</v>
      </c>
      <c r="P46" t="s">
        <v>24</v>
      </c>
      <c r="Q46" s="21">
        <v>44653</v>
      </c>
      <c r="R46" s="21">
        <v>46998</v>
      </c>
      <c r="T46" t="s">
        <v>28</v>
      </c>
      <c r="U46" t="s">
        <v>641</v>
      </c>
      <c r="V46">
        <v>3844615.384615385</v>
      </c>
      <c r="W46">
        <v>4786153.846153846</v>
      </c>
      <c r="X46">
        <v>5727692.307692308</v>
      </c>
      <c r="Y46">
        <v>0</v>
      </c>
      <c r="Z46" t="s">
        <v>1040</v>
      </c>
      <c r="AA46" t="str">
        <f t="shared" si="0"/>
        <v>5539336418000000044441</v>
      </c>
      <c r="AB46" t="e">
        <f>VLOOKUP(AA46,Balance!AA:AA,1,FALSE)</f>
        <v>#N/A</v>
      </c>
    </row>
    <row r="47" spans="1:28" x14ac:dyDescent="0.25">
      <c r="A47" t="s">
        <v>257</v>
      </c>
      <c r="B47">
        <v>25940540</v>
      </c>
      <c r="C47" t="s">
        <v>264</v>
      </c>
      <c r="D47" t="s">
        <v>21</v>
      </c>
      <c r="F47" t="s">
        <v>265</v>
      </c>
      <c r="G47" t="s">
        <v>266</v>
      </c>
      <c r="H47">
        <v>1</v>
      </c>
      <c r="I47" s="21">
        <v>44545</v>
      </c>
      <c r="J47" t="s">
        <v>62</v>
      </c>
      <c r="K47" t="s">
        <v>63</v>
      </c>
      <c r="L47">
        <v>81</v>
      </c>
      <c r="M47" s="13">
        <v>150000000</v>
      </c>
      <c r="N47">
        <v>293237</v>
      </c>
      <c r="O47">
        <v>9</v>
      </c>
      <c r="P47" t="s">
        <v>24</v>
      </c>
      <c r="Q47" s="21">
        <v>44576</v>
      </c>
      <c r="R47" s="21">
        <v>47011</v>
      </c>
      <c r="T47" t="s">
        <v>28</v>
      </c>
      <c r="U47" t="s">
        <v>262</v>
      </c>
      <c r="V47">
        <v>3085185.1851851852</v>
      </c>
      <c r="W47">
        <v>3840740.7407407411</v>
      </c>
      <c r="X47">
        <v>4596296.2962962966</v>
      </c>
      <c r="Y47">
        <v>0</v>
      </c>
      <c r="Z47" t="s">
        <v>1040</v>
      </c>
      <c r="AA47" t="str">
        <f t="shared" si="0"/>
        <v>2594054015000000044545</v>
      </c>
      <c r="AB47" t="e">
        <f>VLOOKUP(AA47,Balance!AA:AA,1,FALSE)</f>
        <v>#N/A</v>
      </c>
    </row>
    <row r="48" spans="1:28" x14ac:dyDescent="0.25">
      <c r="A48" t="s">
        <v>330</v>
      </c>
      <c r="B48">
        <v>8176615</v>
      </c>
      <c r="C48" t="s">
        <v>379</v>
      </c>
      <c r="D48" t="s">
        <v>21</v>
      </c>
      <c r="F48" t="s">
        <v>380</v>
      </c>
      <c r="G48" t="s">
        <v>381</v>
      </c>
      <c r="H48">
        <v>0</v>
      </c>
      <c r="I48" s="21">
        <v>44300</v>
      </c>
      <c r="J48" t="s">
        <v>62</v>
      </c>
      <c r="K48" t="s">
        <v>63</v>
      </c>
      <c r="L48">
        <v>60</v>
      </c>
      <c r="M48" s="13">
        <v>275000000</v>
      </c>
      <c r="N48">
        <v>5576008</v>
      </c>
      <c r="O48">
        <v>8</v>
      </c>
      <c r="P48" t="s">
        <v>24</v>
      </c>
      <c r="Q48" s="21">
        <v>44330</v>
      </c>
      <c r="R48" s="21">
        <v>46126</v>
      </c>
      <c r="T48" t="s">
        <v>28</v>
      </c>
      <c r="U48" t="s">
        <v>141</v>
      </c>
      <c r="V48">
        <v>3116666.666666667</v>
      </c>
      <c r="W48">
        <v>4986666.666666667</v>
      </c>
      <c r="X48">
        <v>6856666.666666667</v>
      </c>
      <c r="Y48">
        <v>8726666.6666666679</v>
      </c>
      <c r="Z48" t="s">
        <v>1039</v>
      </c>
      <c r="AA48" t="str">
        <f t="shared" si="0"/>
        <v>817661527500000044300</v>
      </c>
      <c r="AB48" t="str">
        <f>VLOOKUP(AA48,Balance!AA:AA,1,FALSE)</f>
        <v>817661527500000044300</v>
      </c>
    </row>
    <row r="49" spans="1:28" x14ac:dyDescent="0.25">
      <c r="A49" t="s">
        <v>26</v>
      </c>
      <c r="B49">
        <v>26079622</v>
      </c>
      <c r="C49" t="s">
        <v>219</v>
      </c>
      <c r="D49" t="s">
        <v>21</v>
      </c>
      <c r="F49" t="s">
        <v>220</v>
      </c>
      <c r="G49" t="s">
        <v>221</v>
      </c>
      <c r="H49">
        <v>1</v>
      </c>
      <c r="I49" s="21">
        <v>45232</v>
      </c>
      <c r="J49" t="s">
        <v>62</v>
      </c>
      <c r="K49" t="s">
        <v>63</v>
      </c>
      <c r="L49">
        <v>48</v>
      </c>
      <c r="M49" s="13">
        <v>105000000</v>
      </c>
      <c r="N49">
        <v>2689877</v>
      </c>
      <c r="O49">
        <v>9</v>
      </c>
      <c r="P49" t="s">
        <v>24</v>
      </c>
      <c r="Q49" s="21">
        <v>45262</v>
      </c>
      <c r="R49" s="21">
        <v>46693</v>
      </c>
      <c r="T49" t="s">
        <v>28</v>
      </c>
      <c r="U49" t="s">
        <v>96</v>
      </c>
      <c r="V49">
        <v>2900625</v>
      </c>
      <c r="W49">
        <v>1785000.0000000002</v>
      </c>
      <c r="X49">
        <v>0</v>
      </c>
      <c r="Y49">
        <v>0</v>
      </c>
      <c r="Z49" t="s">
        <v>1040</v>
      </c>
      <c r="AA49" t="str">
        <f t="shared" si="0"/>
        <v>2607962210500000045232</v>
      </c>
      <c r="AB49" t="e">
        <f>VLOOKUP(AA49,Balance!AA:AA,1,FALSE)</f>
        <v>#N/A</v>
      </c>
    </row>
    <row r="50" spans="1:28" x14ac:dyDescent="0.25">
      <c r="A50" t="s">
        <v>26</v>
      </c>
      <c r="B50">
        <v>15625005</v>
      </c>
      <c r="C50" t="s">
        <v>80</v>
      </c>
      <c r="D50" t="s">
        <v>21</v>
      </c>
      <c r="F50" t="s">
        <v>81</v>
      </c>
      <c r="G50" t="s">
        <v>84</v>
      </c>
      <c r="H50">
        <v>0</v>
      </c>
      <c r="I50" s="21">
        <v>44903</v>
      </c>
      <c r="J50" t="s">
        <v>50</v>
      </c>
      <c r="K50" t="s">
        <v>51</v>
      </c>
      <c r="L50">
        <v>36</v>
      </c>
      <c r="M50" s="13">
        <v>196700000</v>
      </c>
      <c r="N50">
        <v>6181119</v>
      </c>
      <c r="O50">
        <v>7</v>
      </c>
      <c r="P50" t="s">
        <v>24</v>
      </c>
      <c r="Q50" s="21">
        <v>44941</v>
      </c>
      <c r="R50" s="21">
        <v>46006</v>
      </c>
      <c r="S50">
        <v>44941</v>
      </c>
      <c r="T50" t="s">
        <v>25</v>
      </c>
      <c r="U50" t="s">
        <v>83</v>
      </c>
      <c r="V50">
        <v>2972355.555555556</v>
      </c>
      <c r="W50">
        <v>5201622.222222222</v>
      </c>
      <c r="X50">
        <v>0</v>
      </c>
      <c r="Y50">
        <v>0</v>
      </c>
      <c r="Z50" t="s">
        <v>1040</v>
      </c>
      <c r="AA50" t="str">
        <f t="shared" si="0"/>
        <v>1562500519670000044903</v>
      </c>
      <c r="AB50" t="e">
        <f>VLOOKUP(AA50,Balance!AA:AA,1,FALSE)</f>
        <v>#N/A</v>
      </c>
    </row>
    <row r="51" spans="1:28" x14ac:dyDescent="0.25">
      <c r="A51" t="s">
        <v>330</v>
      </c>
      <c r="B51">
        <v>8080100</v>
      </c>
      <c r="C51" t="s">
        <v>336</v>
      </c>
      <c r="D51" t="s">
        <v>21</v>
      </c>
      <c r="F51" t="s">
        <v>337</v>
      </c>
      <c r="G51" t="s">
        <v>340</v>
      </c>
      <c r="H51">
        <v>0</v>
      </c>
      <c r="I51" s="21">
        <v>45261</v>
      </c>
      <c r="J51" t="s">
        <v>29</v>
      </c>
      <c r="K51" t="s">
        <v>30</v>
      </c>
      <c r="L51">
        <v>48</v>
      </c>
      <c r="M51" s="13">
        <v>100000000</v>
      </c>
      <c r="N51">
        <v>2505633</v>
      </c>
      <c r="O51">
        <v>8</v>
      </c>
      <c r="P51" t="s">
        <v>24</v>
      </c>
      <c r="Q51" s="21">
        <v>45292</v>
      </c>
      <c r="R51" s="21">
        <v>46722</v>
      </c>
      <c r="T51" t="s">
        <v>28</v>
      </c>
      <c r="U51" t="s">
        <v>72</v>
      </c>
      <c r="V51">
        <v>2833333.3333333335</v>
      </c>
      <c r="W51">
        <v>0</v>
      </c>
      <c r="X51">
        <v>0</v>
      </c>
      <c r="Y51">
        <v>0</v>
      </c>
      <c r="Z51" t="s">
        <v>1040</v>
      </c>
      <c r="AA51" t="str">
        <f t="shared" si="0"/>
        <v>808010010000000045261</v>
      </c>
      <c r="AB51" t="e">
        <f>VLOOKUP(AA51,Balance!AA:AA,1,FALSE)</f>
        <v>#N/A</v>
      </c>
    </row>
    <row r="52" spans="1:28" x14ac:dyDescent="0.25">
      <c r="A52" t="s">
        <v>500</v>
      </c>
      <c r="B52">
        <v>37720219</v>
      </c>
      <c r="C52" t="s">
        <v>520</v>
      </c>
      <c r="D52" t="s">
        <v>21</v>
      </c>
      <c r="F52" t="s">
        <v>521</v>
      </c>
      <c r="G52" t="s">
        <v>522</v>
      </c>
      <c r="H52">
        <v>0</v>
      </c>
      <c r="I52" s="21">
        <v>45190</v>
      </c>
      <c r="J52" t="s">
        <v>62</v>
      </c>
      <c r="K52" t="s">
        <v>63</v>
      </c>
      <c r="L52">
        <v>60</v>
      </c>
      <c r="M52" s="13">
        <v>100000000</v>
      </c>
      <c r="N52">
        <v>2365315</v>
      </c>
      <c r="O52">
        <v>12</v>
      </c>
      <c r="P52" t="s">
        <v>24</v>
      </c>
      <c r="Q52" s="21">
        <v>45586</v>
      </c>
      <c r="R52" s="21">
        <v>47382</v>
      </c>
      <c r="T52" t="s">
        <v>28</v>
      </c>
      <c r="U52" t="s">
        <v>505</v>
      </c>
      <c r="V52">
        <v>1643333.3333333335</v>
      </c>
      <c r="W52">
        <v>0</v>
      </c>
      <c r="X52">
        <v>0</v>
      </c>
      <c r="Y52">
        <v>0</v>
      </c>
      <c r="Z52" t="s">
        <v>1040</v>
      </c>
      <c r="AA52" t="str">
        <f t="shared" si="0"/>
        <v>3772021910000000045190</v>
      </c>
      <c r="AB52" t="e">
        <f>VLOOKUP(AA52,Balance!AA:AA,1,FALSE)</f>
        <v>#N/A</v>
      </c>
    </row>
    <row r="53" spans="1:28" x14ac:dyDescent="0.25">
      <c r="A53" t="s">
        <v>26</v>
      </c>
      <c r="B53">
        <v>26057913</v>
      </c>
      <c r="C53" t="s">
        <v>188</v>
      </c>
      <c r="D53" t="s">
        <v>21</v>
      </c>
      <c r="F53" t="s">
        <v>189</v>
      </c>
      <c r="G53" t="s">
        <v>190</v>
      </c>
      <c r="H53">
        <v>0</v>
      </c>
      <c r="I53" s="21">
        <v>44888</v>
      </c>
      <c r="J53" t="s">
        <v>62</v>
      </c>
      <c r="K53" t="s">
        <v>63</v>
      </c>
      <c r="L53">
        <v>108</v>
      </c>
      <c r="M53" s="13">
        <v>88000000</v>
      </c>
      <c r="N53">
        <v>1409274</v>
      </c>
      <c r="O53">
        <v>10.9</v>
      </c>
      <c r="P53" t="s">
        <v>24</v>
      </c>
      <c r="Q53" s="21">
        <v>45283</v>
      </c>
      <c r="R53" s="21">
        <v>48541</v>
      </c>
      <c r="S53">
        <v>45345</v>
      </c>
      <c r="T53" t="s">
        <v>25</v>
      </c>
      <c r="U53" t="s">
        <v>61</v>
      </c>
      <c r="V53">
        <v>2742666.666666667</v>
      </c>
      <c r="W53">
        <v>1496000</v>
      </c>
      <c r="X53">
        <v>0</v>
      </c>
      <c r="Y53">
        <v>0</v>
      </c>
      <c r="Z53" t="s">
        <v>1040</v>
      </c>
      <c r="AA53" t="str">
        <f t="shared" si="0"/>
        <v>260579138800000044888</v>
      </c>
      <c r="AB53" t="e">
        <f>VLOOKUP(AA53,Balance!AA:AA,1,FALSE)</f>
        <v>#N/A</v>
      </c>
    </row>
    <row r="54" spans="1:28" x14ac:dyDescent="0.25">
      <c r="A54" t="s">
        <v>702</v>
      </c>
      <c r="B54">
        <v>25991790</v>
      </c>
      <c r="C54" t="s">
        <v>719</v>
      </c>
      <c r="D54" t="s">
        <v>21</v>
      </c>
      <c r="F54" t="s">
        <v>720</v>
      </c>
      <c r="G54" t="s">
        <v>721</v>
      </c>
      <c r="H54">
        <v>0</v>
      </c>
      <c r="I54" s="21">
        <v>44979</v>
      </c>
      <c r="J54" t="s">
        <v>59</v>
      </c>
      <c r="K54" t="s">
        <v>60</v>
      </c>
      <c r="L54">
        <v>60</v>
      </c>
      <c r="M54" s="13">
        <v>102200000</v>
      </c>
      <c r="N54">
        <v>2233765</v>
      </c>
      <c r="O54">
        <v>9</v>
      </c>
      <c r="P54" t="s">
        <v>24</v>
      </c>
      <c r="Q54" s="21">
        <v>45007</v>
      </c>
      <c r="R54" s="21">
        <v>46805</v>
      </c>
      <c r="T54" t="s">
        <v>28</v>
      </c>
      <c r="U54" t="s">
        <v>707</v>
      </c>
      <c r="V54">
        <v>2432360</v>
      </c>
      <c r="W54">
        <v>3127320</v>
      </c>
      <c r="X54">
        <v>0</v>
      </c>
      <c r="Y54">
        <v>0</v>
      </c>
      <c r="Z54" t="s">
        <v>1040</v>
      </c>
      <c r="AA54" t="str">
        <f t="shared" si="0"/>
        <v>2599179010220000044979</v>
      </c>
      <c r="AB54" t="e">
        <f>VLOOKUP(AA54,Balance!AA:AA,1,FALSE)</f>
        <v>#N/A</v>
      </c>
    </row>
    <row r="55" spans="1:28" x14ac:dyDescent="0.25">
      <c r="A55" t="s">
        <v>315</v>
      </c>
      <c r="B55">
        <v>56396314</v>
      </c>
      <c r="C55" t="s">
        <v>326</v>
      </c>
      <c r="D55" t="s">
        <v>21</v>
      </c>
      <c r="F55" t="s">
        <v>327</v>
      </c>
      <c r="G55" t="s">
        <v>328</v>
      </c>
      <c r="H55">
        <v>0</v>
      </c>
      <c r="I55" s="21">
        <v>45097</v>
      </c>
      <c r="J55" t="s">
        <v>62</v>
      </c>
      <c r="K55" t="s">
        <v>63</v>
      </c>
      <c r="L55">
        <v>54</v>
      </c>
      <c r="M55" s="13">
        <v>96200000</v>
      </c>
      <c r="N55">
        <v>2244429</v>
      </c>
      <c r="O55">
        <v>9</v>
      </c>
      <c r="P55" t="s">
        <v>24</v>
      </c>
      <c r="Q55" s="21">
        <v>45311</v>
      </c>
      <c r="R55" s="21">
        <v>46924</v>
      </c>
      <c r="T55" t="s">
        <v>28</v>
      </c>
      <c r="U55" t="s">
        <v>320</v>
      </c>
      <c r="V55">
        <v>2786237.0370370373</v>
      </c>
      <c r="W55">
        <v>0</v>
      </c>
      <c r="X55">
        <v>0</v>
      </c>
      <c r="Y55">
        <v>0</v>
      </c>
      <c r="Z55" t="s">
        <v>1040</v>
      </c>
      <c r="AA55" t="str">
        <f t="shared" si="0"/>
        <v>563963149620000045097</v>
      </c>
      <c r="AB55" t="e">
        <f>VLOOKUP(AA55,Balance!AA:AA,1,FALSE)</f>
        <v>#N/A</v>
      </c>
    </row>
    <row r="56" spans="1:28" x14ac:dyDescent="0.25">
      <c r="A56" t="s">
        <v>973</v>
      </c>
      <c r="B56">
        <v>25960489</v>
      </c>
      <c r="C56" t="s">
        <v>975</v>
      </c>
      <c r="D56" t="s">
        <v>21</v>
      </c>
      <c r="F56" t="s">
        <v>976</v>
      </c>
      <c r="G56" t="s">
        <v>977</v>
      </c>
      <c r="H56">
        <v>0</v>
      </c>
      <c r="I56" s="21">
        <v>45007</v>
      </c>
      <c r="J56" t="s">
        <v>59</v>
      </c>
      <c r="K56" t="s">
        <v>60</v>
      </c>
      <c r="L56">
        <v>60</v>
      </c>
      <c r="M56" s="13">
        <v>96000000</v>
      </c>
      <c r="N56">
        <v>2098253</v>
      </c>
      <c r="O56">
        <v>9</v>
      </c>
      <c r="P56" t="s">
        <v>24</v>
      </c>
      <c r="Q56" s="21">
        <v>45038</v>
      </c>
      <c r="R56" s="21">
        <v>46834</v>
      </c>
      <c r="T56" t="s">
        <v>28</v>
      </c>
      <c r="U56" t="s">
        <v>300</v>
      </c>
      <c r="V56">
        <v>2339200</v>
      </c>
      <c r="W56">
        <v>2992000</v>
      </c>
      <c r="X56">
        <v>0</v>
      </c>
      <c r="Y56">
        <v>0</v>
      </c>
      <c r="Z56" t="s">
        <v>1040</v>
      </c>
      <c r="AA56" t="str">
        <f t="shared" si="0"/>
        <v>259604899600000045007</v>
      </c>
      <c r="AB56" t="e">
        <f>VLOOKUP(AA56,Balance!AA:AA,1,FALSE)</f>
        <v>#N/A</v>
      </c>
    </row>
    <row r="57" spans="1:28" x14ac:dyDescent="0.25">
      <c r="A57" t="s">
        <v>938</v>
      </c>
      <c r="B57">
        <v>51617726</v>
      </c>
      <c r="C57" t="s">
        <v>952</v>
      </c>
      <c r="D57" t="s">
        <v>21</v>
      </c>
      <c r="F57" t="s">
        <v>953</v>
      </c>
      <c r="G57" t="s">
        <v>954</v>
      </c>
      <c r="H57">
        <v>1</v>
      </c>
      <c r="I57" s="21">
        <v>44922</v>
      </c>
      <c r="J57" t="s">
        <v>62</v>
      </c>
      <c r="K57" t="s">
        <v>63</v>
      </c>
      <c r="L57">
        <v>60</v>
      </c>
      <c r="M57" s="13">
        <v>100000000</v>
      </c>
      <c r="N57">
        <v>223872</v>
      </c>
      <c r="O57">
        <v>9.9</v>
      </c>
      <c r="P57" t="s">
        <v>24</v>
      </c>
      <c r="Q57" s="21">
        <v>44953</v>
      </c>
      <c r="R57" s="21">
        <v>46748</v>
      </c>
      <c r="T57" t="s">
        <v>28</v>
      </c>
      <c r="U57" t="s">
        <v>598</v>
      </c>
      <c r="V57">
        <v>2266666.666666667</v>
      </c>
      <c r="W57">
        <v>2946666.666666667</v>
      </c>
      <c r="X57">
        <v>0</v>
      </c>
      <c r="Y57">
        <v>0</v>
      </c>
      <c r="Z57" t="s">
        <v>1040</v>
      </c>
      <c r="AA57" t="str">
        <f t="shared" si="0"/>
        <v>5161772610000000044922</v>
      </c>
      <c r="AB57" t="e">
        <f>VLOOKUP(AA57,Balance!AA:AA,1,FALSE)</f>
        <v>#N/A</v>
      </c>
    </row>
    <row r="58" spans="1:28" x14ac:dyDescent="0.25">
      <c r="A58" t="s">
        <v>857</v>
      </c>
      <c r="B58">
        <v>25951660</v>
      </c>
      <c r="C58" t="s">
        <v>859</v>
      </c>
      <c r="D58" t="s">
        <v>21</v>
      </c>
      <c r="F58" t="s">
        <v>860</v>
      </c>
      <c r="G58" t="s">
        <v>861</v>
      </c>
      <c r="H58">
        <v>0</v>
      </c>
      <c r="I58" s="21">
        <v>45183</v>
      </c>
      <c r="J58" t="s">
        <v>62</v>
      </c>
      <c r="K58" t="s">
        <v>63</v>
      </c>
      <c r="L58">
        <v>60</v>
      </c>
      <c r="M58" s="13">
        <v>80000000</v>
      </c>
      <c r="N58">
        <v>1748544</v>
      </c>
      <c r="O58">
        <v>9</v>
      </c>
      <c r="P58" t="s">
        <v>24</v>
      </c>
      <c r="Q58" s="21">
        <v>45579</v>
      </c>
      <c r="R58" s="21">
        <v>47375</v>
      </c>
      <c r="S58">
        <v>45274</v>
      </c>
      <c r="T58" t="s">
        <v>25</v>
      </c>
      <c r="U58" t="s">
        <v>416</v>
      </c>
      <c r="V58">
        <v>1314666.6666666667</v>
      </c>
      <c r="W58">
        <v>0</v>
      </c>
      <c r="X58">
        <v>0</v>
      </c>
      <c r="Y58">
        <v>0</v>
      </c>
      <c r="Z58" t="s">
        <v>1040</v>
      </c>
      <c r="AA58" t="str">
        <f t="shared" si="0"/>
        <v>259516608000000045183</v>
      </c>
      <c r="AB58" t="e">
        <f>VLOOKUP(AA58,Balance!AA:AA,1,FALSE)</f>
        <v>#N/A</v>
      </c>
    </row>
    <row r="59" spans="1:28" x14ac:dyDescent="0.25">
      <c r="A59" t="s">
        <v>330</v>
      </c>
      <c r="B59">
        <v>8141415</v>
      </c>
      <c r="C59" t="s">
        <v>362</v>
      </c>
      <c r="D59" t="s">
        <v>21</v>
      </c>
      <c r="F59" t="s">
        <v>363</v>
      </c>
      <c r="G59" t="s">
        <v>365</v>
      </c>
      <c r="H59">
        <v>0</v>
      </c>
      <c r="I59" s="21">
        <v>44774</v>
      </c>
      <c r="J59" t="s">
        <v>29</v>
      </c>
      <c r="K59" t="s">
        <v>30</v>
      </c>
      <c r="L59">
        <v>36</v>
      </c>
      <c r="M59" s="13">
        <v>200000000</v>
      </c>
      <c r="N59">
        <v>6284818</v>
      </c>
      <c r="O59">
        <v>7</v>
      </c>
      <c r="P59" t="s">
        <v>24</v>
      </c>
      <c r="Q59" s="21">
        <v>44805</v>
      </c>
      <c r="R59" s="21">
        <v>45870</v>
      </c>
      <c r="T59" t="s">
        <v>28</v>
      </c>
      <c r="U59" t="s">
        <v>77</v>
      </c>
      <c r="V59">
        <v>2266666.666666667</v>
      </c>
      <c r="W59">
        <v>4533333.333333334</v>
      </c>
      <c r="X59">
        <v>3116666.666666667</v>
      </c>
      <c r="Y59">
        <v>0</v>
      </c>
      <c r="Z59" t="s">
        <v>1040</v>
      </c>
      <c r="AA59" t="str">
        <f t="shared" si="0"/>
        <v>814141520000000044774</v>
      </c>
      <c r="AB59" t="str">
        <f>VLOOKUP(AA59,Balance!AA:AA,1,FALSE)</f>
        <v>814141520000000044774</v>
      </c>
    </row>
    <row r="60" spans="1:28" x14ac:dyDescent="0.25">
      <c r="A60" t="s">
        <v>26</v>
      </c>
      <c r="B60">
        <v>15680105</v>
      </c>
      <c r="C60" t="s">
        <v>103</v>
      </c>
      <c r="D60" t="s">
        <v>21</v>
      </c>
      <c r="F60" t="s">
        <v>104</v>
      </c>
      <c r="G60" t="s">
        <v>105</v>
      </c>
      <c r="H60">
        <v>0</v>
      </c>
      <c r="I60" s="21">
        <v>44258</v>
      </c>
      <c r="J60" t="s">
        <v>62</v>
      </c>
      <c r="K60" t="s">
        <v>63</v>
      </c>
      <c r="L60">
        <v>60</v>
      </c>
      <c r="M60" s="13">
        <v>200000000</v>
      </c>
      <c r="N60">
        <v>4301753</v>
      </c>
      <c r="O60">
        <v>9</v>
      </c>
      <c r="P60" t="s">
        <v>24</v>
      </c>
      <c r="Q60" s="21">
        <v>44289</v>
      </c>
      <c r="R60" s="21">
        <v>46084</v>
      </c>
      <c r="T60" t="s">
        <v>28</v>
      </c>
      <c r="U60" t="s">
        <v>106</v>
      </c>
      <c r="V60">
        <v>2153333.3333333335</v>
      </c>
      <c r="W60">
        <v>3513333.3333333335</v>
      </c>
      <c r="X60">
        <v>4873333.333333334</v>
      </c>
      <c r="Y60">
        <v>6233333.333333334</v>
      </c>
      <c r="Z60" t="s">
        <v>1040</v>
      </c>
      <c r="AA60" t="str">
        <f t="shared" si="0"/>
        <v>1568010520000000044258</v>
      </c>
      <c r="AB60" t="str">
        <f>VLOOKUP(AA60,Balance!AA:AA,1,FALSE)</f>
        <v>1568010520000000044258</v>
      </c>
    </row>
    <row r="61" spans="1:28" x14ac:dyDescent="0.25">
      <c r="A61" t="s">
        <v>636</v>
      </c>
      <c r="B61">
        <v>25966049</v>
      </c>
      <c r="C61" t="s">
        <v>638</v>
      </c>
      <c r="D61" t="s">
        <v>21</v>
      </c>
      <c r="F61" t="s">
        <v>639</v>
      </c>
      <c r="G61" t="s">
        <v>642</v>
      </c>
      <c r="H61">
        <v>0</v>
      </c>
      <c r="I61" s="21">
        <v>44949</v>
      </c>
      <c r="J61" t="s">
        <v>62</v>
      </c>
      <c r="K61" t="s">
        <v>63</v>
      </c>
      <c r="L61">
        <v>78</v>
      </c>
      <c r="M61" s="13">
        <v>80000000</v>
      </c>
      <c r="N61">
        <v>1498878</v>
      </c>
      <c r="O61">
        <v>10</v>
      </c>
      <c r="P61" t="s">
        <v>24</v>
      </c>
      <c r="Q61" s="21">
        <v>44958</v>
      </c>
      <c r="R61" s="21">
        <v>47300</v>
      </c>
      <c r="T61" t="s">
        <v>28</v>
      </c>
      <c r="U61" t="s">
        <v>641</v>
      </c>
      <c r="V61">
        <v>2057435.8974358975</v>
      </c>
      <c r="W61">
        <v>2475897.435897436</v>
      </c>
      <c r="X61">
        <v>0</v>
      </c>
      <c r="Y61">
        <v>0</v>
      </c>
      <c r="Z61" t="s">
        <v>1040</v>
      </c>
      <c r="AA61" t="str">
        <f t="shared" si="0"/>
        <v>259660498000000044949</v>
      </c>
      <c r="AB61" t="e">
        <f>VLOOKUP(AA61,Balance!AA:AA,1,FALSE)</f>
        <v>#N/A</v>
      </c>
    </row>
    <row r="62" spans="1:28" x14ac:dyDescent="0.25">
      <c r="A62" t="s">
        <v>26</v>
      </c>
      <c r="B62">
        <v>15652405</v>
      </c>
      <c r="C62" t="s">
        <v>93</v>
      </c>
      <c r="D62" t="s">
        <v>21</v>
      </c>
      <c r="F62" t="s">
        <v>94</v>
      </c>
      <c r="G62" t="s">
        <v>95</v>
      </c>
      <c r="H62">
        <v>0</v>
      </c>
      <c r="I62" s="21">
        <v>44412</v>
      </c>
      <c r="J62" t="s">
        <v>50</v>
      </c>
      <c r="K62" t="s">
        <v>51</v>
      </c>
      <c r="L62">
        <v>60</v>
      </c>
      <c r="M62" s="13">
        <v>150000000</v>
      </c>
      <c r="N62">
        <v>3140027</v>
      </c>
      <c r="O62">
        <v>8</v>
      </c>
      <c r="P62" t="s">
        <v>24</v>
      </c>
      <c r="Q62" s="21">
        <v>44443</v>
      </c>
      <c r="R62" s="21">
        <v>46238</v>
      </c>
      <c r="T62" t="s">
        <v>28</v>
      </c>
      <c r="U62" t="s">
        <v>96</v>
      </c>
      <c r="V62">
        <v>2040000.0000000002</v>
      </c>
      <c r="W62">
        <v>3060000</v>
      </c>
      <c r="X62">
        <v>4080000.0000000005</v>
      </c>
      <c r="Y62">
        <v>2422500</v>
      </c>
      <c r="Z62" t="s">
        <v>1040</v>
      </c>
      <c r="AA62" t="str">
        <f t="shared" si="0"/>
        <v>1565240515000000044412</v>
      </c>
      <c r="AB62" t="str">
        <f>VLOOKUP(AA62,Balance!AA:AA,1,FALSE)</f>
        <v>1565240515000000044412</v>
      </c>
    </row>
    <row r="63" spans="1:28" x14ac:dyDescent="0.25">
      <c r="A63" t="s">
        <v>656</v>
      </c>
      <c r="B63">
        <v>9529340</v>
      </c>
      <c r="C63" t="s">
        <v>664</v>
      </c>
      <c r="D63" t="s">
        <v>21</v>
      </c>
      <c r="F63" t="s">
        <v>665</v>
      </c>
      <c r="G63" t="s">
        <v>666</v>
      </c>
      <c r="H63">
        <v>0</v>
      </c>
      <c r="I63" s="21">
        <v>44498</v>
      </c>
      <c r="J63" t="s">
        <v>62</v>
      </c>
      <c r="K63" t="s">
        <v>63</v>
      </c>
      <c r="L63">
        <v>113</v>
      </c>
      <c r="M63" s="13">
        <v>81000000</v>
      </c>
      <c r="N63">
        <v>1329546</v>
      </c>
      <c r="O63">
        <v>12</v>
      </c>
      <c r="P63" t="s">
        <v>24</v>
      </c>
      <c r="Q63" s="21">
        <v>44741</v>
      </c>
      <c r="R63" s="21">
        <v>48150</v>
      </c>
      <c r="T63" t="s">
        <v>28</v>
      </c>
      <c r="U63" t="s">
        <v>641</v>
      </c>
      <c r="V63">
        <v>2095964.6017699116</v>
      </c>
      <c r="W63">
        <v>2388424.7787610623</v>
      </c>
      <c r="X63">
        <v>2680884.9557522126</v>
      </c>
      <c r="Y63">
        <v>0</v>
      </c>
      <c r="Z63" t="s">
        <v>1040</v>
      </c>
      <c r="AA63" t="str">
        <f t="shared" si="0"/>
        <v>95293408100000044498</v>
      </c>
      <c r="AB63" t="e">
        <f>VLOOKUP(AA63,Balance!AA:AA,1,FALSE)</f>
        <v>#N/A</v>
      </c>
    </row>
    <row r="64" spans="1:28" x14ac:dyDescent="0.25">
      <c r="A64" t="s">
        <v>909</v>
      </c>
      <c r="B64">
        <v>26037739</v>
      </c>
      <c r="C64" t="s">
        <v>911</v>
      </c>
      <c r="D64" t="s">
        <v>21</v>
      </c>
      <c r="F64" t="s">
        <v>912</v>
      </c>
      <c r="G64" t="s">
        <v>914</v>
      </c>
      <c r="H64">
        <v>0</v>
      </c>
      <c r="I64" s="21">
        <v>45072</v>
      </c>
      <c r="J64" t="s">
        <v>59</v>
      </c>
      <c r="K64" t="s">
        <v>60</v>
      </c>
      <c r="L64">
        <v>54</v>
      </c>
      <c r="M64" s="13">
        <v>75500000</v>
      </c>
      <c r="N64">
        <v>1718574</v>
      </c>
      <c r="O64">
        <v>8</v>
      </c>
      <c r="P64" t="s">
        <v>24</v>
      </c>
      <c r="Q64" s="21">
        <v>45286</v>
      </c>
      <c r="R64" s="21">
        <v>46899</v>
      </c>
      <c r="T64" t="s">
        <v>28</v>
      </c>
      <c r="U64" t="s">
        <v>232</v>
      </c>
      <c r="V64">
        <v>2139166.6666666665</v>
      </c>
      <c r="W64">
        <v>1283500</v>
      </c>
      <c r="X64">
        <v>0</v>
      </c>
      <c r="Y64">
        <v>0</v>
      </c>
      <c r="Z64" t="s">
        <v>1040</v>
      </c>
      <c r="AA64" t="str">
        <f t="shared" si="0"/>
        <v>260377397550000045072</v>
      </c>
      <c r="AB64" t="e">
        <f>VLOOKUP(AA64,Balance!AA:AA,1,FALSE)</f>
        <v>#N/A</v>
      </c>
    </row>
    <row r="65" spans="1:28" x14ac:dyDescent="0.25">
      <c r="A65" t="s">
        <v>909</v>
      </c>
      <c r="B65">
        <v>26037739</v>
      </c>
      <c r="C65" t="s">
        <v>911</v>
      </c>
      <c r="D65" t="s">
        <v>21</v>
      </c>
      <c r="F65" t="s">
        <v>912</v>
      </c>
      <c r="G65" t="s">
        <v>913</v>
      </c>
      <c r="H65">
        <v>0</v>
      </c>
      <c r="I65" s="21">
        <v>44973</v>
      </c>
      <c r="J65" t="s">
        <v>59</v>
      </c>
      <c r="K65" t="s">
        <v>60</v>
      </c>
      <c r="L65">
        <v>60</v>
      </c>
      <c r="M65" s="13">
        <v>75500000</v>
      </c>
      <c r="N65">
        <v>1580480</v>
      </c>
      <c r="O65">
        <v>8</v>
      </c>
      <c r="P65" t="s">
        <v>24</v>
      </c>
      <c r="Q65" s="21">
        <v>45001</v>
      </c>
      <c r="R65" s="21">
        <v>46799</v>
      </c>
      <c r="S65">
        <v>45062</v>
      </c>
      <c r="T65" t="s">
        <v>25</v>
      </c>
      <c r="U65" t="s">
        <v>232</v>
      </c>
      <c r="V65">
        <v>1796900.0000000002</v>
      </c>
      <c r="W65">
        <v>2310300</v>
      </c>
      <c r="X65">
        <v>0</v>
      </c>
      <c r="Y65">
        <v>0</v>
      </c>
      <c r="Z65" t="s">
        <v>1040</v>
      </c>
      <c r="AA65" t="str">
        <f t="shared" si="0"/>
        <v>260377397550000044973</v>
      </c>
      <c r="AB65" t="e">
        <f>VLOOKUP(AA65,Balance!AA:AA,1,FALSE)</f>
        <v>#N/A</v>
      </c>
    </row>
    <row r="66" spans="1:28" x14ac:dyDescent="0.25">
      <c r="A66" t="s">
        <v>315</v>
      </c>
      <c r="B66">
        <v>26068572</v>
      </c>
      <c r="C66" t="s">
        <v>322</v>
      </c>
      <c r="D66" t="s">
        <v>21</v>
      </c>
      <c r="F66" t="s">
        <v>323</v>
      </c>
      <c r="G66" t="s">
        <v>324</v>
      </c>
      <c r="H66">
        <v>0</v>
      </c>
      <c r="I66" s="21">
        <v>45071</v>
      </c>
      <c r="J66" t="s">
        <v>59</v>
      </c>
      <c r="K66" t="s">
        <v>60</v>
      </c>
      <c r="L66">
        <v>57</v>
      </c>
      <c r="M66" s="13">
        <v>70000000</v>
      </c>
      <c r="N66">
        <v>1714942</v>
      </c>
      <c r="O66">
        <v>12</v>
      </c>
      <c r="P66" t="s">
        <v>24</v>
      </c>
      <c r="Q66" s="21">
        <v>45194</v>
      </c>
      <c r="R66" s="21">
        <v>46898</v>
      </c>
      <c r="T66" t="s">
        <v>28</v>
      </c>
      <c r="U66" t="s">
        <v>320</v>
      </c>
      <c r="V66">
        <v>1878947.3684210528</v>
      </c>
      <c r="W66">
        <v>1127368.4210526317</v>
      </c>
      <c r="X66">
        <v>0</v>
      </c>
      <c r="Y66">
        <v>0</v>
      </c>
      <c r="Z66" t="s">
        <v>1040</v>
      </c>
      <c r="AA66" t="str">
        <f t="shared" si="0"/>
        <v>260685727000000045071</v>
      </c>
      <c r="AB66" t="e">
        <f>VLOOKUP(AA66,Balance!AA:AA,1,FALSE)</f>
        <v>#N/A</v>
      </c>
    </row>
    <row r="67" spans="1:28" x14ac:dyDescent="0.25">
      <c r="A67" t="s">
        <v>407</v>
      </c>
      <c r="B67">
        <v>26052612</v>
      </c>
      <c r="C67" t="s">
        <v>474</v>
      </c>
      <c r="D67" t="s">
        <v>21</v>
      </c>
      <c r="F67" t="s">
        <v>475</v>
      </c>
      <c r="G67" t="s">
        <v>477</v>
      </c>
      <c r="H67">
        <v>0</v>
      </c>
      <c r="I67" s="21">
        <v>44385</v>
      </c>
      <c r="J67" t="s">
        <v>62</v>
      </c>
      <c r="K67" t="s">
        <v>63</v>
      </c>
      <c r="L67">
        <v>54</v>
      </c>
      <c r="M67" s="13">
        <v>169000000</v>
      </c>
      <c r="N67">
        <v>3846874</v>
      </c>
      <c r="O67">
        <v>8</v>
      </c>
      <c r="P67" t="s">
        <v>24</v>
      </c>
      <c r="Q67" s="21">
        <v>44600</v>
      </c>
      <c r="R67" s="21">
        <v>46211</v>
      </c>
      <c r="T67" t="s">
        <v>28</v>
      </c>
      <c r="U67" t="s">
        <v>256</v>
      </c>
      <c r="V67">
        <v>2447370.3703703703</v>
      </c>
      <c r="W67">
        <v>3724259.2592592593</v>
      </c>
      <c r="X67">
        <v>5001148.1481481483</v>
      </c>
      <c r="Y67">
        <v>0</v>
      </c>
      <c r="Z67" t="s">
        <v>1040</v>
      </c>
      <c r="AA67" t="str">
        <f t="shared" ref="AA67:AA130" si="1">_xlfn.CONCAT(B67,M67,I67)</f>
        <v>2605261216900000044385</v>
      </c>
      <c r="AB67" t="e">
        <f>VLOOKUP(AA67,Balance!AA:AA,1,FALSE)</f>
        <v>#N/A</v>
      </c>
    </row>
    <row r="68" spans="1:28" x14ac:dyDescent="0.25">
      <c r="A68" t="s">
        <v>26</v>
      </c>
      <c r="B68">
        <v>26068228</v>
      </c>
      <c r="C68" t="s">
        <v>214</v>
      </c>
      <c r="D68" t="s">
        <v>21</v>
      </c>
      <c r="F68" t="s">
        <v>215</v>
      </c>
      <c r="G68" t="s">
        <v>217</v>
      </c>
      <c r="H68">
        <v>0</v>
      </c>
      <c r="I68" s="21">
        <v>45056</v>
      </c>
      <c r="J68" t="s">
        <v>39</v>
      </c>
      <c r="K68" t="s">
        <v>40</v>
      </c>
      <c r="L68">
        <v>24</v>
      </c>
      <c r="M68" s="13">
        <v>150000000</v>
      </c>
      <c r="N68">
        <v>6837237</v>
      </c>
      <c r="O68">
        <v>7.5</v>
      </c>
      <c r="P68" t="s">
        <v>24</v>
      </c>
      <c r="Q68" s="21">
        <v>45087</v>
      </c>
      <c r="R68" s="21">
        <v>45787</v>
      </c>
      <c r="T68" t="s">
        <v>28</v>
      </c>
      <c r="U68" t="s">
        <v>41</v>
      </c>
      <c r="V68">
        <v>1912500.0000000002</v>
      </c>
      <c r="W68">
        <v>4462500</v>
      </c>
      <c r="X68">
        <v>0</v>
      </c>
      <c r="Y68">
        <v>0</v>
      </c>
      <c r="Z68" t="s">
        <v>1040</v>
      </c>
      <c r="AA68" t="str">
        <f t="shared" si="1"/>
        <v>2606822815000000045056</v>
      </c>
      <c r="AB68" t="str">
        <f>VLOOKUP(AA68,Balance!AA:AA,1,FALSE)</f>
        <v>2606822815000000045056</v>
      </c>
    </row>
    <row r="69" spans="1:28" x14ac:dyDescent="0.25">
      <c r="A69" t="s">
        <v>900</v>
      </c>
      <c r="B69">
        <v>52935516</v>
      </c>
      <c r="C69" t="s">
        <v>906</v>
      </c>
      <c r="D69" t="s">
        <v>21</v>
      </c>
      <c r="F69" t="s">
        <v>907</v>
      </c>
      <c r="G69" t="s">
        <v>908</v>
      </c>
      <c r="H69">
        <v>0</v>
      </c>
      <c r="I69" s="21">
        <v>45233</v>
      </c>
      <c r="J69" t="s">
        <v>62</v>
      </c>
      <c r="K69" t="s">
        <v>63</v>
      </c>
      <c r="L69">
        <v>54</v>
      </c>
      <c r="M69" s="13">
        <v>60000000</v>
      </c>
      <c r="N69">
        <v>956296</v>
      </c>
      <c r="O69">
        <v>10</v>
      </c>
      <c r="P69" t="s">
        <v>24</v>
      </c>
      <c r="Q69" s="21">
        <v>45446</v>
      </c>
      <c r="R69" s="21">
        <v>47060</v>
      </c>
      <c r="T69" t="s">
        <v>28</v>
      </c>
      <c r="U69" t="s">
        <v>755</v>
      </c>
      <c r="V69">
        <v>1926666.6666666667</v>
      </c>
      <c r="W69">
        <v>0</v>
      </c>
      <c r="X69">
        <v>0</v>
      </c>
      <c r="Y69">
        <v>0</v>
      </c>
      <c r="Z69" t="s">
        <v>1040</v>
      </c>
      <c r="AA69" t="str">
        <f t="shared" si="1"/>
        <v>529355166000000045233</v>
      </c>
      <c r="AB69" t="e">
        <f>VLOOKUP(AA69,Balance!AA:AA,1,FALSE)</f>
        <v>#N/A</v>
      </c>
    </row>
    <row r="70" spans="1:28" x14ac:dyDescent="0.25">
      <c r="A70" t="s">
        <v>882</v>
      </c>
      <c r="B70">
        <v>25992789</v>
      </c>
      <c r="C70" t="s">
        <v>888</v>
      </c>
      <c r="D70" t="s">
        <v>21</v>
      </c>
      <c r="F70" t="s">
        <v>889</v>
      </c>
      <c r="G70" t="s">
        <v>890</v>
      </c>
      <c r="H70">
        <v>0</v>
      </c>
      <c r="I70" s="21">
        <v>44882</v>
      </c>
      <c r="J70" t="s">
        <v>62</v>
      </c>
      <c r="K70" t="s">
        <v>63</v>
      </c>
      <c r="L70">
        <v>48</v>
      </c>
      <c r="M70" s="13">
        <v>86000000</v>
      </c>
      <c r="N70">
        <v>2232291</v>
      </c>
      <c r="O70">
        <v>9</v>
      </c>
      <c r="P70" t="s">
        <v>24</v>
      </c>
      <c r="Q70" s="21">
        <v>44912</v>
      </c>
      <c r="R70" s="21">
        <v>46343</v>
      </c>
      <c r="T70" t="s">
        <v>28</v>
      </c>
      <c r="U70" t="s">
        <v>505</v>
      </c>
      <c r="V70">
        <v>1644750.0000000002</v>
      </c>
      <c r="W70">
        <v>2375750</v>
      </c>
      <c r="X70">
        <v>1462000</v>
      </c>
      <c r="Y70">
        <v>0</v>
      </c>
      <c r="Z70" t="s">
        <v>1040</v>
      </c>
      <c r="AA70" t="str">
        <f t="shared" si="1"/>
        <v>259927898600000044882</v>
      </c>
      <c r="AB70" t="e">
        <f>VLOOKUP(AA70,Balance!AA:AA,1,FALSE)</f>
        <v>#N/A</v>
      </c>
    </row>
    <row r="71" spans="1:28" x14ac:dyDescent="0.25">
      <c r="A71" t="s">
        <v>26</v>
      </c>
      <c r="B71">
        <v>26064944</v>
      </c>
      <c r="C71" t="s">
        <v>204</v>
      </c>
      <c r="D71" t="s">
        <v>21</v>
      </c>
      <c r="F71" t="s">
        <v>205</v>
      </c>
      <c r="G71" t="s">
        <v>206</v>
      </c>
      <c r="H71">
        <v>0</v>
      </c>
      <c r="I71" s="21">
        <v>44462</v>
      </c>
      <c r="J71" t="s">
        <v>207</v>
      </c>
      <c r="K71" t="s">
        <v>208</v>
      </c>
      <c r="L71">
        <v>78</v>
      </c>
      <c r="M71" s="13">
        <v>85000000</v>
      </c>
      <c r="N71">
        <v>1463667</v>
      </c>
      <c r="O71">
        <v>7.5</v>
      </c>
      <c r="P71" t="s">
        <v>24</v>
      </c>
      <c r="Q71" s="21">
        <v>44674</v>
      </c>
      <c r="R71" s="21">
        <v>47019</v>
      </c>
      <c r="T71" t="s">
        <v>28</v>
      </c>
      <c r="U71" t="s">
        <v>127</v>
      </c>
      <c r="V71">
        <v>1815512.8205128205</v>
      </c>
      <c r="W71">
        <v>2260128.2051282055</v>
      </c>
      <c r="X71">
        <v>2704743.58974359</v>
      </c>
      <c r="Y71">
        <v>0</v>
      </c>
      <c r="Z71" t="s">
        <v>1040</v>
      </c>
      <c r="AA71" t="str">
        <f t="shared" si="1"/>
        <v>260649448500000044462</v>
      </c>
      <c r="AB71" t="e">
        <f>VLOOKUP(AA71,Balance!AA:AA,1,FALSE)</f>
        <v>#N/A</v>
      </c>
    </row>
    <row r="72" spans="1:28" x14ac:dyDescent="0.25">
      <c r="A72" t="s">
        <v>26</v>
      </c>
      <c r="B72">
        <v>25988207</v>
      </c>
      <c r="C72" t="s">
        <v>159</v>
      </c>
      <c r="D72" t="s">
        <v>21</v>
      </c>
      <c r="F72" t="s">
        <v>160</v>
      </c>
      <c r="G72" t="s">
        <v>161</v>
      </c>
      <c r="H72">
        <v>0</v>
      </c>
      <c r="I72" s="21">
        <v>44897</v>
      </c>
      <c r="J72" t="s">
        <v>62</v>
      </c>
      <c r="K72" t="s">
        <v>63</v>
      </c>
      <c r="L72">
        <v>78</v>
      </c>
      <c r="M72" s="13">
        <v>60000000</v>
      </c>
      <c r="N72">
        <v>1124159</v>
      </c>
      <c r="O72">
        <v>10</v>
      </c>
      <c r="P72" t="s">
        <v>24</v>
      </c>
      <c r="Q72" s="21">
        <v>45109</v>
      </c>
      <c r="R72" s="21">
        <v>47454</v>
      </c>
      <c r="T72" t="s">
        <v>28</v>
      </c>
      <c r="U72" t="s">
        <v>151</v>
      </c>
      <c r="V72">
        <v>1673846.153846154</v>
      </c>
      <c r="W72">
        <v>954615.38461538462</v>
      </c>
      <c r="X72">
        <v>0</v>
      </c>
      <c r="Y72">
        <v>0</v>
      </c>
      <c r="Z72" t="s">
        <v>1040</v>
      </c>
      <c r="AA72" t="str">
        <f t="shared" si="1"/>
        <v>259882076000000044897</v>
      </c>
      <c r="AB72" t="e">
        <f>VLOOKUP(AA72,Balance!AA:AA,1,FALSE)</f>
        <v>#N/A</v>
      </c>
    </row>
    <row r="73" spans="1:28" x14ac:dyDescent="0.25">
      <c r="A73" t="s">
        <v>528</v>
      </c>
      <c r="B73">
        <v>15802705</v>
      </c>
      <c r="C73" t="s">
        <v>530</v>
      </c>
      <c r="D73" t="s">
        <v>21</v>
      </c>
      <c r="F73" t="s">
        <v>531</v>
      </c>
      <c r="G73" t="s">
        <v>532</v>
      </c>
      <c r="H73">
        <v>0</v>
      </c>
      <c r="I73" s="21">
        <v>45275</v>
      </c>
      <c r="J73" t="s">
        <v>22</v>
      </c>
      <c r="K73" t="s">
        <v>23</v>
      </c>
      <c r="L73">
        <v>24</v>
      </c>
      <c r="M73" s="13">
        <v>69000000</v>
      </c>
      <c r="N73">
        <v>3314193</v>
      </c>
      <c r="O73">
        <v>12</v>
      </c>
      <c r="P73" t="s">
        <v>24</v>
      </c>
      <c r="Q73" s="21">
        <v>45306</v>
      </c>
      <c r="R73" s="21">
        <v>46006</v>
      </c>
      <c r="T73" t="s">
        <v>28</v>
      </c>
      <c r="U73" t="s">
        <v>498</v>
      </c>
      <c r="V73">
        <v>1564000</v>
      </c>
      <c r="W73">
        <v>0</v>
      </c>
      <c r="X73">
        <v>0</v>
      </c>
      <c r="Y73">
        <v>0</v>
      </c>
      <c r="Z73" t="s">
        <v>1040</v>
      </c>
      <c r="AA73" t="str">
        <f t="shared" si="1"/>
        <v>158027056900000045275</v>
      </c>
      <c r="AB73" t="e">
        <f>VLOOKUP(AA73,Balance!AA:AA,1,FALSE)</f>
        <v>#N/A</v>
      </c>
    </row>
    <row r="74" spans="1:28" x14ac:dyDescent="0.25">
      <c r="A74" t="s">
        <v>291</v>
      </c>
      <c r="B74">
        <v>39020612</v>
      </c>
      <c r="C74" t="s">
        <v>302</v>
      </c>
      <c r="D74" t="s">
        <v>21</v>
      </c>
      <c r="F74" t="s">
        <v>303</v>
      </c>
      <c r="G74" t="s">
        <v>304</v>
      </c>
      <c r="H74">
        <v>0</v>
      </c>
      <c r="I74" s="21">
        <v>44295</v>
      </c>
      <c r="J74" t="s">
        <v>62</v>
      </c>
      <c r="K74" t="s">
        <v>63</v>
      </c>
      <c r="L74">
        <v>54</v>
      </c>
      <c r="M74" s="13">
        <v>178500000</v>
      </c>
      <c r="N74">
        <v>4063118</v>
      </c>
      <c r="O74">
        <v>8</v>
      </c>
      <c r="P74" t="s">
        <v>24</v>
      </c>
      <c r="Q74" s="21">
        <v>44509</v>
      </c>
      <c r="R74" s="21">
        <v>46121</v>
      </c>
      <c r="T74" t="s">
        <v>28</v>
      </c>
      <c r="U74" t="s">
        <v>300</v>
      </c>
      <c r="V74">
        <v>2247777.777777778</v>
      </c>
      <c r="W74">
        <v>3596444.4444444445</v>
      </c>
      <c r="X74">
        <v>4945111.1111111119</v>
      </c>
      <c r="Y74">
        <v>2978305.555555556</v>
      </c>
      <c r="Z74" t="s">
        <v>1040</v>
      </c>
      <c r="AA74" t="str">
        <f t="shared" si="1"/>
        <v>3902061217850000044295</v>
      </c>
      <c r="AB74" t="e">
        <f>VLOOKUP(AA74,Balance!AA:AA,1,FALSE)</f>
        <v>#N/A</v>
      </c>
    </row>
    <row r="75" spans="1:28" x14ac:dyDescent="0.25">
      <c r="A75" t="s">
        <v>796</v>
      </c>
      <c r="B75">
        <v>55507564</v>
      </c>
      <c r="C75" t="s">
        <v>822</v>
      </c>
      <c r="D75" t="s">
        <v>21</v>
      </c>
      <c r="F75" t="s">
        <v>823</v>
      </c>
      <c r="G75" t="s">
        <v>824</v>
      </c>
      <c r="H75">
        <v>0</v>
      </c>
      <c r="I75" s="21">
        <v>44494</v>
      </c>
      <c r="J75" t="s">
        <v>59</v>
      </c>
      <c r="K75" t="s">
        <v>60</v>
      </c>
      <c r="L75">
        <v>60</v>
      </c>
      <c r="M75" s="13">
        <v>100000000</v>
      </c>
      <c r="N75">
        <v>2244066</v>
      </c>
      <c r="O75">
        <v>9.99</v>
      </c>
      <c r="P75" t="s">
        <v>24</v>
      </c>
      <c r="Q75" s="21">
        <v>44525</v>
      </c>
      <c r="R75" s="21">
        <v>46320</v>
      </c>
      <c r="T75" t="s">
        <v>28</v>
      </c>
      <c r="U75" t="s">
        <v>641</v>
      </c>
      <c r="V75">
        <v>1473333.3333333335</v>
      </c>
      <c r="W75">
        <v>2153333.3333333335</v>
      </c>
      <c r="X75">
        <v>2833333.3333333335</v>
      </c>
      <c r="Y75">
        <v>1671666.6666666667</v>
      </c>
      <c r="Z75" t="s">
        <v>1040</v>
      </c>
      <c r="AA75" t="str">
        <f t="shared" si="1"/>
        <v>5550756410000000044494</v>
      </c>
      <c r="AB75" t="e">
        <f>VLOOKUP(AA75,Balance!AA:AA,1,FALSE)</f>
        <v>#N/A</v>
      </c>
    </row>
    <row r="76" spans="1:28" x14ac:dyDescent="0.25">
      <c r="A76" t="s">
        <v>407</v>
      </c>
      <c r="B76">
        <v>768312</v>
      </c>
      <c r="C76" t="s">
        <v>409</v>
      </c>
      <c r="D76" t="s">
        <v>21</v>
      </c>
      <c r="F76" t="s">
        <v>410</v>
      </c>
      <c r="G76" t="s">
        <v>411</v>
      </c>
      <c r="H76">
        <v>0</v>
      </c>
      <c r="I76" s="21">
        <v>44462</v>
      </c>
      <c r="J76" t="s">
        <v>29</v>
      </c>
      <c r="K76" t="s">
        <v>30</v>
      </c>
      <c r="L76">
        <v>60</v>
      </c>
      <c r="M76" s="13">
        <v>97000000</v>
      </c>
      <c r="N76">
        <v>2030551</v>
      </c>
      <c r="O76">
        <v>8</v>
      </c>
      <c r="P76" t="s">
        <v>24</v>
      </c>
      <c r="Q76" s="21">
        <v>44492</v>
      </c>
      <c r="R76" s="21">
        <v>46288</v>
      </c>
      <c r="T76" t="s">
        <v>28</v>
      </c>
      <c r="U76" t="s">
        <v>34</v>
      </c>
      <c r="V76">
        <v>1374166.6666666667</v>
      </c>
      <c r="W76">
        <v>2033766.6666666667</v>
      </c>
      <c r="X76">
        <v>2693366.666666667</v>
      </c>
      <c r="Y76">
        <v>1594033.3333333335</v>
      </c>
      <c r="Z76" t="s">
        <v>1040</v>
      </c>
      <c r="AA76" t="str">
        <f t="shared" si="1"/>
        <v>7683129700000044462</v>
      </c>
      <c r="AB76" t="str">
        <f>VLOOKUP(AA76,Balance!AA:AA,1,FALSE)</f>
        <v>7683129700000044462</v>
      </c>
    </row>
    <row r="77" spans="1:28" x14ac:dyDescent="0.25">
      <c r="A77" t="s">
        <v>26</v>
      </c>
      <c r="B77">
        <v>26032670</v>
      </c>
      <c r="C77" t="s">
        <v>168</v>
      </c>
      <c r="D77" t="s">
        <v>21</v>
      </c>
      <c r="F77" t="s">
        <v>169</v>
      </c>
      <c r="G77" t="s">
        <v>170</v>
      </c>
      <c r="H77">
        <v>0</v>
      </c>
      <c r="I77" s="21">
        <v>44266</v>
      </c>
      <c r="J77" t="s">
        <v>29</v>
      </c>
      <c r="K77" t="s">
        <v>30</v>
      </c>
      <c r="L77">
        <v>60</v>
      </c>
      <c r="M77" s="13">
        <v>127000000</v>
      </c>
      <c r="N77">
        <v>2731613</v>
      </c>
      <c r="O77">
        <v>9</v>
      </c>
      <c r="P77" t="s">
        <v>24</v>
      </c>
      <c r="Q77" s="21">
        <v>44297</v>
      </c>
      <c r="R77" s="21">
        <v>46092</v>
      </c>
      <c r="T77" t="s">
        <v>28</v>
      </c>
      <c r="U77" t="s">
        <v>141</v>
      </c>
      <c r="V77">
        <v>1367366.6666666667</v>
      </c>
      <c r="W77">
        <v>2230966.666666667</v>
      </c>
      <c r="X77">
        <v>3094566.666666667</v>
      </c>
      <c r="Y77">
        <v>3958166.666666667</v>
      </c>
      <c r="Z77" t="s">
        <v>1040</v>
      </c>
      <c r="AA77" t="str">
        <f t="shared" si="1"/>
        <v>2603267012700000044266</v>
      </c>
      <c r="AB77" t="str">
        <f>VLOOKUP(AA77,Balance!AA:AA,1,FALSE)</f>
        <v>2603267012700000044266</v>
      </c>
    </row>
    <row r="78" spans="1:28" x14ac:dyDescent="0.25">
      <c r="A78" t="s">
        <v>330</v>
      </c>
      <c r="B78">
        <v>8137915</v>
      </c>
      <c r="C78" t="s">
        <v>358</v>
      </c>
      <c r="D78" t="s">
        <v>21</v>
      </c>
      <c r="F78" t="s">
        <v>359</v>
      </c>
      <c r="G78" t="s">
        <v>360</v>
      </c>
      <c r="H78">
        <v>0</v>
      </c>
      <c r="I78" s="21">
        <v>45085</v>
      </c>
      <c r="J78" t="s">
        <v>59</v>
      </c>
      <c r="K78" t="s">
        <v>60</v>
      </c>
      <c r="L78">
        <v>60</v>
      </c>
      <c r="M78" s="13">
        <v>49230000</v>
      </c>
      <c r="N78">
        <v>1047422</v>
      </c>
      <c r="O78">
        <v>8</v>
      </c>
      <c r="P78" t="s">
        <v>24</v>
      </c>
      <c r="Q78" s="21">
        <v>45115</v>
      </c>
      <c r="R78" s="21">
        <v>46912</v>
      </c>
      <c r="T78" t="s">
        <v>28</v>
      </c>
      <c r="U78" t="s">
        <v>232</v>
      </c>
      <c r="V78">
        <v>1283262</v>
      </c>
      <c r="W78">
        <v>767167.5</v>
      </c>
      <c r="X78">
        <v>0</v>
      </c>
      <c r="Y78">
        <v>0</v>
      </c>
      <c r="Z78" t="s">
        <v>1040</v>
      </c>
      <c r="AA78" t="str">
        <f t="shared" si="1"/>
        <v>81379154923000045085</v>
      </c>
      <c r="AB78" t="e">
        <f>VLOOKUP(AA78,Balance!AA:AA,1,FALSE)</f>
        <v>#N/A</v>
      </c>
    </row>
    <row r="79" spans="1:28" x14ac:dyDescent="0.25">
      <c r="A79" t="s">
        <v>26</v>
      </c>
      <c r="B79">
        <v>15466305</v>
      </c>
      <c r="C79" t="s">
        <v>65</v>
      </c>
      <c r="D79" t="s">
        <v>21</v>
      </c>
      <c r="E79">
        <v>25577</v>
      </c>
      <c r="F79" t="s">
        <v>66</v>
      </c>
      <c r="G79" t="s">
        <v>67</v>
      </c>
      <c r="H79">
        <v>0</v>
      </c>
      <c r="I79" s="21">
        <v>44888</v>
      </c>
      <c r="J79" t="s">
        <v>59</v>
      </c>
      <c r="K79" t="s">
        <v>60</v>
      </c>
      <c r="L79">
        <v>60</v>
      </c>
      <c r="M79" s="13">
        <v>57300000</v>
      </c>
      <c r="N79">
        <v>1252395</v>
      </c>
      <c r="O79">
        <v>9</v>
      </c>
      <c r="P79" t="s">
        <v>24</v>
      </c>
      <c r="Q79" s="21">
        <v>44918</v>
      </c>
      <c r="R79" s="21">
        <v>46714</v>
      </c>
      <c r="T79" t="s">
        <v>28</v>
      </c>
      <c r="U79" t="s">
        <v>61</v>
      </c>
      <c r="V79">
        <v>1266330</v>
      </c>
      <c r="W79">
        <v>1655970.0000000002</v>
      </c>
      <c r="X79">
        <v>974100.00000000012</v>
      </c>
      <c r="Y79">
        <v>0</v>
      </c>
      <c r="Z79" t="s">
        <v>1040</v>
      </c>
      <c r="AA79" t="str">
        <f t="shared" si="1"/>
        <v>154663055730000044888</v>
      </c>
      <c r="AB79" t="e">
        <f>VLOOKUP(AA79,Balance!AA:AA,1,FALSE)</f>
        <v>#N/A</v>
      </c>
    </row>
    <row r="80" spans="1:28" x14ac:dyDescent="0.25">
      <c r="A80" t="s">
        <v>830</v>
      </c>
      <c r="B80">
        <v>25955248</v>
      </c>
      <c r="C80" t="s">
        <v>832</v>
      </c>
      <c r="D80" t="s">
        <v>21</v>
      </c>
      <c r="F80" t="s">
        <v>833</v>
      </c>
      <c r="G80" t="s">
        <v>834</v>
      </c>
      <c r="H80">
        <v>0</v>
      </c>
      <c r="I80" s="21">
        <v>45167</v>
      </c>
      <c r="J80" t="s">
        <v>59</v>
      </c>
      <c r="K80" t="s">
        <v>60</v>
      </c>
      <c r="L80">
        <v>60</v>
      </c>
      <c r="M80" s="13">
        <v>43000000</v>
      </c>
      <c r="N80">
        <v>965204</v>
      </c>
      <c r="O80">
        <v>10</v>
      </c>
      <c r="P80" t="s">
        <v>24</v>
      </c>
      <c r="Q80" s="21">
        <v>45198</v>
      </c>
      <c r="R80" s="21">
        <v>46994</v>
      </c>
      <c r="T80" t="s">
        <v>28</v>
      </c>
      <c r="U80" t="s">
        <v>300</v>
      </c>
      <c r="V80">
        <v>1169600</v>
      </c>
      <c r="W80">
        <v>694450</v>
      </c>
      <c r="X80">
        <v>0</v>
      </c>
      <c r="Y80">
        <v>0</v>
      </c>
      <c r="Z80" t="s">
        <v>1040</v>
      </c>
      <c r="AA80" t="str">
        <f t="shared" si="1"/>
        <v>259552484300000045167</v>
      </c>
      <c r="AB80" t="e">
        <f>VLOOKUP(AA80,Balance!AA:AA,1,FALSE)</f>
        <v>#N/A</v>
      </c>
    </row>
    <row r="81" spans="1:28" x14ac:dyDescent="0.25">
      <c r="A81" t="s">
        <v>636</v>
      </c>
      <c r="B81">
        <v>25966049</v>
      </c>
      <c r="C81" t="s">
        <v>638</v>
      </c>
      <c r="D81" t="s">
        <v>21</v>
      </c>
      <c r="F81" t="s">
        <v>639</v>
      </c>
      <c r="G81" t="s">
        <v>640</v>
      </c>
      <c r="H81">
        <v>0</v>
      </c>
      <c r="I81" s="21">
        <v>44652</v>
      </c>
      <c r="J81" t="s">
        <v>62</v>
      </c>
      <c r="K81" t="s">
        <v>63</v>
      </c>
      <c r="L81">
        <v>78</v>
      </c>
      <c r="M81" s="13">
        <v>50000000</v>
      </c>
      <c r="N81">
        <v>936799</v>
      </c>
      <c r="O81">
        <v>10</v>
      </c>
      <c r="P81" t="s">
        <v>24</v>
      </c>
      <c r="Q81" s="21">
        <v>44866</v>
      </c>
      <c r="R81" s="21">
        <v>47209</v>
      </c>
      <c r="S81">
        <v>44927</v>
      </c>
      <c r="T81" t="s">
        <v>25</v>
      </c>
      <c r="U81" t="s">
        <v>641</v>
      </c>
      <c r="V81">
        <v>1220512.8205128207</v>
      </c>
      <c r="W81">
        <v>1482051.282051282</v>
      </c>
      <c r="X81">
        <v>839102.56410256412</v>
      </c>
      <c r="Y81">
        <v>0</v>
      </c>
      <c r="Z81" t="s">
        <v>1040</v>
      </c>
      <c r="AA81" t="str">
        <f t="shared" si="1"/>
        <v>259660495000000044652</v>
      </c>
      <c r="AB81" t="e">
        <f>VLOOKUP(AA81,Balance!AA:AA,1,FALSE)</f>
        <v>#N/A</v>
      </c>
    </row>
    <row r="82" spans="1:28" x14ac:dyDescent="0.25">
      <c r="A82" t="s">
        <v>569</v>
      </c>
      <c r="B82">
        <v>25976989</v>
      </c>
      <c r="C82" t="s">
        <v>575</v>
      </c>
      <c r="D82" t="s">
        <v>21</v>
      </c>
      <c r="F82" t="s">
        <v>576</v>
      </c>
      <c r="G82" t="s">
        <v>577</v>
      </c>
      <c r="H82">
        <v>0</v>
      </c>
      <c r="I82" s="21">
        <v>44231</v>
      </c>
      <c r="J82" t="s">
        <v>59</v>
      </c>
      <c r="K82" t="s">
        <v>60</v>
      </c>
      <c r="L82">
        <v>60</v>
      </c>
      <c r="M82" s="13">
        <v>109170000</v>
      </c>
      <c r="N82">
        <v>2322710</v>
      </c>
      <c r="O82">
        <v>8</v>
      </c>
      <c r="P82" t="s">
        <v>24</v>
      </c>
      <c r="Q82" s="21">
        <v>44259</v>
      </c>
      <c r="R82" s="21">
        <v>46057</v>
      </c>
      <c r="T82" t="s">
        <v>28</v>
      </c>
      <c r="U82" t="s">
        <v>300</v>
      </c>
      <c r="V82">
        <v>1113534</v>
      </c>
      <c r="W82">
        <v>1855890.0000000002</v>
      </c>
      <c r="X82">
        <v>2598246</v>
      </c>
      <c r="Y82">
        <v>3340602.0000000005</v>
      </c>
      <c r="Z82" t="s">
        <v>1040</v>
      </c>
      <c r="AA82" t="str">
        <f t="shared" si="1"/>
        <v>2597698910917000044231</v>
      </c>
      <c r="AB82" t="e">
        <f>VLOOKUP(AA82,Balance!AA:AA,1,FALSE)</f>
        <v>#N/A</v>
      </c>
    </row>
    <row r="83" spans="1:28" x14ac:dyDescent="0.25">
      <c r="A83" t="s">
        <v>26</v>
      </c>
      <c r="B83">
        <v>26089508</v>
      </c>
      <c r="C83" t="s">
        <v>229</v>
      </c>
      <c r="D83" t="s">
        <v>21</v>
      </c>
      <c r="F83" t="s">
        <v>230</v>
      </c>
      <c r="G83" t="s">
        <v>231</v>
      </c>
      <c r="H83">
        <v>0</v>
      </c>
      <c r="I83" s="21">
        <v>45114</v>
      </c>
      <c r="J83" t="s">
        <v>62</v>
      </c>
      <c r="K83" t="s">
        <v>63</v>
      </c>
      <c r="L83">
        <v>54</v>
      </c>
      <c r="M83" s="13">
        <v>40000000</v>
      </c>
      <c r="N83">
        <v>946973</v>
      </c>
      <c r="O83">
        <v>9</v>
      </c>
      <c r="P83" t="s">
        <v>24</v>
      </c>
      <c r="Q83" s="21">
        <v>45329</v>
      </c>
      <c r="R83" s="21">
        <v>46941</v>
      </c>
      <c r="T83" t="s">
        <v>28</v>
      </c>
      <c r="U83" t="s">
        <v>232</v>
      </c>
      <c r="V83">
        <v>1183703.7037037038</v>
      </c>
      <c r="W83">
        <v>0</v>
      </c>
      <c r="X83">
        <v>0</v>
      </c>
      <c r="Y83">
        <v>0</v>
      </c>
      <c r="Z83" t="s">
        <v>1040</v>
      </c>
      <c r="AA83" t="str">
        <f t="shared" si="1"/>
        <v>260895084000000045114</v>
      </c>
      <c r="AB83" t="e">
        <f>VLOOKUP(AA83,Balance!AA:AA,1,FALSE)</f>
        <v>#N/A</v>
      </c>
    </row>
    <row r="84" spans="1:28" x14ac:dyDescent="0.25">
      <c r="A84" t="s">
        <v>26</v>
      </c>
      <c r="B84">
        <v>25927362</v>
      </c>
      <c r="C84" t="s">
        <v>139</v>
      </c>
      <c r="D84" t="s">
        <v>21</v>
      </c>
      <c r="F84" t="s">
        <v>140</v>
      </c>
      <c r="G84" t="s">
        <v>142</v>
      </c>
      <c r="H84">
        <v>0</v>
      </c>
      <c r="I84" s="21">
        <v>45212</v>
      </c>
      <c r="J84" t="s">
        <v>39</v>
      </c>
      <c r="K84" t="s">
        <v>40</v>
      </c>
      <c r="L84">
        <v>24</v>
      </c>
      <c r="M84" s="13">
        <v>50000000</v>
      </c>
      <c r="N84">
        <v>2265700</v>
      </c>
      <c r="O84">
        <v>7</v>
      </c>
      <c r="P84" t="s">
        <v>24</v>
      </c>
      <c r="Q84" s="21">
        <v>45243</v>
      </c>
      <c r="R84" s="21">
        <v>45943</v>
      </c>
      <c r="T84" t="s">
        <v>28</v>
      </c>
      <c r="U84" t="s">
        <v>141</v>
      </c>
      <c r="V84">
        <v>991666.66666666674</v>
      </c>
      <c r="W84">
        <v>814583.33333333337</v>
      </c>
      <c r="X84">
        <v>0</v>
      </c>
      <c r="Y84">
        <v>0</v>
      </c>
      <c r="Z84" t="s">
        <v>1040</v>
      </c>
      <c r="AA84" t="str">
        <f t="shared" si="1"/>
        <v>259273625000000045212</v>
      </c>
      <c r="AB84" t="e">
        <f>VLOOKUP(AA84,Balance!AA:AA,1,FALSE)</f>
        <v>#N/A</v>
      </c>
    </row>
    <row r="85" spans="1:28" x14ac:dyDescent="0.25">
      <c r="A85" t="s">
        <v>26</v>
      </c>
      <c r="B85">
        <v>15692705</v>
      </c>
      <c r="C85" t="s">
        <v>108</v>
      </c>
      <c r="D85" t="s">
        <v>21</v>
      </c>
      <c r="F85" t="s">
        <v>109</v>
      </c>
      <c r="G85" t="s">
        <v>110</v>
      </c>
      <c r="H85">
        <v>0</v>
      </c>
      <c r="I85" s="21">
        <v>44210</v>
      </c>
      <c r="J85" t="s">
        <v>50</v>
      </c>
      <c r="K85" t="s">
        <v>51</v>
      </c>
      <c r="L85">
        <v>96</v>
      </c>
      <c r="M85" s="13">
        <v>49500000</v>
      </c>
      <c r="N85">
        <v>796379</v>
      </c>
      <c r="O85">
        <v>10</v>
      </c>
      <c r="P85" t="s">
        <v>24</v>
      </c>
      <c r="Q85" s="21">
        <v>44241</v>
      </c>
      <c r="R85" s="21">
        <v>47132</v>
      </c>
      <c r="T85" t="s">
        <v>28</v>
      </c>
      <c r="U85" t="s">
        <v>61</v>
      </c>
      <c r="V85">
        <v>929156.25000000012</v>
      </c>
      <c r="W85">
        <v>1139531.25</v>
      </c>
      <c r="X85">
        <v>1349906.25</v>
      </c>
      <c r="Y85">
        <v>1560281.25</v>
      </c>
      <c r="Z85" t="s">
        <v>1040</v>
      </c>
      <c r="AA85" t="str">
        <f t="shared" si="1"/>
        <v>156927054950000044210</v>
      </c>
      <c r="AB85" t="e">
        <f>VLOOKUP(AA85,Balance!AA:AA,1,FALSE)</f>
        <v>#N/A</v>
      </c>
    </row>
    <row r="86" spans="1:28" x14ac:dyDescent="0.25">
      <c r="A86" t="s">
        <v>257</v>
      </c>
      <c r="B86">
        <v>25949900</v>
      </c>
      <c r="C86" t="s">
        <v>268</v>
      </c>
      <c r="D86" t="s">
        <v>21</v>
      </c>
      <c r="F86" t="s">
        <v>269</v>
      </c>
      <c r="G86" t="s">
        <v>270</v>
      </c>
      <c r="H86">
        <v>0</v>
      </c>
      <c r="I86" s="21">
        <v>44593</v>
      </c>
      <c r="J86" t="s">
        <v>59</v>
      </c>
      <c r="K86" t="s">
        <v>60</v>
      </c>
      <c r="L86">
        <v>60</v>
      </c>
      <c r="M86" s="13">
        <v>53500000</v>
      </c>
      <c r="N86">
        <v>1200575</v>
      </c>
      <c r="O86">
        <v>9.99</v>
      </c>
      <c r="P86" t="s">
        <v>24</v>
      </c>
      <c r="Q86" s="21">
        <v>44621</v>
      </c>
      <c r="R86" s="21">
        <v>46419</v>
      </c>
      <c r="T86" t="s">
        <v>28</v>
      </c>
      <c r="U86" t="s">
        <v>262</v>
      </c>
      <c r="V86">
        <v>909500.00000000012</v>
      </c>
      <c r="W86">
        <v>1273300</v>
      </c>
      <c r="X86">
        <v>1637100.0000000002</v>
      </c>
      <c r="Y86">
        <v>0</v>
      </c>
      <c r="Z86" t="s">
        <v>1040</v>
      </c>
      <c r="AA86" t="str">
        <f t="shared" si="1"/>
        <v>259499005350000044593</v>
      </c>
      <c r="AB86" t="e">
        <f>VLOOKUP(AA86,Balance!AA:AA,1,FALSE)</f>
        <v>#N/A</v>
      </c>
    </row>
    <row r="87" spans="1:28" x14ac:dyDescent="0.25">
      <c r="A87" t="s">
        <v>924</v>
      </c>
      <c r="B87">
        <v>65274821</v>
      </c>
      <c r="C87" t="s">
        <v>930</v>
      </c>
      <c r="D87" t="s">
        <v>21</v>
      </c>
      <c r="F87" t="s">
        <v>931</v>
      </c>
      <c r="G87" t="s">
        <v>932</v>
      </c>
      <c r="H87">
        <v>0</v>
      </c>
      <c r="I87" s="21">
        <v>44880</v>
      </c>
      <c r="J87" t="s">
        <v>59</v>
      </c>
      <c r="K87" t="s">
        <v>60</v>
      </c>
      <c r="L87">
        <v>60</v>
      </c>
      <c r="M87" s="13">
        <v>40000000</v>
      </c>
      <c r="N87">
        <v>874272</v>
      </c>
      <c r="O87">
        <v>9</v>
      </c>
      <c r="P87" t="s">
        <v>24</v>
      </c>
      <c r="Q87" s="21">
        <v>44910</v>
      </c>
      <c r="R87" s="21">
        <v>46706</v>
      </c>
      <c r="T87" t="s">
        <v>28</v>
      </c>
      <c r="U87" t="s">
        <v>416</v>
      </c>
      <c r="V87">
        <v>884000.00000000012</v>
      </c>
      <c r="W87">
        <v>1156000</v>
      </c>
      <c r="X87">
        <v>680000</v>
      </c>
      <c r="Y87">
        <v>0</v>
      </c>
      <c r="Z87" t="s">
        <v>1040</v>
      </c>
      <c r="AA87" t="str">
        <f t="shared" si="1"/>
        <v>652748214000000044880</v>
      </c>
      <c r="AB87" t="e">
        <f>VLOOKUP(AA87,Balance!AA:AA,1,FALSE)</f>
        <v>#N/A</v>
      </c>
    </row>
    <row r="88" spans="1:28" x14ac:dyDescent="0.25">
      <c r="A88" t="s">
        <v>315</v>
      </c>
      <c r="B88">
        <v>56396314</v>
      </c>
      <c r="C88" t="s">
        <v>326</v>
      </c>
      <c r="D88" t="s">
        <v>21</v>
      </c>
      <c r="F88" t="s">
        <v>327</v>
      </c>
      <c r="G88" t="s">
        <v>329</v>
      </c>
      <c r="H88">
        <v>0</v>
      </c>
      <c r="I88" s="21">
        <v>45215</v>
      </c>
      <c r="J88" t="s">
        <v>59</v>
      </c>
      <c r="K88" t="s">
        <v>60</v>
      </c>
      <c r="L88">
        <v>60</v>
      </c>
      <c r="M88" s="13">
        <v>31000000</v>
      </c>
      <c r="N88">
        <v>677561</v>
      </c>
      <c r="O88">
        <v>9</v>
      </c>
      <c r="P88" t="s">
        <v>24</v>
      </c>
      <c r="Q88" s="21">
        <v>45246</v>
      </c>
      <c r="R88" s="21">
        <v>47042</v>
      </c>
      <c r="T88" t="s">
        <v>28</v>
      </c>
      <c r="U88" t="s">
        <v>320</v>
      </c>
      <c r="V88">
        <v>878333.33333333337</v>
      </c>
      <c r="W88">
        <v>518216.66666666669</v>
      </c>
      <c r="X88">
        <v>0</v>
      </c>
      <c r="Y88">
        <v>0</v>
      </c>
      <c r="Z88" t="s">
        <v>1040</v>
      </c>
      <c r="AA88" t="str">
        <f t="shared" si="1"/>
        <v>563963143100000045215</v>
      </c>
      <c r="AB88" t="e">
        <f>VLOOKUP(AA88,Balance!AA:AA,1,FALSE)</f>
        <v>#N/A</v>
      </c>
    </row>
    <row r="89" spans="1:28" x14ac:dyDescent="0.25">
      <c r="A89" t="s">
        <v>528</v>
      </c>
      <c r="B89">
        <v>33096020</v>
      </c>
      <c r="C89" t="s">
        <v>566</v>
      </c>
      <c r="D89" t="s">
        <v>21</v>
      </c>
      <c r="F89" t="s">
        <v>567</v>
      </c>
      <c r="G89" t="s">
        <v>568</v>
      </c>
      <c r="H89">
        <v>0</v>
      </c>
      <c r="I89" s="21">
        <v>44468</v>
      </c>
      <c r="J89" t="s">
        <v>29</v>
      </c>
      <c r="K89" t="s">
        <v>30</v>
      </c>
      <c r="L89">
        <v>48</v>
      </c>
      <c r="M89" s="13">
        <v>100000000</v>
      </c>
      <c r="N89">
        <v>2477834</v>
      </c>
      <c r="O89">
        <v>7.5</v>
      </c>
      <c r="P89" t="s">
        <v>24</v>
      </c>
      <c r="Q89" s="21">
        <v>44498</v>
      </c>
      <c r="R89" s="21">
        <v>45929</v>
      </c>
      <c r="T89" t="s">
        <v>28</v>
      </c>
      <c r="U89" t="s">
        <v>141</v>
      </c>
      <c r="V89">
        <v>920833.33333333337</v>
      </c>
      <c r="W89">
        <v>1770833.3333333335</v>
      </c>
      <c r="X89">
        <v>2620833.3333333335</v>
      </c>
      <c r="Y89">
        <v>1629166.6666666667</v>
      </c>
      <c r="Z89" t="s">
        <v>1040</v>
      </c>
      <c r="AA89" t="str">
        <f t="shared" si="1"/>
        <v>3309602010000000044468</v>
      </c>
      <c r="AB89" t="str">
        <f>VLOOKUP(AA89,Balance!AA:AA,1,FALSE)</f>
        <v>3309602010000000044468</v>
      </c>
    </row>
    <row r="90" spans="1:28" x14ac:dyDescent="0.25">
      <c r="A90" t="s">
        <v>330</v>
      </c>
      <c r="B90">
        <v>8205115</v>
      </c>
      <c r="C90" t="s">
        <v>392</v>
      </c>
      <c r="D90" t="s">
        <v>21</v>
      </c>
      <c r="F90" t="s">
        <v>393</v>
      </c>
      <c r="G90" t="s">
        <v>395</v>
      </c>
      <c r="H90">
        <v>0</v>
      </c>
      <c r="I90" s="21">
        <v>44916</v>
      </c>
      <c r="J90" t="s">
        <v>52</v>
      </c>
      <c r="K90" t="s">
        <v>53</v>
      </c>
      <c r="L90">
        <v>24</v>
      </c>
      <c r="M90" s="13">
        <v>196700000</v>
      </c>
      <c r="N90">
        <v>9018713</v>
      </c>
      <c r="O90">
        <v>8</v>
      </c>
      <c r="P90" t="s">
        <v>24</v>
      </c>
      <c r="Q90" s="21">
        <v>44947</v>
      </c>
      <c r="R90" s="21">
        <v>45647</v>
      </c>
      <c r="T90" t="s">
        <v>28</v>
      </c>
      <c r="U90" t="s">
        <v>72</v>
      </c>
      <c r="V90">
        <v>1114633.3333333335</v>
      </c>
      <c r="W90">
        <v>4458533.333333334</v>
      </c>
      <c r="X90">
        <v>0</v>
      </c>
      <c r="Y90">
        <v>0</v>
      </c>
      <c r="Z90" t="s">
        <v>1040</v>
      </c>
      <c r="AA90" t="str">
        <f t="shared" si="1"/>
        <v>820511519670000044916</v>
      </c>
      <c r="AB90" t="e">
        <f>VLOOKUP(AA90,Balance!AA:AA,1,FALSE)</f>
        <v>#N/A</v>
      </c>
    </row>
    <row r="91" spans="1:28" x14ac:dyDescent="0.25">
      <c r="A91" t="s">
        <v>702</v>
      </c>
      <c r="B91">
        <v>27531360</v>
      </c>
      <c r="C91" t="s">
        <v>747</v>
      </c>
      <c r="D91" t="s">
        <v>21</v>
      </c>
      <c r="F91" t="s">
        <v>748</v>
      </c>
      <c r="G91" t="s">
        <v>749</v>
      </c>
      <c r="H91">
        <v>0</v>
      </c>
      <c r="I91" s="21">
        <v>45229</v>
      </c>
      <c r="J91" t="s">
        <v>59</v>
      </c>
      <c r="K91" t="s">
        <v>60</v>
      </c>
      <c r="L91">
        <v>60</v>
      </c>
      <c r="M91" s="13">
        <v>30000000</v>
      </c>
      <c r="N91">
        <v>673398</v>
      </c>
      <c r="O91">
        <v>10</v>
      </c>
      <c r="P91" t="s">
        <v>24</v>
      </c>
      <c r="Q91" s="21">
        <v>45260</v>
      </c>
      <c r="R91" s="21">
        <v>47056</v>
      </c>
      <c r="T91" t="s">
        <v>28</v>
      </c>
      <c r="U91" t="s">
        <v>707</v>
      </c>
      <c r="V91">
        <v>850000.00000000012</v>
      </c>
      <c r="W91">
        <v>501500.00000000006</v>
      </c>
      <c r="X91">
        <v>0</v>
      </c>
      <c r="Y91">
        <v>0</v>
      </c>
      <c r="Z91" t="s">
        <v>1040</v>
      </c>
      <c r="AA91" t="str">
        <f t="shared" si="1"/>
        <v>275313603000000045229</v>
      </c>
      <c r="AB91" t="e">
        <f>VLOOKUP(AA91,Balance!AA:AA,1,FALSE)</f>
        <v>#N/A</v>
      </c>
    </row>
    <row r="92" spans="1:28" x14ac:dyDescent="0.25">
      <c r="A92" t="s">
        <v>796</v>
      </c>
      <c r="B92">
        <v>26045942</v>
      </c>
      <c r="C92" t="s">
        <v>802</v>
      </c>
      <c r="D92" t="s">
        <v>21</v>
      </c>
      <c r="F92" t="s">
        <v>803</v>
      </c>
      <c r="G92" t="s">
        <v>804</v>
      </c>
      <c r="H92">
        <v>0</v>
      </c>
      <c r="I92" s="21">
        <v>45169</v>
      </c>
      <c r="J92" t="s">
        <v>62</v>
      </c>
      <c r="K92" t="s">
        <v>63</v>
      </c>
      <c r="L92">
        <v>60</v>
      </c>
      <c r="M92" s="13">
        <v>30000000</v>
      </c>
      <c r="N92">
        <v>591329</v>
      </c>
      <c r="O92">
        <v>12</v>
      </c>
      <c r="P92" t="s">
        <v>24</v>
      </c>
      <c r="Q92" s="21">
        <v>45560</v>
      </c>
      <c r="R92" s="21">
        <v>47355</v>
      </c>
      <c r="T92" t="s">
        <v>28</v>
      </c>
      <c r="U92" t="s">
        <v>641</v>
      </c>
      <c r="V92">
        <v>484500.00000000006</v>
      </c>
      <c r="W92">
        <v>0</v>
      </c>
      <c r="X92">
        <v>0</v>
      </c>
      <c r="Y92">
        <v>0</v>
      </c>
      <c r="Z92" t="s">
        <v>1040</v>
      </c>
      <c r="AA92" t="str">
        <f t="shared" si="1"/>
        <v>260459423000000045169</v>
      </c>
      <c r="AB92" t="e">
        <f>VLOOKUP(AA92,Balance!AA:AA,1,FALSE)</f>
        <v>#N/A</v>
      </c>
    </row>
    <row r="93" spans="1:28" x14ac:dyDescent="0.25">
      <c r="A93" t="s">
        <v>857</v>
      </c>
      <c r="B93">
        <v>26035062</v>
      </c>
      <c r="C93" t="s">
        <v>869</v>
      </c>
      <c r="D93" t="s">
        <v>21</v>
      </c>
      <c r="F93" t="s">
        <v>870</v>
      </c>
      <c r="G93" t="s">
        <v>872</v>
      </c>
      <c r="H93">
        <v>0</v>
      </c>
      <c r="I93" s="21">
        <v>45072</v>
      </c>
      <c r="J93" t="s">
        <v>59</v>
      </c>
      <c r="K93" t="s">
        <v>60</v>
      </c>
      <c r="L93">
        <v>48</v>
      </c>
      <c r="M93" s="13">
        <v>34342036</v>
      </c>
      <c r="N93">
        <v>891412</v>
      </c>
      <c r="O93">
        <v>9</v>
      </c>
      <c r="P93" t="s">
        <v>24</v>
      </c>
      <c r="Q93" s="21">
        <v>45103</v>
      </c>
      <c r="R93" s="21">
        <v>46533</v>
      </c>
      <c r="T93" t="s">
        <v>28</v>
      </c>
      <c r="U93" t="s">
        <v>416</v>
      </c>
      <c r="V93">
        <v>802745.0915000001</v>
      </c>
      <c r="W93">
        <v>1094652.3975</v>
      </c>
      <c r="X93">
        <v>0</v>
      </c>
      <c r="Y93">
        <v>0</v>
      </c>
      <c r="Z93" t="s">
        <v>1040</v>
      </c>
      <c r="AA93" t="str">
        <f t="shared" si="1"/>
        <v>260350623434203645072</v>
      </c>
      <c r="AB93" t="e">
        <f>VLOOKUP(AA93,Balance!AA:AA,1,FALSE)</f>
        <v>#N/A</v>
      </c>
    </row>
    <row r="94" spans="1:28" x14ac:dyDescent="0.25">
      <c r="A94" t="s">
        <v>528</v>
      </c>
      <c r="B94">
        <v>26071139</v>
      </c>
      <c r="C94" t="s">
        <v>558</v>
      </c>
      <c r="D94" t="s">
        <v>21</v>
      </c>
      <c r="F94" t="s">
        <v>559</v>
      </c>
      <c r="G94" t="s">
        <v>560</v>
      </c>
      <c r="H94">
        <v>0</v>
      </c>
      <c r="I94" s="21">
        <v>44904</v>
      </c>
      <c r="J94" t="s">
        <v>59</v>
      </c>
      <c r="K94" t="s">
        <v>60</v>
      </c>
      <c r="L94">
        <v>60</v>
      </c>
      <c r="M94" s="13">
        <v>34000000</v>
      </c>
      <c r="N94">
        <v>723387</v>
      </c>
      <c r="O94">
        <v>8</v>
      </c>
      <c r="P94" t="s">
        <v>24</v>
      </c>
      <c r="Q94" s="21">
        <v>44935</v>
      </c>
      <c r="R94" s="21">
        <v>46730</v>
      </c>
      <c r="T94" t="s">
        <v>28</v>
      </c>
      <c r="U94" t="s">
        <v>498</v>
      </c>
      <c r="V94">
        <v>770666.66666666674</v>
      </c>
      <c r="W94">
        <v>1001866.6666666667</v>
      </c>
      <c r="X94">
        <v>0</v>
      </c>
      <c r="Y94">
        <v>0</v>
      </c>
      <c r="Z94" t="s">
        <v>1040</v>
      </c>
      <c r="AA94" t="str">
        <f t="shared" si="1"/>
        <v>260711393400000044904</v>
      </c>
      <c r="AB94" t="e">
        <f>VLOOKUP(AA94,Balance!AA:AA,1,FALSE)</f>
        <v>#N/A</v>
      </c>
    </row>
    <row r="95" spans="1:28" x14ac:dyDescent="0.25">
      <c r="A95" t="s">
        <v>786</v>
      </c>
      <c r="B95">
        <v>26032742</v>
      </c>
      <c r="C95" t="s">
        <v>788</v>
      </c>
      <c r="D95" t="s">
        <v>21</v>
      </c>
      <c r="F95" t="s">
        <v>789</v>
      </c>
      <c r="G95" t="s">
        <v>791</v>
      </c>
      <c r="H95">
        <v>0</v>
      </c>
      <c r="I95" s="21">
        <v>45012</v>
      </c>
      <c r="J95" t="s">
        <v>59</v>
      </c>
      <c r="K95" t="s">
        <v>60</v>
      </c>
      <c r="L95">
        <v>36</v>
      </c>
      <c r="M95" s="13">
        <v>44000000</v>
      </c>
      <c r="N95">
        <v>1469582</v>
      </c>
      <c r="O95">
        <v>9.99</v>
      </c>
      <c r="P95" t="s">
        <v>24</v>
      </c>
      <c r="Q95" s="21">
        <v>45043</v>
      </c>
      <c r="R95" s="21">
        <v>46108</v>
      </c>
      <c r="T95" t="s">
        <v>28</v>
      </c>
      <c r="U95" t="s">
        <v>598</v>
      </c>
      <c r="V95">
        <v>789555.55555555562</v>
      </c>
      <c r="W95">
        <v>1288222.2222222222</v>
      </c>
      <c r="X95">
        <v>0</v>
      </c>
      <c r="Y95">
        <v>0</v>
      </c>
      <c r="Z95" t="s">
        <v>1040</v>
      </c>
      <c r="AA95" t="str">
        <f t="shared" si="1"/>
        <v>260327424400000045012</v>
      </c>
      <c r="AB95" t="e">
        <f>VLOOKUP(AA95,Balance!AA:AA,1,FALSE)</f>
        <v>#N/A</v>
      </c>
    </row>
    <row r="96" spans="1:28" x14ac:dyDescent="0.25">
      <c r="A96" t="s">
        <v>702</v>
      </c>
      <c r="B96">
        <v>25972236</v>
      </c>
      <c r="C96" t="s">
        <v>715</v>
      </c>
      <c r="D96" t="s">
        <v>21</v>
      </c>
      <c r="F96" t="s">
        <v>716</v>
      </c>
      <c r="G96" t="s">
        <v>717</v>
      </c>
      <c r="H96">
        <v>0</v>
      </c>
      <c r="I96" s="21">
        <v>44497</v>
      </c>
      <c r="J96" t="s">
        <v>59</v>
      </c>
      <c r="K96" t="s">
        <v>60</v>
      </c>
      <c r="L96">
        <v>60</v>
      </c>
      <c r="M96" s="13">
        <v>50000000</v>
      </c>
      <c r="N96">
        <v>1122033</v>
      </c>
      <c r="O96">
        <v>9.99</v>
      </c>
      <c r="P96" t="s">
        <v>24</v>
      </c>
      <c r="Q96" s="21">
        <v>44528</v>
      </c>
      <c r="R96" s="21">
        <v>46323</v>
      </c>
      <c r="T96" t="s">
        <v>28</v>
      </c>
      <c r="U96" t="s">
        <v>707</v>
      </c>
      <c r="V96">
        <v>736666.66666666674</v>
      </c>
      <c r="W96">
        <v>1076666.6666666667</v>
      </c>
      <c r="X96">
        <v>1416666.6666666667</v>
      </c>
      <c r="Y96">
        <v>835833.33333333337</v>
      </c>
      <c r="Z96" t="s">
        <v>1040</v>
      </c>
      <c r="AA96" t="str">
        <f t="shared" si="1"/>
        <v>259722365000000044497</v>
      </c>
      <c r="AB96" t="e">
        <f>VLOOKUP(AA96,Balance!AA:AA,1,FALSE)</f>
        <v>#N/A</v>
      </c>
    </row>
    <row r="97" spans="1:28" x14ac:dyDescent="0.25">
      <c r="A97" t="s">
        <v>750</v>
      </c>
      <c r="B97">
        <v>52217061</v>
      </c>
      <c r="C97" t="s">
        <v>770</v>
      </c>
      <c r="D97" t="s">
        <v>21</v>
      </c>
      <c r="E97">
        <v>28960</v>
      </c>
      <c r="F97" t="s">
        <v>771</v>
      </c>
      <c r="G97" t="s">
        <v>772</v>
      </c>
      <c r="H97">
        <v>1</v>
      </c>
      <c r="I97" s="21">
        <v>44544</v>
      </c>
      <c r="J97" t="s">
        <v>29</v>
      </c>
      <c r="K97" t="s">
        <v>30</v>
      </c>
      <c r="L97">
        <v>36</v>
      </c>
      <c r="M97" s="13">
        <v>250000000</v>
      </c>
      <c r="N97">
        <v>3196755</v>
      </c>
      <c r="O97">
        <v>8</v>
      </c>
      <c r="P97" t="s">
        <v>24</v>
      </c>
      <c r="Q97" s="21">
        <v>44575</v>
      </c>
      <c r="R97" s="21">
        <v>45640</v>
      </c>
      <c r="T97" t="s">
        <v>28</v>
      </c>
      <c r="U97" t="s">
        <v>83</v>
      </c>
      <c r="V97">
        <v>944444.4444444445</v>
      </c>
      <c r="W97">
        <v>3777777.777777778</v>
      </c>
      <c r="X97">
        <v>6611111.1111111119</v>
      </c>
      <c r="Y97">
        <v>0</v>
      </c>
      <c r="Z97" t="s">
        <v>1039</v>
      </c>
      <c r="AA97" t="str">
        <f t="shared" si="1"/>
        <v>5221706125000000044544</v>
      </c>
      <c r="AB97" t="str">
        <f>VLOOKUP(AA97,Balance!AA:AA,1,FALSE)</f>
        <v>5221706125000000044544</v>
      </c>
    </row>
    <row r="98" spans="1:28" x14ac:dyDescent="0.25">
      <c r="A98" t="s">
        <v>257</v>
      </c>
      <c r="B98">
        <v>25970847</v>
      </c>
      <c r="C98" t="s">
        <v>272</v>
      </c>
      <c r="D98" t="s">
        <v>21</v>
      </c>
      <c r="F98" t="s">
        <v>273</v>
      </c>
      <c r="G98" t="s">
        <v>274</v>
      </c>
      <c r="H98">
        <v>0</v>
      </c>
      <c r="I98" s="21">
        <v>45222</v>
      </c>
      <c r="J98" t="s">
        <v>59</v>
      </c>
      <c r="K98" t="s">
        <v>60</v>
      </c>
      <c r="L98">
        <v>60</v>
      </c>
      <c r="M98" s="13">
        <v>25000000</v>
      </c>
      <c r="N98">
        <v>561016</v>
      </c>
      <c r="O98">
        <v>9.99</v>
      </c>
      <c r="P98" t="s">
        <v>24</v>
      </c>
      <c r="Q98" s="21">
        <v>45253</v>
      </c>
      <c r="R98" s="21">
        <v>47049</v>
      </c>
      <c r="T98" t="s">
        <v>28</v>
      </c>
      <c r="U98" t="s">
        <v>262</v>
      </c>
      <c r="V98">
        <v>708333.33333333337</v>
      </c>
      <c r="W98">
        <v>417916.66666666669</v>
      </c>
      <c r="X98">
        <v>0</v>
      </c>
      <c r="Y98">
        <v>0</v>
      </c>
      <c r="Z98" t="s">
        <v>1040</v>
      </c>
      <c r="AA98" t="str">
        <f t="shared" si="1"/>
        <v>259708472500000045222</v>
      </c>
      <c r="AB98" t="e">
        <f>VLOOKUP(AA98,Balance!AA:AA,1,FALSE)</f>
        <v>#N/A</v>
      </c>
    </row>
    <row r="99" spans="1:28" x14ac:dyDescent="0.25">
      <c r="A99" t="s">
        <v>636</v>
      </c>
      <c r="B99">
        <v>40781235</v>
      </c>
      <c r="C99" t="s">
        <v>652</v>
      </c>
      <c r="D99" t="s">
        <v>21</v>
      </c>
      <c r="F99" t="s">
        <v>653</v>
      </c>
      <c r="G99" t="s">
        <v>654</v>
      </c>
      <c r="H99">
        <v>0</v>
      </c>
      <c r="I99" s="21">
        <v>45093</v>
      </c>
      <c r="J99" t="s">
        <v>59</v>
      </c>
      <c r="K99" t="s">
        <v>60</v>
      </c>
      <c r="L99">
        <v>60</v>
      </c>
      <c r="M99" s="13">
        <v>26000000</v>
      </c>
      <c r="N99">
        <v>583457</v>
      </c>
      <c r="O99">
        <v>9.99</v>
      </c>
      <c r="P99" t="s">
        <v>24</v>
      </c>
      <c r="Q99" s="21">
        <v>45123</v>
      </c>
      <c r="R99" s="21">
        <v>46920</v>
      </c>
      <c r="T99" t="s">
        <v>28</v>
      </c>
      <c r="U99" t="s">
        <v>641</v>
      </c>
      <c r="V99">
        <v>677733.33333333337</v>
      </c>
      <c r="W99">
        <v>405166.66666666669</v>
      </c>
      <c r="X99">
        <v>0</v>
      </c>
      <c r="Y99">
        <v>0</v>
      </c>
      <c r="Z99" t="s">
        <v>1040</v>
      </c>
      <c r="AA99" t="str">
        <f t="shared" si="1"/>
        <v>407812352600000045093</v>
      </c>
      <c r="AB99" t="e">
        <f>VLOOKUP(AA99,Balance!AA:AA,1,FALSE)</f>
        <v>#N/A</v>
      </c>
    </row>
    <row r="100" spans="1:28" x14ac:dyDescent="0.25">
      <c r="A100" t="s">
        <v>396</v>
      </c>
      <c r="B100">
        <v>998200</v>
      </c>
      <c r="C100" t="s">
        <v>398</v>
      </c>
      <c r="D100" t="s">
        <v>21</v>
      </c>
      <c r="E100">
        <v>16567</v>
      </c>
      <c r="F100" t="s">
        <v>399</v>
      </c>
      <c r="G100" t="s">
        <v>401</v>
      </c>
      <c r="H100">
        <v>0</v>
      </c>
      <c r="I100" s="21">
        <v>44993</v>
      </c>
      <c r="J100" t="s">
        <v>39</v>
      </c>
      <c r="K100" t="s">
        <v>40</v>
      </c>
      <c r="L100">
        <v>24</v>
      </c>
      <c r="M100" s="13">
        <v>75000000</v>
      </c>
      <c r="N100">
        <v>3414599</v>
      </c>
      <c r="O100">
        <v>7.4</v>
      </c>
      <c r="P100" t="s">
        <v>24</v>
      </c>
      <c r="Q100" s="21">
        <v>45024</v>
      </c>
      <c r="R100" s="21">
        <v>45724</v>
      </c>
      <c r="T100" t="s">
        <v>28</v>
      </c>
      <c r="U100" t="s">
        <v>41</v>
      </c>
      <c r="V100">
        <v>743750</v>
      </c>
      <c r="W100">
        <v>2018750.0000000002</v>
      </c>
      <c r="X100">
        <v>0</v>
      </c>
      <c r="Y100">
        <v>0</v>
      </c>
      <c r="Z100" t="s">
        <v>1040</v>
      </c>
      <c r="AA100" t="str">
        <f t="shared" si="1"/>
        <v>9982007500000044993</v>
      </c>
      <c r="AB100" t="e">
        <f>VLOOKUP(AA100,Balance!AA:AA,1,FALSE)</f>
        <v>#N/A</v>
      </c>
    </row>
    <row r="101" spans="1:28" x14ac:dyDescent="0.25">
      <c r="A101" t="s">
        <v>407</v>
      </c>
      <c r="B101">
        <v>45534317</v>
      </c>
      <c r="C101" t="s">
        <v>491</v>
      </c>
      <c r="D101" t="s">
        <v>21</v>
      </c>
      <c r="E101">
        <v>25261</v>
      </c>
      <c r="F101" t="s">
        <v>492</v>
      </c>
      <c r="G101" t="s">
        <v>493</v>
      </c>
      <c r="H101">
        <v>0</v>
      </c>
      <c r="I101" s="21">
        <v>45212</v>
      </c>
      <c r="J101" t="s">
        <v>59</v>
      </c>
      <c r="K101" t="s">
        <v>60</v>
      </c>
      <c r="L101">
        <v>60</v>
      </c>
      <c r="M101" s="13">
        <v>22500000</v>
      </c>
      <c r="N101">
        <v>491778</v>
      </c>
      <c r="O101">
        <v>9</v>
      </c>
      <c r="P101" t="s">
        <v>24</v>
      </c>
      <c r="Q101" s="21">
        <v>45243</v>
      </c>
      <c r="R101" s="21">
        <v>47039</v>
      </c>
      <c r="T101" t="s">
        <v>28</v>
      </c>
      <c r="U101" t="s">
        <v>416</v>
      </c>
      <c r="V101">
        <v>637500</v>
      </c>
      <c r="W101">
        <v>376125</v>
      </c>
      <c r="X101">
        <v>0</v>
      </c>
      <c r="Y101">
        <v>0</v>
      </c>
      <c r="Z101" t="s">
        <v>1040</v>
      </c>
      <c r="AA101" t="str">
        <f t="shared" si="1"/>
        <v>455343172250000045212</v>
      </c>
      <c r="AB101" t="e">
        <f>VLOOKUP(AA101,Balance!AA:AA,1,FALSE)</f>
        <v>#N/A</v>
      </c>
    </row>
    <row r="102" spans="1:28" x14ac:dyDescent="0.25">
      <c r="A102" t="s">
        <v>857</v>
      </c>
      <c r="B102">
        <v>26037510</v>
      </c>
      <c r="C102" t="s">
        <v>874</v>
      </c>
      <c r="D102" t="s">
        <v>21</v>
      </c>
      <c r="F102" t="s">
        <v>875</v>
      </c>
      <c r="G102" t="s">
        <v>876</v>
      </c>
      <c r="H102">
        <v>0</v>
      </c>
      <c r="I102" s="21">
        <v>44809</v>
      </c>
      <c r="J102" t="s">
        <v>59</v>
      </c>
      <c r="K102" t="s">
        <v>60</v>
      </c>
      <c r="L102">
        <v>60</v>
      </c>
      <c r="M102" s="13">
        <v>30000000</v>
      </c>
      <c r="N102">
        <v>698670</v>
      </c>
      <c r="O102">
        <v>12</v>
      </c>
      <c r="P102" t="s">
        <v>24</v>
      </c>
      <c r="Q102" s="21">
        <v>44839</v>
      </c>
      <c r="R102" s="21">
        <v>46635</v>
      </c>
      <c r="T102" t="s">
        <v>28</v>
      </c>
      <c r="U102" t="s">
        <v>310</v>
      </c>
      <c r="V102">
        <v>629000</v>
      </c>
      <c r="W102">
        <v>833000.00000000012</v>
      </c>
      <c r="X102">
        <v>493000.00000000006</v>
      </c>
      <c r="Y102">
        <v>0</v>
      </c>
      <c r="Z102" t="s">
        <v>1040</v>
      </c>
      <c r="AA102" t="str">
        <f t="shared" si="1"/>
        <v>260375103000000044809</v>
      </c>
      <c r="AB102" t="e">
        <f>VLOOKUP(AA102,Balance!AA:AA,1,FALSE)</f>
        <v>#N/A</v>
      </c>
    </row>
    <row r="103" spans="1:28" x14ac:dyDescent="0.25">
      <c r="A103" t="s">
        <v>407</v>
      </c>
      <c r="B103">
        <v>25993201</v>
      </c>
      <c r="C103" t="s">
        <v>447</v>
      </c>
      <c r="D103" t="s">
        <v>21</v>
      </c>
      <c r="F103" t="s">
        <v>448</v>
      </c>
      <c r="G103" t="s">
        <v>449</v>
      </c>
      <c r="H103">
        <v>1</v>
      </c>
      <c r="I103" s="21">
        <v>45134</v>
      </c>
      <c r="J103" t="s">
        <v>62</v>
      </c>
      <c r="K103" t="s">
        <v>63</v>
      </c>
      <c r="L103">
        <v>45</v>
      </c>
      <c r="M103" s="13">
        <v>25000000</v>
      </c>
      <c r="N103">
        <v>674846</v>
      </c>
      <c r="O103">
        <v>9</v>
      </c>
      <c r="P103" t="s">
        <v>24</v>
      </c>
      <c r="Q103" s="21">
        <v>45257</v>
      </c>
      <c r="R103" s="21">
        <v>46595</v>
      </c>
      <c r="T103" t="s">
        <v>28</v>
      </c>
      <c r="U103" t="s">
        <v>310</v>
      </c>
      <c r="V103">
        <v>661111.11111111112</v>
      </c>
      <c r="W103">
        <v>415555.55555555556</v>
      </c>
      <c r="X103">
        <v>0</v>
      </c>
      <c r="Y103">
        <v>0</v>
      </c>
      <c r="Z103" t="s">
        <v>1040</v>
      </c>
      <c r="AA103" t="str">
        <f t="shared" si="1"/>
        <v>259932012500000045134</v>
      </c>
      <c r="AB103" t="e">
        <f>VLOOKUP(AA103,Balance!AA:AA,1,FALSE)</f>
        <v>#N/A</v>
      </c>
    </row>
    <row r="104" spans="1:28" x14ac:dyDescent="0.25">
      <c r="A104" t="s">
        <v>26</v>
      </c>
      <c r="B104">
        <v>15053900</v>
      </c>
      <c r="C104" t="s">
        <v>36</v>
      </c>
      <c r="D104" t="s">
        <v>21</v>
      </c>
      <c r="E104">
        <v>22283</v>
      </c>
      <c r="F104" t="s">
        <v>37</v>
      </c>
      <c r="G104" t="s">
        <v>43</v>
      </c>
      <c r="H104">
        <v>0</v>
      </c>
      <c r="I104" s="21">
        <v>45243</v>
      </c>
      <c r="J104" t="s">
        <v>39</v>
      </c>
      <c r="K104" t="s">
        <v>40</v>
      </c>
      <c r="L104">
        <v>12</v>
      </c>
      <c r="M104" s="13">
        <v>75000000</v>
      </c>
      <c r="N104">
        <v>6575358</v>
      </c>
      <c r="O104">
        <v>7.5</v>
      </c>
      <c r="P104" t="s">
        <v>24</v>
      </c>
      <c r="Q104" s="21">
        <v>45273</v>
      </c>
      <c r="R104" s="21">
        <v>45609</v>
      </c>
      <c r="T104" t="s">
        <v>28</v>
      </c>
      <c r="U104" t="s">
        <v>41</v>
      </c>
      <c r="V104">
        <v>637500</v>
      </c>
      <c r="W104">
        <v>1275000</v>
      </c>
      <c r="X104">
        <v>0</v>
      </c>
      <c r="Y104">
        <v>0</v>
      </c>
      <c r="Z104" t="s">
        <v>1040</v>
      </c>
      <c r="AA104" t="str">
        <f t="shared" si="1"/>
        <v>150539007500000045243</v>
      </c>
      <c r="AB104" t="e">
        <f>VLOOKUP(AA104,Balance!AA:AA,1,FALSE)</f>
        <v>#N/A</v>
      </c>
    </row>
    <row r="105" spans="1:28" x14ac:dyDescent="0.25">
      <c r="A105" t="s">
        <v>26</v>
      </c>
      <c r="B105">
        <v>15510605</v>
      </c>
      <c r="C105" t="s">
        <v>74</v>
      </c>
      <c r="D105" t="s">
        <v>21</v>
      </c>
      <c r="F105" t="s">
        <v>75</v>
      </c>
      <c r="G105" t="s">
        <v>76</v>
      </c>
      <c r="H105">
        <v>0</v>
      </c>
      <c r="I105" s="21">
        <v>44546</v>
      </c>
      <c r="J105" t="s">
        <v>50</v>
      </c>
      <c r="K105" t="s">
        <v>51</v>
      </c>
      <c r="L105">
        <v>36</v>
      </c>
      <c r="M105" s="13">
        <v>180000000</v>
      </c>
      <c r="N105">
        <v>5705121</v>
      </c>
      <c r="O105">
        <v>7.5</v>
      </c>
      <c r="P105" t="s">
        <v>24</v>
      </c>
      <c r="Q105" s="21">
        <v>44577</v>
      </c>
      <c r="R105" s="21">
        <v>45642</v>
      </c>
      <c r="T105" t="s">
        <v>28</v>
      </c>
      <c r="U105" t="s">
        <v>77</v>
      </c>
      <c r="V105">
        <v>680000</v>
      </c>
      <c r="W105">
        <v>2720000</v>
      </c>
      <c r="X105">
        <v>4760000</v>
      </c>
      <c r="Y105">
        <v>0</v>
      </c>
      <c r="Z105" t="s">
        <v>1040</v>
      </c>
      <c r="AA105" t="str">
        <f t="shared" si="1"/>
        <v>1551060518000000044546</v>
      </c>
      <c r="AB105" t="str">
        <f>VLOOKUP(AA105,Balance!AA:AA,1,FALSE)</f>
        <v>1551060518000000044546</v>
      </c>
    </row>
    <row r="106" spans="1:28" x14ac:dyDescent="0.25">
      <c r="A106" t="s">
        <v>750</v>
      </c>
      <c r="B106">
        <v>26049326</v>
      </c>
      <c r="C106" t="s">
        <v>762</v>
      </c>
      <c r="D106" t="s">
        <v>21</v>
      </c>
      <c r="F106" t="s">
        <v>763</v>
      </c>
      <c r="G106" t="s">
        <v>764</v>
      </c>
      <c r="H106">
        <v>0</v>
      </c>
      <c r="I106" s="21">
        <v>44678</v>
      </c>
      <c r="J106" t="s">
        <v>29</v>
      </c>
      <c r="K106" t="s">
        <v>30</v>
      </c>
      <c r="L106">
        <v>60</v>
      </c>
      <c r="M106" s="13">
        <v>27000000</v>
      </c>
      <c r="N106">
        <v>605898</v>
      </c>
      <c r="O106">
        <v>9.99</v>
      </c>
      <c r="P106" t="s">
        <v>24</v>
      </c>
      <c r="Q106" s="21">
        <v>44727</v>
      </c>
      <c r="R106" s="21">
        <v>46522</v>
      </c>
      <c r="T106" t="s">
        <v>28</v>
      </c>
      <c r="U106" t="s">
        <v>755</v>
      </c>
      <c r="V106">
        <v>504900.00000000006</v>
      </c>
      <c r="W106">
        <v>688500</v>
      </c>
      <c r="X106">
        <v>872100.00000000012</v>
      </c>
      <c r="Y106">
        <v>0</v>
      </c>
      <c r="Z106" t="s">
        <v>1040</v>
      </c>
      <c r="AA106" t="str">
        <f t="shared" si="1"/>
        <v>260493262700000044678</v>
      </c>
      <c r="AB106" t="e">
        <f>VLOOKUP(AA106,Balance!AA:AA,1,FALSE)</f>
        <v>#N/A</v>
      </c>
    </row>
    <row r="107" spans="1:28" x14ac:dyDescent="0.25">
      <c r="A107" t="s">
        <v>593</v>
      </c>
      <c r="B107">
        <v>208230</v>
      </c>
      <c r="C107" t="s">
        <v>595</v>
      </c>
      <c r="D107" t="s">
        <v>21</v>
      </c>
      <c r="F107" t="s">
        <v>596</v>
      </c>
      <c r="G107" t="s">
        <v>597</v>
      </c>
      <c r="H107">
        <v>1</v>
      </c>
      <c r="I107" s="21">
        <v>45066</v>
      </c>
      <c r="J107" t="s">
        <v>62</v>
      </c>
      <c r="K107" t="s">
        <v>63</v>
      </c>
      <c r="L107">
        <v>36</v>
      </c>
      <c r="M107" s="13">
        <v>25000000</v>
      </c>
      <c r="N107">
        <v>341971</v>
      </c>
      <c r="O107">
        <v>12</v>
      </c>
      <c r="P107" t="s">
        <v>24</v>
      </c>
      <c r="Q107" s="21">
        <v>45097</v>
      </c>
      <c r="R107" s="21">
        <v>46162</v>
      </c>
      <c r="T107" t="s">
        <v>28</v>
      </c>
      <c r="U107" t="s">
        <v>598</v>
      </c>
      <c r="V107">
        <v>495833.33333333337</v>
      </c>
      <c r="W107">
        <v>779166.66666666674</v>
      </c>
      <c r="X107">
        <v>0</v>
      </c>
      <c r="Y107">
        <v>0</v>
      </c>
      <c r="Z107" t="s">
        <v>1040</v>
      </c>
      <c r="AA107" t="str">
        <f t="shared" si="1"/>
        <v>2082302500000045066</v>
      </c>
      <c r="AB107" t="e">
        <f>VLOOKUP(AA107,Balance!AA:AA,1,FALSE)</f>
        <v>#N/A</v>
      </c>
    </row>
    <row r="108" spans="1:28" x14ac:dyDescent="0.25">
      <c r="A108" t="s">
        <v>909</v>
      </c>
      <c r="B108">
        <v>35953721</v>
      </c>
      <c r="C108" t="s">
        <v>920</v>
      </c>
      <c r="D108" t="s">
        <v>21</v>
      </c>
      <c r="F108" t="s">
        <v>921</v>
      </c>
      <c r="G108" t="s">
        <v>923</v>
      </c>
      <c r="H108">
        <v>0</v>
      </c>
      <c r="I108" s="21">
        <v>45176</v>
      </c>
      <c r="J108" t="s">
        <v>59</v>
      </c>
      <c r="K108" t="s">
        <v>60</v>
      </c>
      <c r="L108">
        <v>36</v>
      </c>
      <c r="M108" s="13">
        <v>20208060</v>
      </c>
      <c r="N108">
        <v>663780</v>
      </c>
      <c r="O108">
        <v>9</v>
      </c>
      <c r="P108" t="s">
        <v>24</v>
      </c>
      <c r="Q108" s="21">
        <v>45206</v>
      </c>
      <c r="R108" s="21">
        <v>46272</v>
      </c>
      <c r="T108" t="s">
        <v>28</v>
      </c>
      <c r="U108" t="s">
        <v>256</v>
      </c>
      <c r="V108">
        <v>477134.75000000006</v>
      </c>
      <c r="W108">
        <v>324451.63</v>
      </c>
      <c r="X108">
        <v>0</v>
      </c>
      <c r="Y108">
        <v>0</v>
      </c>
      <c r="Z108" t="s">
        <v>1040</v>
      </c>
      <c r="AA108" t="str">
        <f t="shared" si="1"/>
        <v>359537212020806045176</v>
      </c>
      <c r="AB108" t="e">
        <f>VLOOKUP(AA108,Balance!AA:AA,1,FALSE)</f>
        <v>#N/A</v>
      </c>
    </row>
    <row r="109" spans="1:28" x14ac:dyDescent="0.25">
      <c r="A109" t="s">
        <v>593</v>
      </c>
      <c r="B109">
        <v>208230</v>
      </c>
      <c r="C109" t="s">
        <v>595</v>
      </c>
      <c r="D109" t="s">
        <v>21</v>
      </c>
      <c r="F109" t="s">
        <v>596</v>
      </c>
      <c r="G109" t="s">
        <v>597</v>
      </c>
      <c r="H109">
        <v>0</v>
      </c>
      <c r="I109" s="21">
        <v>45036</v>
      </c>
      <c r="J109" t="s">
        <v>62</v>
      </c>
      <c r="K109" t="s">
        <v>63</v>
      </c>
      <c r="L109">
        <v>36</v>
      </c>
      <c r="M109" s="13">
        <v>25000000</v>
      </c>
      <c r="N109">
        <v>854927</v>
      </c>
      <c r="O109">
        <v>12</v>
      </c>
      <c r="P109" t="s">
        <v>24</v>
      </c>
      <c r="Q109" s="21">
        <v>45219</v>
      </c>
      <c r="R109" s="21">
        <v>46285</v>
      </c>
      <c r="S109">
        <v>45066</v>
      </c>
      <c r="T109" t="s">
        <v>25</v>
      </c>
      <c r="U109" t="s">
        <v>598</v>
      </c>
      <c r="V109">
        <v>590277.77777777787</v>
      </c>
      <c r="W109">
        <v>401388.88888888893</v>
      </c>
      <c r="X109">
        <v>0</v>
      </c>
      <c r="Y109">
        <v>0</v>
      </c>
      <c r="Z109" t="s">
        <v>1040</v>
      </c>
      <c r="AA109" t="str">
        <f t="shared" si="1"/>
        <v>2082302500000045036</v>
      </c>
      <c r="AB109" t="e">
        <f>VLOOKUP(AA109,Balance!AA:AA,1,FALSE)</f>
        <v>#N/A</v>
      </c>
    </row>
    <row r="110" spans="1:28" x14ac:dyDescent="0.25">
      <c r="A110" t="s">
        <v>330</v>
      </c>
      <c r="B110">
        <v>8141415</v>
      </c>
      <c r="C110" t="s">
        <v>362</v>
      </c>
      <c r="D110" t="s">
        <v>21</v>
      </c>
      <c r="F110" t="s">
        <v>363</v>
      </c>
      <c r="G110" t="s">
        <v>364</v>
      </c>
      <c r="H110">
        <v>0</v>
      </c>
      <c r="I110" s="21">
        <v>44547</v>
      </c>
      <c r="J110" t="s">
        <v>29</v>
      </c>
      <c r="K110" t="s">
        <v>30</v>
      </c>
      <c r="L110">
        <v>36</v>
      </c>
      <c r="M110" s="13">
        <v>153550002</v>
      </c>
      <c r="N110">
        <v>4825170</v>
      </c>
      <c r="O110">
        <v>7</v>
      </c>
      <c r="P110" t="s">
        <v>24</v>
      </c>
      <c r="Q110" s="21">
        <v>44637</v>
      </c>
      <c r="R110" s="21">
        <v>45705</v>
      </c>
      <c r="S110">
        <v>44759</v>
      </c>
      <c r="T110" t="s">
        <v>25</v>
      </c>
      <c r="U110" t="s">
        <v>77</v>
      </c>
      <c r="V110">
        <v>870116.67800000007</v>
      </c>
      <c r="W110">
        <v>2610350.034</v>
      </c>
      <c r="X110">
        <v>4350583.3900000006</v>
      </c>
      <c r="Y110">
        <v>0</v>
      </c>
      <c r="Z110" t="s">
        <v>1040</v>
      </c>
      <c r="AA110" t="str">
        <f t="shared" si="1"/>
        <v>814141515355000244547</v>
      </c>
      <c r="AB110" t="e">
        <f>VLOOKUP(AA110,Balance!AA:AA,1,FALSE)</f>
        <v>#N/A</v>
      </c>
    </row>
    <row r="111" spans="1:28" x14ac:dyDescent="0.25">
      <c r="A111" t="s">
        <v>26</v>
      </c>
      <c r="B111">
        <v>15625005</v>
      </c>
      <c r="C111" t="s">
        <v>80</v>
      </c>
      <c r="D111" t="s">
        <v>21</v>
      </c>
      <c r="F111" t="s">
        <v>81</v>
      </c>
      <c r="G111" t="s">
        <v>85</v>
      </c>
      <c r="H111">
        <v>0</v>
      </c>
      <c r="I111" s="21">
        <v>44908</v>
      </c>
      <c r="J111" t="s">
        <v>39</v>
      </c>
      <c r="K111" t="s">
        <v>40</v>
      </c>
      <c r="L111">
        <v>24</v>
      </c>
      <c r="M111" s="13">
        <v>100000000</v>
      </c>
      <c r="N111">
        <v>4531400</v>
      </c>
      <c r="O111">
        <v>7</v>
      </c>
      <c r="P111" t="s">
        <v>24</v>
      </c>
      <c r="Q111" s="21">
        <v>44939</v>
      </c>
      <c r="R111" s="21">
        <v>45639</v>
      </c>
      <c r="T111" t="s">
        <v>28</v>
      </c>
      <c r="U111" t="s">
        <v>83</v>
      </c>
      <c r="V111">
        <v>566666.66666666674</v>
      </c>
      <c r="W111">
        <v>2266666.666666667</v>
      </c>
      <c r="X111">
        <v>0</v>
      </c>
      <c r="Y111">
        <v>0</v>
      </c>
      <c r="Z111" t="s">
        <v>1040</v>
      </c>
      <c r="AA111" t="str">
        <f t="shared" si="1"/>
        <v>1562500510000000044908</v>
      </c>
      <c r="AB111" t="str">
        <f>VLOOKUP(AA111,Balance!AA:AA,1,FALSE)</f>
        <v>1562500510000000044908</v>
      </c>
    </row>
    <row r="112" spans="1:28" x14ac:dyDescent="0.25">
      <c r="A112" t="s">
        <v>407</v>
      </c>
      <c r="B112">
        <v>25988518</v>
      </c>
      <c r="C112" t="s">
        <v>443</v>
      </c>
      <c r="D112" t="s">
        <v>21</v>
      </c>
      <c r="F112" t="s">
        <v>444</v>
      </c>
      <c r="G112" t="s">
        <v>445</v>
      </c>
      <c r="H112">
        <v>0</v>
      </c>
      <c r="I112" s="21">
        <v>44966</v>
      </c>
      <c r="J112" t="s">
        <v>59</v>
      </c>
      <c r="K112" t="s">
        <v>60</v>
      </c>
      <c r="L112">
        <v>36</v>
      </c>
      <c r="M112" s="13">
        <v>25000000</v>
      </c>
      <c r="N112">
        <v>821182</v>
      </c>
      <c r="O112">
        <v>9</v>
      </c>
      <c r="P112" t="s">
        <v>24</v>
      </c>
      <c r="Q112" s="21">
        <v>44994</v>
      </c>
      <c r="R112" s="21">
        <v>46062</v>
      </c>
      <c r="T112" t="s">
        <v>28</v>
      </c>
      <c r="U112" t="s">
        <v>310</v>
      </c>
      <c r="V112">
        <v>425000.00000000006</v>
      </c>
      <c r="W112">
        <v>708333.33333333337</v>
      </c>
      <c r="X112">
        <v>0</v>
      </c>
      <c r="Y112">
        <v>0</v>
      </c>
      <c r="Z112" t="s">
        <v>1040</v>
      </c>
      <c r="AA112" t="str">
        <f t="shared" si="1"/>
        <v>259885182500000044966</v>
      </c>
      <c r="AB112" t="e">
        <f>VLOOKUP(AA112,Balance!AA:AA,1,FALSE)</f>
        <v>#N/A</v>
      </c>
    </row>
    <row r="113" spans="1:28" x14ac:dyDescent="0.25">
      <c r="A113" t="s">
        <v>593</v>
      </c>
      <c r="B113">
        <v>9834830</v>
      </c>
      <c r="C113" t="s">
        <v>600</v>
      </c>
      <c r="D113" t="s">
        <v>21</v>
      </c>
      <c r="E113">
        <v>25201</v>
      </c>
      <c r="F113" t="s">
        <v>601</v>
      </c>
      <c r="G113" t="s">
        <v>602</v>
      </c>
      <c r="H113">
        <v>0</v>
      </c>
      <c r="I113" s="21">
        <v>45229</v>
      </c>
      <c r="J113" t="s">
        <v>59</v>
      </c>
      <c r="K113" t="s">
        <v>60</v>
      </c>
      <c r="L113">
        <v>36</v>
      </c>
      <c r="M113" s="13">
        <v>16000000</v>
      </c>
      <c r="N113">
        <v>543499</v>
      </c>
      <c r="O113">
        <v>11</v>
      </c>
      <c r="P113" t="s">
        <v>24</v>
      </c>
      <c r="Q113" s="21">
        <v>45260</v>
      </c>
      <c r="R113" s="21">
        <v>46325</v>
      </c>
      <c r="T113" t="s">
        <v>28</v>
      </c>
      <c r="U113" t="s">
        <v>598</v>
      </c>
      <c r="V113">
        <v>392888.88888888888</v>
      </c>
      <c r="W113">
        <v>264444.4444444445</v>
      </c>
      <c r="X113">
        <v>0</v>
      </c>
      <c r="Y113">
        <v>0</v>
      </c>
      <c r="Z113" t="s">
        <v>1040</v>
      </c>
      <c r="AA113" t="str">
        <f t="shared" si="1"/>
        <v>98348301600000045229</v>
      </c>
      <c r="AB113" t="e">
        <f>VLOOKUP(AA113,Balance!AA:AA,1,FALSE)</f>
        <v>#N/A</v>
      </c>
    </row>
    <row r="114" spans="1:28" x14ac:dyDescent="0.25">
      <c r="A114" t="s">
        <v>750</v>
      </c>
      <c r="B114">
        <v>52508761</v>
      </c>
      <c r="C114" t="s">
        <v>783</v>
      </c>
      <c r="D114" t="s">
        <v>21</v>
      </c>
      <c r="F114" t="s">
        <v>784</v>
      </c>
      <c r="G114" t="s">
        <v>785</v>
      </c>
      <c r="H114">
        <v>1</v>
      </c>
      <c r="I114" s="21">
        <v>44782</v>
      </c>
      <c r="J114" t="s">
        <v>62</v>
      </c>
      <c r="K114" t="s">
        <v>63</v>
      </c>
      <c r="L114">
        <v>36</v>
      </c>
      <c r="M114" s="13">
        <v>32000000</v>
      </c>
      <c r="N114">
        <v>492709</v>
      </c>
      <c r="O114">
        <v>9</v>
      </c>
      <c r="P114" t="s">
        <v>24</v>
      </c>
      <c r="Q114" s="21">
        <v>44813</v>
      </c>
      <c r="R114" s="21">
        <v>45878</v>
      </c>
      <c r="T114" t="s">
        <v>28</v>
      </c>
      <c r="U114" t="s">
        <v>755</v>
      </c>
      <c r="V114">
        <v>362666.66666666669</v>
      </c>
      <c r="W114">
        <v>725333.33333333337</v>
      </c>
      <c r="X114">
        <v>498666.66666666669</v>
      </c>
      <c r="Y114">
        <v>0</v>
      </c>
      <c r="Z114" t="s">
        <v>1040</v>
      </c>
      <c r="AA114" t="str">
        <f t="shared" si="1"/>
        <v>525087613200000044782</v>
      </c>
      <c r="AB114" t="e">
        <f>VLOOKUP(AA114,Balance!AA:AA,1,FALSE)</f>
        <v>#N/A</v>
      </c>
    </row>
    <row r="115" spans="1:28" x14ac:dyDescent="0.25">
      <c r="A115" t="s">
        <v>750</v>
      </c>
      <c r="B115">
        <v>26100541</v>
      </c>
      <c r="C115" t="s">
        <v>766</v>
      </c>
      <c r="D115" t="s">
        <v>21</v>
      </c>
      <c r="F115" t="s">
        <v>767</v>
      </c>
      <c r="G115" t="s">
        <v>768</v>
      </c>
      <c r="H115">
        <v>0</v>
      </c>
      <c r="I115" s="21">
        <v>45281</v>
      </c>
      <c r="J115" t="s">
        <v>59</v>
      </c>
      <c r="K115" t="s">
        <v>60</v>
      </c>
      <c r="L115">
        <v>36</v>
      </c>
      <c r="M115" s="13">
        <v>13000000</v>
      </c>
      <c r="N115">
        <v>429926</v>
      </c>
      <c r="O115">
        <v>10</v>
      </c>
      <c r="P115" t="s">
        <v>24</v>
      </c>
      <c r="Q115" s="21">
        <v>45312</v>
      </c>
      <c r="R115" s="21">
        <v>46377</v>
      </c>
      <c r="T115" t="s">
        <v>28</v>
      </c>
      <c r="U115" t="s">
        <v>755</v>
      </c>
      <c r="V115">
        <v>343777.77777777781</v>
      </c>
      <c r="W115">
        <v>0</v>
      </c>
      <c r="X115">
        <v>0</v>
      </c>
      <c r="Y115">
        <v>0</v>
      </c>
      <c r="Z115" t="s">
        <v>1040</v>
      </c>
      <c r="AA115" t="str">
        <f t="shared" si="1"/>
        <v>261005411300000045281</v>
      </c>
      <c r="AB115" t="e">
        <f>VLOOKUP(AA115,Balance!AA:AA,1,FALSE)</f>
        <v>#N/A</v>
      </c>
    </row>
    <row r="116" spans="1:28" x14ac:dyDescent="0.25">
      <c r="A116" t="s">
        <v>26</v>
      </c>
      <c r="B116">
        <v>26092861</v>
      </c>
      <c r="C116" t="s">
        <v>234</v>
      </c>
      <c r="D116" t="s">
        <v>21</v>
      </c>
      <c r="F116" t="s">
        <v>235</v>
      </c>
      <c r="G116" t="s">
        <v>236</v>
      </c>
      <c r="H116">
        <v>0</v>
      </c>
      <c r="I116" s="21">
        <v>45133</v>
      </c>
      <c r="J116" t="s">
        <v>62</v>
      </c>
      <c r="K116" t="s">
        <v>63</v>
      </c>
      <c r="L116">
        <v>36</v>
      </c>
      <c r="M116" s="13">
        <v>15000000</v>
      </c>
      <c r="N116">
        <v>492709</v>
      </c>
      <c r="O116">
        <v>9</v>
      </c>
      <c r="P116" t="s">
        <v>24</v>
      </c>
      <c r="Q116" s="21">
        <v>45164</v>
      </c>
      <c r="R116" s="21">
        <v>46229</v>
      </c>
      <c r="T116" t="s">
        <v>28</v>
      </c>
      <c r="U116" t="s">
        <v>96</v>
      </c>
      <c r="V116">
        <v>325833.33333333337</v>
      </c>
      <c r="W116">
        <v>226666.66666666669</v>
      </c>
      <c r="X116">
        <v>0</v>
      </c>
      <c r="Y116">
        <v>0</v>
      </c>
      <c r="Z116" t="s">
        <v>1040</v>
      </c>
      <c r="AA116" t="str">
        <f t="shared" si="1"/>
        <v>260928611500000045133</v>
      </c>
      <c r="AB116" t="e">
        <f>VLOOKUP(AA116,Balance!AA:AA,1,FALSE)</f>
        <v>#N/A</v>
      </c>
    </row>
    <row r="117" spans="1:28" x14ac:dyDescent="0.25">
      <c r="A117" t="s">
        <v>407</v>
      </c>
      <c r="B117">
        <v>26044730</v>
      </c>
      <c r="C117" t="s">
        <v>470</v>
      </c>
      <c r="D117" t="s">
        <v>21</v>
      </c>
      <c r="F117" t="s">
        <v>471</v>
      </c>
      <c r="G117" t="s">
        <v>472</v>
      </c>
      <c r="H117">
        <v>0</v>
      </c>
      <c r="I117" s="21">
        <v>45007</v>
      </c>
      <c r="J117" t="s">
        <v>59</v>
      </c>
      <c r="K117" t="s">
        <v>60</v>
      </c>
      <c r="L117">
        <v>60</v>
      </c>
      <c r="M117" s="13">
        <v>13086200</v>
      </c>
      <c r="N117">
        <v>286022</v>
      </c>
      <c r="O117">
        <v>9</v>
      </c>
      <c r="P117" t="s">
        <v>24</v>
      </c>
      <c r="Q117" s="21">
        <v>45038</v>
      </c>
      <c r="R117" s="21">
        <v>46834</v>
      </c>
      <c r="T117" t="s">
        <v>28</v>
      </c>
      <c r="U117" t="s">
        <v>256</v>
      </c>
      <c r="V117">
        <v>318867.07333333336</v>
      </c>
      <c r="W117">
        <v>407853.2333333334</v>
      </c>
      <c r="X117">
        <v>0</v>
      </c>
      <c r="Y117">
        <v>0</v>
      </c>
      <c r="Z117" t="s">
        <v>1040</v>
      </c>
      <c r="AA117" t="str">
        <f t="shared" si="1"/>
        <v>260447301308620045007</v>
      </c>
      <c r="AB117" t="e">
        <f>VLOOKUP(AA117,Balance!AA:AA,1,FALSE)</f>
        <v>#N/A</v>
      </c>
    </row>
    <row r="118" spans="1:28" x14ac:dyDescent="0.25">
      <c r="A118" t="s">
        <v>702</v>
      </c>
      <c r="B118">
        <v>26092630</v>
      </c>
      <c r="C118" t="s">
        <v>731</v>
      </c>
      <c r="D118" t="s">
        <v>21</v>
      </c>
      <c r="F118" t="s">
        <v>732</v>
      </c>
      <c r="G118" t="s">
        <v>733</v>
      </c>
      <c r="H118">
        <v>0</v>
      </c>
      <c r="I118" s="21">
        <v>45184</v>
      </c>
      <c r="J118" t="s">
        <v>59</v>
      </c>
      <c r="K118" t="s">
        <v>60</v>
      </c>
      <c r="L118">
        <v>32</v>
      </c>
      <c r="M118" s="13">
        <v>14485473</v>
      </c>
      <c r="N118">
        <v>529139</v>
      </c>
      <c r="O118">
        <v>10</v>
      </c>
      <c r="P118" t="s">
        <v>24</v>
      </c>
      <c r="Q118" s="21">
        <v>45214</v>
      </c>
      <c r="R118" s="21">
        <v>46157</v>
      </c>
      <c r="T118" t="s">
        <v>28</v>
      </c>
      <c r="U118" t="s">
        <v>707</v>
      </c>
      <c r="V118">
        <v>323207.11631250003</v>
      </c>
      <c r="W118">
        <v>230862.22593750001</v>
      </c>
      <c r="X118">
        <v>0</v>
      </c>
      <c r="Y118">
        <v>0</v>
      </c>
      <c r="Z118" t="s">
        <v>1040</v>
      </c>
      <c r="AA118" t="str">
        <f t="shared" si="1"/>
        <v>260926301448547345184</v>
      </c>
      <c r="AB118" t="e">
        <f>VLOOKUP(AA118,Balance!AA:AA,1,FALSE)</f>
        <v>#N/A</v>
      </c>
    </row>
    <row r="119" spans="1:28" x14ac:dyDescent="0.25">
      <c r="A119" t="s">
        <v>407</v>
      </c>
      <c r="B119">
        <v>26037882</v>
      </c>
      <c r="C119" t="s">
        <v>461</v>
      </c>
      <c r="D119" t="s">
        <v>21</v>
      </c>
      <c r="F119" t="s">
        <v>462</v>
      </c>
      <c r="G119" t="s">
        <v>463</v>
      </c>
      <c r="H119">
        <v>0</v>
      </c>
      <c r="I119" s="21">
        <v>44623</v>
      </c>
      <c r="J119" t="s">
        <v>59</v>
      </c>
      <c r="K119" t="s">
        <v>60</v>
      </c>
      <c r="L119">
        <v>60</v>
      </c>
      <c r="M119" s="13">
        <v>17927906</v>
      </c>
      <c r="N119">
        <v>397113</v>
      </c>
      <c r="O119">
        <v>9.5</v>
      </c>
      <c r="P119" t="s">
        <v>24</v>
      </c>
      <c r="Q119" s="21">
        <v>44654</v>
      </c>
      <c r="R119" s="21">
        <v>46449</v>
      </c>
      <c r="T119" t="s">
        <v>28</v>
      </c>
      <c r="U119" t="s">
        <v>256</v>
      </c>
      <c r="V119">
        <v>314933.54873333336</v>
      </c>
      <c r="W119">
        <v>436843.30953333341</v>
      </c>
      <c r="X119">
        <v>558753.07033333334</v>
      </c>
      <c r="Y119">
        <v>0</v>
      </c>
      <c r="Z119" t="s">
        <v>1040</v>
      </c>
      <c r="AA119" t="str">
        <f t="shared" si="1"/>
        <v>260378821792790644623</v>
      </c>
      <c r="AB119" t="e">
        <f>VLOOKUP(AA119,Balance!AA:AA,1,FALSE)</f>
        <v>#N/A</v>
      </c>
    </row>
    <row r="120" spans="1:28" x14ac:dyDescent="0.25">
      <c r="A120" t="s">
        <v>882</v>
      </c>
      <c r="B120">
        <v>18641919</v>
      </c>
      <c r="C120" t="s">
        <v>884</v>
      </c>
      <c r="D120" t="s">
        <v>21</v>
      </c>
      <c r="F120" t="s">
        <v>885</v>
      </c>
      <c r="G120" t="s">
        <v>886</v>
      </c>
      <c r="H120">
        <v>0</v>
      </c>
      <c r="I120" s="21">
        <v>44785</v>
      </c>
      <c r="J120" t="s">
        <v>59</v>
      </c>
      <c r="K120" t="s">
        <v>60</v>
      </c>
      <c r="L120">
        <v>60</v>
      </c>
      <c r="M120" s="13">
        <v>15000000</v>
      </c>
      <c r="N120">
        <v>354797</v>
      </c>
      <c r="O120">
        <v>12</v>
      </c>
      <c r="P120" t="s">
        <v>24</v>
      </c>
      <c r="Q120" s="21">
        <v>44816</v>
      </c>
      <c r="R120" s="21">
        <v>46611</v>
      </c>
      <c r="T120" t="s">
        <v>28</v>
      </c>
      <c r="U120" t="s">
        <v>505</v>
      </c>
      <c r="V120">
        <v>306000</v>
      </c>
      <c r="W120">
        <v>408000.00000000006</v>
      </c>
      <c r="X120">
        <v>242250.00000000003</v>
      </c>
      <c r="Y120">
        <v>0</v>
      </c>
      <c r="Z120" t="s">
        <v>1040</v>
      </c>
      <c r="AA120" t="str">
        <f t="shared" si="1"/>
        <v>186419191500000044785</v>
      </c>
      <c r="AB120" t="e">
        <f>VLOOKUP(AA120,Balance!AA:AA,1,FALSE)</f>
        <v>#N/A</v>
      </c>
    </row>
    <row r="121" spans="1:28" x14ac:dyDescent="0.25">
      <c r="A121" t="s">
        <v>251</v>
      </c>
      <c r="B121">
        <v>25929095</v>
      </c>
      <c r="C121" t="s">
        <v>253</v>
      </c>
      <c r="D121" t="s">
        <v>21</v>
      </c>
      <c r="F121" t="s">
        <v>254</v>
      </c>
      <c r="G121" t="s">
        <v>255</v>
      </c>
      <c r="H121">
        <v>0</v>
      </c>
      <c r="I121" s="21">
        <v>44925</v>
      </c>
      <c r="J121" t="s">
        <v>59</v>
      </c>
      <c r="K121" t="s">
        <v>60</v>
      </c>
      <c r="L121">
        <v>36</v>
      </c>
      <c r="M121" s="13">
        <v>20000000</v>
      </c>
      <c r="N121">
        <v>667992</v>
      </c>
      <c r="O121">
        <v>9.99</v>
      </c>
      <c r="P121" t="s">
        <v>24</v>
      </c>
      <c r="Q121" s="21">
        <v>44949</v>
      </c>
      <c r="R121" s="21">
        <v>46014</v>
      </c>
      <c r="T121" t="s">
        <v>28</v>
      </c>
      <c r="U121" t="s">
        <v>256</v>
      </c>
      <c r="V121">
        <v>302222.22222222225</v>
      </c>
      <c r="W121">
        <v>528888.88888888899</v>
      </c>
      <c r="X121">
        <v>0</v>
      </c>
      <c r="Y121">
        <v>0</v>
      </c>
      <c r="Z121" t="s">
        <v>1040</v>
      </c>
      <c r="AA121" t="str">
        <f t="shared" si="1"/>
        <v>259290952000000044925</v>
      </c>
      <c r="AB121" t="e">
        <f>VLOOKUP(AA121,Balance!AA:AA,1,FALSE)</f>
        <v>#N/A</v>
      </c>
    </row>
    <row r="122" spans="1:28" x14ac:dyDescent="0.25">
      <c r="A122" t="s">
        <v>305</v>
      </c>
      <c r="B122">
        <v>26061228</v>
      </c>
      <c r="C122" t="s">
        <v>312</v>
      </c>
      <c r="D122" t="s">
        <v>21</v>
      </c>
      <c r="F122" t="s">
        <v>313</v>
      </c>
      <c r="G122" t="s">
        <v>314</v>
      </c>
      <c r="H122">
        <v>0</v>
      </c>
      <c r="I122" s="21">
        <v>44459</v>
      </c>
      <c r="J122" t="s">
        <v>59</v>
      </c>
      <c r="K122" t="s">
        <v>60</v>
      </c>
      <c r="L122">
        <v>60</v>
      </c>
      <c r="M122" s="13">
        <v>20000000</v>
      </c>
      <c r="N122">
        <v>448813</v>
      </c>
      <c r="O122">
        <v>9.99</v>
      </c>
      <c r="P122" t="s">
        <v>24</v>
      </c>
      <c r="Q122" s="21">
        <v>44489</v>
      </c>
      <c r="R122" s="21">
        <v>46285</v>
      </c>
      <c r="T122" t="s">
        <v>28</v>
      </c>
      <c r="U122" t="s">
        <v>310</v>
      </c>
      <c r="V122">
        <v>283333.33333333337</v>
      </c>
      <c r="W122">
        <v>419333.33333333337</v>
      </c>
      <c r="X122">
        <v>555333.33333333337</v>
      </c>
      <c r="Y122">
        <v>328666.66666666669</v>
      </c>
      <c r="Z122" t="s">
        <v>1040</v>
      </c>
      <c r="AA122" t="str">
        <f t="shared" si="1"/>
        <v>260612282000000044459</v>
      </c>
      <c r="AB122" t="e">
        <f>VLOOKUP(AA122,Balance!AA:AA,1,FALSE)</f>
        <v>#N/A</v>
      </c>
    </row>
    <row r="123" spans="1:28" x14ac:dyDescent="0.25">
      <c r="A123" t="s">
        <v>407</v>
      </c>
      <c r="B123">
        <v>787917</v>
      </c>
      <c r="C123" t="s">
        <v>413</v>
      </c>
      <c r="D123" t="s">
        <v>21</v>
      </c>
      <c r="E123">
        <v>20506</v>
      </c>
      <c r="F123" t="s">
        <v>414</v>
      </c>
      <c r="G123" t="s">
        <v>415</v>
      </c>
      <c r="H123">
        <v>0</v>
      </c>
      <c r="I123" s="21">
        <v>44629</v>
      </c>
      <c r="J123" t="s">
        <v>59</v>
      </c>
      <c r="K123" t="s">
        <v>60</v>
      </c>
      <c r="L123">
        <v>60</v>
      </c>
      <c r="M123" s="13">
        <v>15587000</v>
      </c>
      <c r="N123">
        <v>339794</v>
      </c>
      <c r="O123">
        <v>9.5</v>
      </c>
      <c r="P123" t="s">
        <v>24</v>
      </c>
      <c r="Q123" s="21">
        <v>44660</v>
      </c>
      <c r="R123" s="21">
        <v>46455</v>
      </c>
      <c r="T123" t="s">
        <v>28</v>
      </c>
      <c r="U123" t="s">
        <v>416</v>
      </c>
      <c r="V123">
        <v>273811.63333333336</v>
      </c>
      <c r="W123">
        <v>379803.2333333334</v>
      </c>
      <c r="X123">
        <v>485794.83333333337</v>
      </c>
      <c r="Y123">
        <v>0</v>
      </c>
      <c r="Z123" t="s">
        <v>1040</v>
      </c>
      <c r="AA123" t="str">
        <f t="shared" si="1"/>
        <v>7879171558700044629</v>
      </c>
      <c r="AB123" t="e">
        <f>VLOOKUP(AA123,Balance!AA:AA,1,FALSE)</f>
        <v>#N/A</v>
      </c>
    </row>
    <row r="124" spans="1:28" x14ac:dyDescent="0.25">
      <c r="A124" t="s">
        <v>257</v>
      </c>
      <c r="B124">
        <v>26033356</v>
      </c>
      <c r="C124" t="s">
        <v>282</v>
      </c>
      <c r="D124" t="s">
        <v>21</v>
      </c>
      <c r="F124" t="s">
        <v>283</v>
      </c>
      <c r="G124" t="s">
        <v>284</v>
      </c>
      <c r="H124">
        <v>0</v>
      </c>
      <c r="I124" s="21">
        <v>44986</v>
      </c>
      <c r="J124" t="s">
        <v>59</v>
      </c>
      <c r="K124" t="s">
        <v>60</v>
      </c>
      <c r="L124">
        <v>36</v>
      </c>
      <c r="M124" s="13">
        <v>15000000</v>
      </c>
      <c r="N124">
        <v>492709</v>
      </c>
      <c r="O124">
        <v>9</v>
      </c>
      <c r="P124" t="s">
        <v>24</v>
      </c>
      <c r="Q124" s="21">
        <v>45017</v>
      </c>
      <c r="R124" s="21">
        <v>46082</v>
      </c>
      <c r="T124" t="s">
        <v>28</v>
      </c>
      <c r="U124" t="s">
        <v>285</v>
      </c>
      <c r="V124">
        <v>269166.66666666669</v>
      </c>
      <c r="W124">
        <v>439166.66666666669</v>
      </c>
      <c r="X124">
        <v>0</v>
      </c>
      <c r="Y124">
        <v>0</v>
      </c>
      <c r="Z124" t="s">
        <v>1040</v>
      </c>
      <c r="AA124" t="str">
        <f t="shared" si="1"/>
        <v>260333561500000044986</v>
      </c>
      <c r="AB124" t="e">
        <f>VLOOKUP(AA124,Balance!AA:AA,1,FALSE)</f>
        <v>#N/A</v>
      </c>
    </row>
    <row r="125" spans="1:28" x14ac:dyDescent="0.25">
      <c r="A125" t="s">
        <v>626</v>
      </c>
      <c r="B125">
        <v>23363632</v>
      </c>
      <c r="C125" t="s">
        <v>628</v>
      </c>
      <c r="D125" t="s">
        <v>21</v>
      </c>
      <c r="F125" t="s">
        <v>629</v>
      </c>
      <c r="G125" t="s">
        <v>630</v>
      </c>
      <c r="H125">
        <v>0</v>
      </c>
      <c r="I125" s="21">
        <v>44469</v>
      </c>
      <c r="J125" t="s">
        <v>50</v>
      </c>
      <c r="K125" t="s">
        <v>51</v>
      </c>
      <c r="L125">
        <v>60</v>
      </c>
      <c r="M125" s="13">
        <v>18000815</v>
      </c>
      <c r="N125">
        <v>425776</v>
      </c>
      <c r="O125">
        <v>12</v>
      </c>
      <c r="P125" t="s">
        <v>24</v>
      </c>
      <c r="Q125" s="21">
        <v>44499</v>
      </c>
      <c r="R125" s="21">
        <v>46295</v>
      </c>
      <c r="S125">
        <v>45199</v>
      </c>
      <c r="T125" t="s">
        <v>25</v>
      </c>
      <c r="U125" t="s">
        <v>631</v>
      </c>
      <c r="V125">
        <v>255011.54583333337</v>
      </c>
      <c r="W125">
        <v>377417.08783333335</v>
      </c>
      <c r="X125">
        <v>499822.62983333337</v>
      </c>
      <c r="Y125">
        <v>295813.39316666668</v>
      </c>
      <c r="Z125" t="s">
        <v>1040</v>
      </c>
      <c r="AA125" t="str">
        <f t="shared" si="1"/>
        <v>233636321800081544469</v>
      </c>
      <c r="AB125" t="e">
        <f>VLOOKUP(AA125,Balance!AA:AA,1,FALSE)</f>
        <v>#N/A</v>
      </c>
    </row>
    <row r="126" spans="1:28" x14ac:dyDescent="0.25">
      <c r="A126" t="s">
        <v>636</v>
      </c>
      <c r="B126">
        <v>40780235</v>
      </c>
      <c r="C126" t="s">
        <v>648</v>
      </c>
      <c r="D126" t="s">
        <v>21</v>
      </c>
      <c r="F126" t="s">
        <v>649</v>
      </c>
      <c r="G126" t="s">
        <v>650</v>
      </c>
      <c r="H126">
        <v>0</v>
      </c>
      <c r="I126" s="21">
        <v>44249</v>
      </c>
      <c r="J126" t="s">
        <v>59</v>
      </c>
      <c r="K126" t="s">
        <v>60</v>
      </c>
      <c r="L126">
        <v>60</v>
      </c>
      <c r="M126" s="13">
        <v>25000000</v>
      </c>
      <c r="N126">
        <v>561016</v>
      </c>
      <c r="O126">
        <v>9.99</v>
      </c>
      <c r="P126" t="s">
        <v>24</v>
      </c>
      <c r="Q126" s="21">
        <v>44277</v>
      </c>
      <c r="R126" s="21">
        <v>46075</v>
      </c>
      <c r="T126" t="s">
        <v>28</v>
      </c>
      <c r="U126" t="s">
        <v>641</v>
      </c>
      <c r="V126">
        <v>255000.00000000003</v>
      </c>
      <c r="W126">
        <v>425000.00000000006</v>
      </c>
      <c r="X126">
        <v>595000</v>
      </c>
      <c r="Y126">
        <v>765000</v>
      </c>
      <c r="Z126" t="s">
        <v>1040</v>
      </c>
      <c r="AA126" t="str">
        <f t="shared" si="1"/>
        <v>407802352500000044249</v>
      </c>
      <c r="AB126" t="e">
        <f>VLOOKUP(AA126,Balance!AA:AA,1,FALSE)</f>
        <v>#N/A</v>
      </c>
    </row>
    <row r="127" spans="1:28" x14ac:dyDescent="0.25">
      <c r="A127" t="s">
        <v>569</v>
      </c>
      <c r="B127">
        <v>25974406</v>
      </c>
      <c r="C127" t="s">
        <v>571</v>
      </c>
      <c r="D127" t="s">
        <v>21</v>
      </c>
      <c r="F127" t="s">
        <v>572</v>
      </c>
      <c r="G127" t="s">
        <v>573</v>
      </c>
      <c r="H127">
        <v>0</v>
      </c>
      <c r="I127" s="21">
        <v>44245</v>
      </c>
      <c r="J127" t="s">
        <v>59</v>
      </c>
      <c r="K127" t="s">
        <v>60</v>
      </c>
      <c r="L127">
        <v>60</v>
      </c>
      <c r="M127" s="13">
        <v>24800000</v>
      </c>
      <c r="N127">
        <v>542049</v>
      </c>
      <c r="O127">
        <v>9</v>
      </c>
      <c r="P127" t="s">
        <v>24</v>
      </c>
      <c r="Q127" s="21">
        <v>44273</v>
      </c>
      <c r="R127" s="21">
        <v>46071</v>
      </c>
      <c r="T127" t="s">
        <v>28</v>
      </c>
      <c r="U127" t="s">
        <v>300</v>
      </c>
      <c r="V127">
        <v>252960.00000000003</v>
      </c>
      <c r="W127">
        <v>421600.00000000006</v>
      </c>
      <c r="X127">
        <v>590240</v>
      </c>
      <c r="Y127">
        <v>758880</v>
      </c>
      <c r="Z127" t="s">
        <v>1040</v>
      </c>
      <c r="AA127" t="str">
        <f t="shared" si="1"/>
        <v>259744062480000044245</v>
      </c>
      <c r="AB127" t="e">
        <f>VLOOKUP(AA127,Balance!AA:AA,1,FALSE)</f>
        <v>#N/A</v>
      </c>
    </row>
    <row r="128" spans="1:28" x14ac:dyDescent="0.25">
      <c r="A128" t="s">
        <v>852</v>
      </c>
      <c r="B128">
        <v>25987490</v>
      </c>
      <c r="C128" t="s">
        <v>854</v>
      </c>
      <c r="D128" t="s">
        <v>21</v>
      </c>
      <c r="F128" t="s">
        <v>855</v>
      </c>
      <c r="G128" t="s">
        <v>856</v>
      </c>
      <c r="H128">
        <v>0</v>
      </c>
      <c r="I128" s="21">
        <v>44566</v>
      </c>
      <c r="J128" t="s">
        <v>59</v>
      </c>
      <c r="K128" t="s">
        <v>60</v>
      </c>
      <c r="L128">
        <v>54</v>
      </c>
      <c r="M128" s="13">
        <v>17000000</v>
      </c>
      <c r="N128">
        <v>396625</v>
      </c>
      <c r="O128">
        <v>9</v>
      </c>
      <c r="P128" t="s">
        <v>24</v>
      </c>
      <c r="Q128" s="21">
        <v>44778</v>
      </c>
      <c r="R128" s="21">
        <v>46392</v>
      </c>
      <c r="T128" t="s">
        <v>28</v>
      </c>
      <c r="U128" t="s">
        <v>592</v>
      </c>
      <c r="V128">
        <v>310407.40740740747</v>
      </c>
      <c r="W128">
        <v>438851.85185185191</v>
      </c>
      <c r="X128">
        <v>267592.59259259258</v>
      </c>
      <c r="Y128">
        <v>0</v>
      </c>
      <c r="Z128" t="s">
        <v>1040</v>
      </c>
      <c r="AA128" t="str">
        <f t="shared" si="1"/>
        <v>259874901700000044566</v>
      </c>
      <c r="AB128" t="e">
        <f>VLOOKUP(AA128,Balance!AA:AA,1,FALSE)</f>
        <v>#N/A</v>
      </c>
    </row>
    <row r="129" spans="1:28" x14ac:dyDescent="0.25">
      <c r="A129" t="s">
        <v>857</v>
      </c>
      <c r="B129">
        <v>26008174</v>
      </c>
      <c r="C129" t="s">
        <v>864</v>
      </c>
      <c r="D129" t="s">
        <v>21</v>
      </c>
      <c r="F129" t="s">
        <v>865</v>
      </c>
      <c r="G129" t="s">
        <v>866</v>
      </c>
      <c r="H129">
        <v>0</v>
      </c>
      <c r="I129" s="21">
        <v>44925</v>
      </c>
      <c r="J129" t="s">
        <v>29</v>
      </c>
      <c r="K129" t="s">
        <v>30</v>
      </c>
      <c r="L129">
        <v>60</v>
      </c>
      <c r="M129" s="13">
        <v>10009800</v>
      </c>
      <c r="N129">
        <v>218782</v>
      </c>
      <c r="O129">
        <v>9</v>
      </c>
      <c r="P129" t="s">
        <v>24</v>
      </c>
      <c r="Q129" s="21">
        <v>44956</v>
      </c>
      <c r="R129" s="21">
        <v>46751</v>
      </c>
      <c r="T129" t="s">
        <v>28</v>
      </c>
      <c r="U129" t="s">
        <v>416</v>
      </c>
      <c r="V129">
        <v>226888.80000000002</v>
      </c>
      <c r="W129">
        <v>294955.44</v>
      </c>
      <c r="X129">
        <v>0</v>
      </c>
      <c r="Y129">
        <v>0</v>
      </c>
      <c r="Z129" t="s">
        <v>1040</v>
      </c>
      <c r="AA129" t="str">
        <f t="shared" si="1"/>
        <v>260081741000980044925</v>
      </c>
      <c r="AB129" t="e">
        <f>VLOOKUP(AA129,Balance!AA:AA,1,FALSE)</f>
        <v>#N/A</v>
      </c>
    </row>
    <row r="130" spans="1:28" x14ac:dyDescent="0.25">
      <c r="A130" t="s">
        <v>857</v>
      </c>
      <c r="B130">
        <v>26008174</v>
      </c>
      <c r="C130" t="s">
        <v>864</v>
      </c>
      <c r="D130" t="s">
        <v>21</v>
      </c>
      <c r="F130" t="s">
        <v>33</v>
      </c>
      <c r="G130" t="s">
        <v>867</v>
      </c>
      <c r="H130">
        <v>0</v>
      </c>
      <c r="I130" s="21">
        <v>44925</v>
      </c>
      <c r="J130" t="s">
        <v>59</v>
      </c>
      <c r="K130" t="s">
        <v>60</v>
      </c>
      <c r="L130">
        <v>60</v>
      </c>
      <c r="M130" s="13">
        <v>10009800</v>
      </c>
      <c r="N130">
        <v>218782</v>
      </c>
      <c r="O130">
        <v>9</v>
      </c>
      <c r="P130" t="s">
        <v>24</v>
      </c>
      <c r="Q130" s="21">
        <v>44956</v>
      </c>
      <c r="R130" s="21">
        <v>46751</v>
      </c>
      <c r="S130">
        <v>44925</v>
      </c>
      <c r="T130" t="s">
        <v>25</v>
      </c>
      <c r="U130" t="s">
        <v>416</v>
      </c>
      <c r="V130">
        <v>226888.80000000002</v>
      </c>
      <c r="W130">
        <v>294955.44</v>
      </c>
      <c r="X130">
        <v>0</v>
      </c>
      <c r="Y130">
        <v>0</v>
      </c>
      <c r="Z130" t="s">
        <v>1040</v>
      </c>
      <c r="AA130" t="str">
        <f t="shared" si="1"/>
        <v>260081741000980044925</v>
      </c>
      <c r="AB130" t="e">
        <f>VLOOKUP(AA130,Balance!AA:AA,1,FALSE)</f>
        <v>#N/A</v>
      </c>
    </row>
    <row r="131" spans="1:28" x14ac:dyDescent="0.25">
      <c r="A131" t="s">
        <v>569</v>
      </c>
      <c r="B131">
        <v>26063991</v>
      </c>
      <c r="C131" t="s">
        <v>584</v>
      </c>
      <c r="D131" t="s">
        <v>21</v>
      </c>
      <c r="F131" t="s">
        <v>585</v>
      </c>
      <c r="G131" t="s">
        <v>586</v>
      </c>
      <c r="H131">
        <v>0</v>
      </c>
      <c r="I131" s="21">
        <v>44867</v>
      </c>
      <c r="J131" t="s">
        <v>59</v>
      </c>
      <c r="K131" t="s">
        <v>60</v>
      </c>
      <c r="L131">
        <v>36</v>
      </c>
      <c r="M131" s="13">
        <v>16500000</v>
      </c>
      <c r="N131">
        <v>551186</v>
      </c>
      <c r="O131">
        <v>10</v>
      </c>
      <c r="P131" t="s">
        <v>24</v>
      </c>
      <c r="Q131" s="21">
        <v>44897</v>
      </c>
      <c r="R131" s="21">
        <v>45963</v>
      </c>
      <c r="T131" t="s">
        <v>28</v>
      </c>
      <c r="U131" t="s">
        <v>300</v>
      </c>
      <c r="V131">
        <v>233750.00000000003</v>
      </c>
      <c r="W131">
        <v>420750.00000000006</v>
      </c>
      <c r="X131">
        <v>280500</v>
      </c>
      <c r="Y131">
        <v>0</v>
      </c>
      <c r="Z131" t="s">
        <v>1040</v>
      </c>
      <c r="AA131" t="str">
        <f t="shared" ref="AA131:AA194" si="2">_xlfn.CONCAT(B131,M131,I131)</f>
        <v>260639911650000044867</v>
      </c>
      <c r="AB131" t="e">
        <f>VLOOKUP(AA131,Balance!AA:AA,1,FALSE)</f>
        <v>#N/A</v>
      </c>
    </row>
    <row r="132" spans="1:28" x14ac:dyDescent="0.25">
      <c r="A132" t="s">
        <v>839</v>
      </c>
      <c r="B132">
        <v>35192011</v>
      </c>
      <c r="C132" t="s">
        <v>849</v>
      </c>
      <c r="D132" t="s">
        <v>21</v>
      </c>
      <c r="F132" t="s">
        <v>850</v>
      </c>
      <c r="G132" t="s">
        <v>851</v>
      </c>
      <c r="H132">
        <v>0</v>
      </c>
      <c r="I132" s="21">
        <v>44867</v>
      </c>
      <c r="J132" t="s">
        <v>59</v>
      </c>
      <c r="K132" t="s">
        <v>60</v>
      </c>
      <c r="L132">
        <v>60</v>
      </c>
      <c r="M132" s="13">
        <v>10000000</v>
      </c>
      <c r="N132">
        <v>224407</v>
      </c>
      <c r="O132">
        <v>9.99</v>
      </c>
      <c r="P132" t="s">
        <v>24</v>
      </c>
      <c r="Q132" s="21">
        <v>44897</v>
      </c>
      <c r="R132" s="21">
        <v>46693</v>
      </c>
      <c r="T132" t="s">
        <v>28</v>
      </c>
      <c r="U132" t="s">
        <v>285</v>
      </c>
      <c r="V132">
        <v>221000.00000000003</v>
      </c>
      <c r="W132">
        <v>289000</v>
      </c>
      <c r="X132">
        <v>170000</v>
      </c>
      <c r="Y132">
        <v>0</v>
      </c>
      <c r="Z132" t="s">
        <v>1040</v>
      </c>
      <c r="AA132" t="str">
        <f t="shared" si="2"/>
        <v>351920111000000044867</v>
      </c>
      <c r="AB132" t="e">
        <f>VLOOKUP(AA132,Balance!AA:AA,1,FALSE)</f>
        <v>#N/A</v>
      </c>
    </row>
    <row r="133" spans="1:28" x14ac:dyDescent="0.25">
      <c r="A133" t="s">
        <v>26</v>
      </c>
      <c r="B133">
        <v>15668005</v>
      </c>
      <c r="C133" t="s">
        <v>98</v>
      </c>
      <c r="D133" t="s">
        <v>21</v>
      </c>
      <c r="F133" t="s">
        <v>99</v>
      </c>
      <c r="G133" t="s">
        <v>101</v>
      </c>
      <c r="H133">
        <v>0</v>
      </c>
      <c r="I133" s="21">
        <v>44785</v>
      </c>
      <c r="J133" t="s">
        <v>39</v>
      </c>
      <c r="K133" t="s">
        <v>40</v>
      </c>
      <c r="L133">
        <v>24</v>
      </c>
      <c r="M133" s="13">
        <v>150000000</v>
      </c>
      <c r="N133">
        <v>6917932</v>
      </c>
      <c r="O133">
        <v>8.5</v>
      </c>
      <c r="P133" t="s">
        <v>24</v>
      </c>
      <c r="Q133" s="21">
        <v>44816</v>
      </c>
      <c r="R133" s="21">
        <v>45516</v>
      </c>
      <c r="T133" t="s">
        <v>28</v>
      </c>
      <c r="U133" t="s">
        <v>41</v>
      </c>
      <c r="V133">
        <v>318750</v>
      </c>
      <c r="W133">
        <v>2550000</v>
      </c>
      <c r="X133">
        <v>2231250</v>
      </c>
      <c r="Y133">
        <v>0</v>
      </c>
      <c r="Z133" t="s">
        <v>1040</v>
      </c>
      <c r="AA133" t="str">
        <f t="shared" si="2"/>
        <v>1566800515000000044785</v>
      </c>
      <c r="AB133" t="str">
        <f>VLOOKUP(AA133,Balance!AA:AA,1,FALSE)</f>
        <v>1566800515000000044785</v>
      </c>
    </row>
    <row r="134" spans="1:28" x14ac:dyDescent="0.25">
      <c r="A134" t="s">
        <v>407</v>
      </c>
      <c r="B134">
        <v>7934717</v>
      </c>
      <c r="C134" t="s">
        <v>418</v>
      </c>
      <c r="D134" t="s">
        <v>21</v>
      </c>
      <c r="F134" t="s">
        <v>419</v>
      </c>
      <c r="G134" t="s">
        <v>420</v>
      </c>
      <c r="H134">
        <v>0</v>
      </c>
      <c r="I134" s="21">
        <v>44799</v>
      </c>
      <c r="J134" t="s">
        <v>59</v>
      </c>
      <c r="K134" t="s">
        <v>60</v>
      </c>
      <c r="L134">
        <v>36</v>
      </c>
      <c r="M134" s="13">
        <v>20000000</v>
      </c>
      <c r="N134">
        <v>690753</v>
      </c>
      <c r="O134">
        <v>12</v>
      </c>
      <c r="P134" t="s">
        <v>24</v>
      </c>
      <c r="Q134" s="21">
        <v>44830</v>
      </c>
      <c r="R134" s="21">
        <v>45895</v>
      </c>
      <c r="T134" t="s">
        <v>28</v>
      </c>
      <c r="U134" t="s">
        <v>310</v>
      </c>
      <c r="V134">
        <v>226666.66666666669</v>
      </c>
      <c r="W134">
        <v>453333.33333333337</v>
      </c>
      <c r="X134">
        <v>311666.66666666669</v>
      </c>
      <c r="Y134">
        <v>0</v>
      </c>
      <c r="Z134" t="s">
        <v>1040</v>
      </c>
      <c r="AA134" t="str">
        <f t="shared" si="2"/>
        <v>79347172000000044799</v>
      </c>
      <c r="AB134" t="e">
        <f>VLOOKUP(AA134,Balance!AA:AA,1,FALSE)</f>
        <v>#N/A</v>
      </c>
    </row>
    <row r="135" spans="1:28" x14ac:dyDescent="0.25">
      <c r="A135" t="s">
        <v>702</v>
      </c>
      <c r="B135">
        <v>27515460</v>
      </c>
      <c r="C135" t="s">
        <v>735</v>
      </c>
      <c r="D135" t="s">
        <v>21</v>
      </c>
      <c r="F135" t="s">
        <v>736</v>
      </c>
      <c r="G135" t="s">
        <v>737</v>
      </c>
      <c r="H135">
        <v>0</v>
      </c>
      <c r="I135" s="21">
        <v>44529</v>
      </c>
      <c r="J135" t="s">
        <v>59</v>
      </c>
      <c r="K135" t="s">
        <v>60</v>
      </c>
      <c r="L135">
        <v>36</v>
      </c>
      <c r="M135" s="13">
        <v>88000000</v>
      </c>
      <c r="N135">
        <v>2905364</v>
      </c>
      <c r="O135">
        <v>9.9</v>
      </c>
      <c r="P135" t="s">
        <v>24</v>
      </c>
      <c r="Q135" s="21">
        <v>44559</v>
      </c>
      <c r="R135" s="21">
        <v>45625</v>
      </c>
      <c r="T135" t="s">
        <v>28</v>
      </c>
      <c r="U135" t="s">
        <v>83</v>
      </c>
      <c r="V135">
        <v>249333.33333333334</v>
      </c>
      <c r="W135">
        <v>1246666.6666666667</v>
      </c>
      <c r="X135">
        <v>2244000</v>
      </c>
      <c r="Y135">
        <v>1496000</v>
      </c>
      <c r="Z135" t="s">
        <v>1040</v>
      </c>
      <c r="AA135" t="str">
        <f t="shared" si="2"/>
        <v>275154608800000044529</v>
      </c>
      <c r="AB135" t="str">
        <f>VLOOKUP(AA135,Balance!AA:AA,1,FALSE)</f>
        <v>275154608800000044529</v>
      </c>
    </row>
    <row r="136" spans="1:28" x14ac:dyDescent="0.25">
      <c r="A136" t="s">
        <v>330</v>
      </c>
      <c r="B136">
        <v>8176615</v>
      </c>
      <c r="C136" t="s">
        <v>379</v>
      </c>
      <c r="D136" t="s">
        <v>21</v>
      </c>
      <c r="F136" t="s">
        <v>380</v>
      </c>
      <c r="G136" t="s">
        <v>382</v>
      </c>
      <c r="H136">
        <v>0</v>
      </c>
      <c r="I136" s="21">
        <v>44433</v>
      </c>
      <c r="J136" t="s">
        <v>383</v>
      </c>
      <c r="K136" t="s">
        <v>384</v>
      </c>
      <c r="L136">
        <v>36</v>
      </c>
      <c r="M136" s="13">
        <v>215000000</v>
      </c>
      <c r="N136">
        <v>6638576</v>
      </c>
      <c r="O136">
        <v>7</v>
      </c>
      <c r="P136" t="s">
        <v>24</v>
      </c>
      <c r="Q136" s="21">
        <v>44464</v>
      </c>
      <c r="R136" s="21">
        <v>45529</v>
      </c>
      <c r="T136" t="s">
        <v>28</v>
      </c>
      <c r="U136" t="s">
        <v>141</v>
      </c>
      <c r="V136">
        <v>304583.33333333337</v>
      </c>
      <c r="W136">
        <v>2436666.666666667</v>
      </c>
      <c r="X136">
        <v>4873333.333333334</v>
      </c>
      <c r="Y136">
        <v>3350416.666666667</v>
      </c>
      <c r="Z136" t="s">
        <v>1039</v>
      </c>
      <c r="AA136" t="str">
        <f t="shared" si="2"/>
        <v>817661521500000044433</v>
      </c>
      <c r="AB136" t="str">
        <f>VLOOKUP(AA136,Balance!AA:AA,1,FALSE)</f>
        <v>817661521500000044433</v>
      </c>
    </row>
    <row r="137" spans="1:28" x14ac:dyDescent="0.25">
      <c r="A137" t="s">
        <v>900</v>
      </c>
      <c r="B137">
        <v>26052440</v>
      </c>
      <c r="C137" t="s">
        <v>902</v>
      </c>
      <c r="D137" t="s">
        <v>21</v>
      </c>
      <c r="F137" t="s">
        <v>903</v>
      </c>
      <c r="G137" t="s">
        <v>904</v>
      </c>
      <c r="H137">
        <v>0</v>
      </c>
      <c r="I137" s="21">
        <v>44890</v>
      </c>
      <c r="J137" t="s">
        <v>59</v>
      </c>
      <c r="K137" t="s">
        <v>60</v>
      </c>
      <c r="L137">
        <v>36</v>
      </c>
      <c r="M137" s="13">
        <v>15000000</v>
      </c>
      <c r="N137">
        <v>492709</v>
      </c>
      <c r="O137">
        <v>9</v>
      </c>
      <c r="P137" t="s">
        <v>24</v>
      </c>
      <c r="Q137" s="21">
        <v>44920</v>
      </c>
      <c r="R137" s="21">
        <v>45986</v>
      </c>
      <c r="T137" t="s">
        <v>28</v>
      </c>
      <c r="U137" t="s">
        <v>755</v>
      </c>
      <c r="V137">
        <v>212500.00000000003</v>
      </c>
      <c r="W137">
        <v>382500</v>
      </c>
      <c r="X137">
        <v>255000.00000000003</v>
      </c>
      <c r="Y137">
        <v>0</v>
      </c>
      <c r="Z137" t="s">
        <v>1040</v>
      </c>
      <c r="AA137" t="str">
        <f t="shared" si="2"/>
        <v>260524401500000044890</v>
      </c>
      <c r="AB137" t="e">
        <f>VLOOKUP(AA137,Balance!AA:AA,1,FALSE)</f>
        <v>#N/A</v>
      </c>
    </row>
    <row r="138" spans="1:28" x14ac:dyDescent="0.25">
      <c r="A138" t="s">
        <v>796</v>
      </c>
      <c r="B138">
        <v>55509964</v>
      </c>
      <c r="C138" t="s">
        <v>826</v>
      </c>
      <c r="D138" t="s">
        <v>21</v>
      </c>
      <c r="F138" t="s">
        <v>827</v>
      </c>
      <c r="G138" t="s">
        <v>828</v>
      </c>
      <c r="H138">
        <v>0</v>
      </c>
      <c r="I138" s="21">
        <v>44336</v>
      </c>
      <c r="J138" t="s">
        <v>59</v>
      </c>
      <c r="K138" t="s">
        <v>60</v>
      </c>
      <c r="L138">
        <v>60</v>
      </c>
      <c r="M138" s="13">
        <v>17000000</v>
      </c>
      <c r="N138">
        <v>381491</v>
      </c>
      <c r="O138">
        <v>9.99</v>
      </c>
      <c r="P138" t="s">
        <v>24</v>
      </c>
      <c r="Q138" s="21">
        <v>44367</v>
      </c>
      <c r="R138" s="21">
        <v>46162</v>
      </c>
      <c r="T138" t="s">
        <v>28</v>
      </c>
      <c r="U138" t="s">
        <v>829</v>
      </c>
      <c r="V138">
        <v>202300</v>
      </c>
      <c r="W138">
        <v>317900</v>
      </c>
      <c r="X138">
        <v>433500.00000000006</v>
      </c>
      <c r="Y138">
        <v>549100</v>
      </c>
      <c r="Z138" t="s">
        <v>1040</v>
      </c>
      <c r="AA138" t="str">
        <f t="shared" si="2"/>
        <v>555099641700000044336</v>
      </c>
      <c r="AB138" t="e">
        <f>VLOOKUP(AA138,Balance!AA:AA,1,FALSE)</f>
        <v>#N/A</v>
      </c>
    </row>
    <row r="139" spans="1:28" x14ac:dyDescent="0.25">
      <c r="A139" t="s">
        <v>569</v>
      </c>
      <c r="B139">
        <v>26017742</v>
      </c>
      <c r="C139" t="s">
        <v>579</v>
      </c>
      <c r="D139" t="s">
        <v>21</v>
      </c>
      <c r="F139" t="s">
        <v>580</v>
      </c>
      <c r="G139" t="s">
        <v>582</v>
      </c>
      <c r="H139">
        <v>0</v>
      </c>
      <c r="I139" s="21">
        <v>45100</v>
      </c>
      <c r="J139" t="s">
        <v>22</v>
      </c>
      <c r="K139" t="s">
        <v>23</v>
      </c>
      <c r="L139">
        <v>24</v>
      </c>
      <c r="M139" s="13">
        <v>15000000</v>
      </c>
      <c r="N139">
        <v>700713</v>
      </c>
      <c r="O139">
        <v>9</v>
      </c>
      <c r="P139" t="s">
        <v>24</v>
      </c>
      <c r="Q139" s="21">
        <v>45130</v>
      </c>
      <c r="R139" s="21">
        <v>45831</v>
      </c>
      <c r="T139" t="s">
        <v>28</v>
      </c>
      <c r="U139" t="s">
        <v>300</v>
      </c>
      <c r="V139">
        <v>212500.00000000003</v>
      </c>
      <c r="W139">
        <v>201875</v>
      </c>
      <c r="X139">
        <v>0</v>
      </c>
      <c r="Y139">
        <v>0</v>
      </c>
      <c r="Z139" t="s">
        <v>1040</v>
      </c>
      <c r="AA139" t="str">
        <f t="shared" si="2"/>
        <v>260177421500000045100</v>
      </c>
      <c r="AB139" t="e">
        <f>VLOOKUP(AA139,Balance!AA:AA,1,FALSE)</f>
        <v>#N/A</v>
      </c>
    </row>
    <row r="140" spans="1:28" x14ac:dyDescent="0.25">
      <c r="A140" t="s">
        <v>796</v>
      </c>
      <c r="B140">
        <v>26058582</v>
      </c>
      <c r="C140" t="s">
        <v>806</v>
      </c>
      <c r="D140" t="s">
        <v>21</v>
      </c>
      <c r="F140" t="s">
        <v>807</v>
      </c>
      <c r="G140" t="s">
        <v>808</v>
      </c>
      <c r="H140">
        <v>0</v>
      </c>
      <c r="I140" s="21">
        <v>44375</v>
      </c>
      <c r="J140" t="s">
        <v>59</v>
      </c>
      <c r="K140" t="s">
        <v>60</v>
      </c>
      <c r="L140">
        <v>60</v>
      </c>
      <c r="M140" s="13">
        <v>15000000</v>
      </c>
      <c r="N140">
        <v>336610</v>
      </c>
      <c r="O140">
        <v>9.99</v>
      </c>
      <c r="P140" t="s">
        <v>24</v>
      </c>
      <c r="Q140" s="21">
        <v>44405</v>
      </c>
      <c r="R140" s="21">
        <v>46201</v>
      </c>
      <c r="T140" t="s">
        <v>28</v>
      </c>
      <c r="U140" t="s">
        <v>641</v>
      </c>
      <c r="V140">
        <v>187000</v>
      </c>
      <c r="W140">
        <v>289000</v>
      </c>
      <c r="X140">
        <v>391000</v>
      </c>
      <c r="Y140">
        <v>233750.00000000003</v>
      </c>
      <c r="Z140" t="s">
        <v>1040</v>
      </c>
      <c r="AA140" t="str">
        <f t="shared" si="2"/>
        <v>260585821500000044375</v>
      </c>
      <c r="AB140" t="e">
        <f>VLOOKUP(AA140,Balance!AA:AA,1,FALSE)</f>
        <v>#N/A</v>
      </c>
    </row>
    <row r="141" spans="1:28" x14ac:dyDescent="0.25">
      <c r="A141" t="s">
        <v>593</v>
      </c>
      <c r="B141">
        <v>26017333</v>
      </c>
      <c r="C141" t="s">
        <v>612</v>
      </c>
      <c r="D141" t="s">
        <v>21</v>
      </c>
      <c r="F141" t="s">
        <v>613</v>
      </c>
      <c r="G141" t="s">
        <v>614</v>
      </c>
      <c r="H141">
        <v>0</v>
      </c>
      <c r="I141" s="21">
        <v>44383</v>
      </c>
      <c r="J141" t="s">
        <v>59</v>
      </c>
      <c r="K141" t="s">
        <v>60</v>
      </c>
      <c r="L141">
        <v>48</v>
      </c>
      <c r="M141" s="13">
        <v>25000000</v>
      </c>
      <c r="N141">
        <v>663110</v>
      </c>
      <c r="O141">
        <v>9.99</v>
      </c>
      <c r="P141" t="s">
        <v>24</v>
      </c>
      <c r="Q141" s="21">
        <v>44414</v>
      </c>
      <c r="R141" s="21">
        <v>45844</v>
      </c>
      <c r="T141" t="s">
        <v>28</v>
      </c>
      <c r="U141" t="s">
        <v>598</v>
      </c>
      <c r="V141">
        <v>194791.66666666669</v>
      </c>
      <c r="W141">
        <v>407291.66666666669</v>
      </c>
      <c r="X141">
        <v>619791.66666666674</v>
      </c>
      <c r="Y141">
        <v>389583.33333333337</v>
      </c>
      <c r="Z141" t="s">
        <v>1040</v>
      </c>
      <c r="AA141" t="str">
        <f t="shared" si="2"/>
        <v>260173332500000044383</v>
      </c>
      <c r="AB141" t="e">
        <f>VLOOKUP(AA141,Balance!AA:AA,1,FALSE)</f>
        <v>#N/A</v>
      </c>
    </row>
    <row r="142" spans="1:28" x14ac:dyDescent="0.25">
      <c r="A142" t="s">
        <v>407</v>
      </c>
      <c r="B142">
        <v>26031132</v>
      </c>
      <c r="C142" t="s">
        <v>456</v>
      </c>
      <c r="D142" t="s">
        <v>21</v>
      </c>
      <c r="F142" t="s">
        <v>457</v>
      </c>
      <c r="G142" t="s">
        <v>459</v>
      </c>
      <c r="H142">
        <v>0</v>
      </c>
      <c r="I142" s="21">
        <v>44834</v>
      </c>
      <c r="J142" t="s">
        <v>59</v>
      </c>
      <c r="K142" t="s">
        <v>60</v>
      </c>
      <c r="L142">
        <v>36</v>
      </c>
      <c r="M142" s="13">
        <v>15000000</v>
      </c>
      <c r="N142">
        <v>492709</v>
      </c>
      <c r="O142">
        <v>9</v>
      </c>
      <c r="P142" t="s">
        <v>24</v>
      </c>
      <c r="Q142" s="21">
        <v>44864</v>
      </c>
      <c r="R142" s="21">
        <v>45930</v>
      </c>
      <c r="T142" t="s">
        <v>28</v>
      </c>
      <c r="U142" t="s">
        <v>416</v>
      </c>
      <c r="V142">
        <v>184166.66666666669</v>
      </c>
      <c r="W142">
        <v>354166.66666666669</v>
      </c>
      <c r="X142">
        <v>240833.33333333334</v>
      </c>
      <c r="Y142">
        <v>0</v>
      </c>
      <c r="Z142" t="s">
        <v>1040</v>
      </c>
      <c r="AA142" t="str">
        <f t="shared" si="2"/>
        <v>260311321500000044834</v>
      </c>
      <c r="AB142" t="e">
        <f>VLOOKUP(AA142,Balance!AA:AA,1,FALSE)</f>
        <v>#N/A</v>
      </c>
    </row>
    <row r="143" spans="1:28" x14ac:dyDescent="0.25">
      <c r="A143" t="s">
        <v>407</v>
      </c>
      <c r="B143">
        <v>26087083</v>
      </c>
      <c r="C143" t="s">
        <v>487</v>
      </c>
      <c r="D143" t="s">
        <v>21</v>
      </c>
      <c r="F143" t="s">
        <v>488</v>
      </c>
      <c r="G143" t="s">
        <v>489</v>
      </c>
      <c r="H143">
        <v>0</v>
      </c>
      <c r="I143" s="21">
        <v>44942</v>
      </c>
      <c r="J143" t="s">
        <v>22</v>
      </c>
      <c r="K143" t="s">
        <v>23</v>
      </c>
      <c r="L143">
        <v>24</v>
      </c>
      <c r="M143" s="13">
        <v>30000000</v>
      </c>
      <c r="N143">
        <v>1401427</v>
      </c>
      <c r="O143">
        <v>9</v>
      </c>
      <c r="P143" t="s">
        <v>24</v>
      </c>
      <c r="Q143" s="21">
        <v>44973</v>
      </c>
      <c r="R143" s="21">
        <v>45673</v>
      </c>
      <c r="T143" t="s">
        <v>28</v>
      </c>
      <c r="U143" t="s">
        <v>310</v>
      </c>
      <c r="V143">
        <v>212500.00000000003</v>
      </c>
      <c r="W143">
        <v>722500</v>
      </c>
      <c r="X143">
        <v>0</v>
      </c>
      <c r="Y143">
        <v>0</v>
      </c>
      <c r="Z143" t="s">
        <v>1040</v>
      </c>
      <c r="AA143" t="str">
        <f t="shared" si="2"/>
        <v>260870833000000044942</v>
      </c>
      <c r="AB143" t="e">
        <f>VLOOKUP(AA143,Balance!AA:AA,1,FALSE)</f>
        <v>#N/A</v>
      </c>
    </row>
    <row r="144" spans="1:28" x14ac:dyDescent="0.25">
      <c r="A144" t="s">
        <v>909</v>
      </c>
      <c r="B144">
        <v>35953721</v>
      </c>
      <c r="C144" t="s">
        <v>920</v>
      </c>
      <c r="D144" t="s">
        <v>21</v>
      </c>
      <c r="F144" t="s">
        <v>921</v>
      </c>
      <c r="G144" t="s">
        <v>922</v>
      </c>
      <c r="H144">
        <v>0</v>
      </c>
      <c r="I144" s="21">
        <v>44796</v>
      </c>
      <c r="J144" t="s">
        <v>59</v>
      </c>
      <c r="K144" t="s">
        <v>60</v>
      </c>
      <c r="L144">
        <v>36</v>
      </c>
      <c r="M144" s="13">
        <v>14986000</v>
      </c>
      <c r="N144">
        <v>492249</v>
      </c>
      <c r="O144">
        <v>9</v>
      </c>
      <c r="P144" t="s">
        <v>24</v>
      </c>
      <c r="Q144" s="21">
        <v>44827</v>
      </c>
      <c r="R144" s="21">
        <v>45892</v>
      </c>
      <c r="T144" t="s">
        <v>28</v>
      </c>
      <c r="U144" t="s">
        <v>256</v>
      </c>
      <c r="V144">
        <v>169841.33333333334</v>
      </c>
      <c r="W144">
        <v>339682.66666666669</v>
      </c>
      <c r="X144">
        <v>233531.83333333334</v>
      </c>
      <c r="Y144">
        <v>0</v>
      </c>
      <c r="Z144" t="s">
        <v>1040</v>
      </c>
      <c r="AA144" t="str">
        <f t="shared" si="2"/>
        <v>359537211498600044796</v>
      </c>
      <c r="AB144" t="e">
        <f>VLOOKUP(AA144,Balance!AA:AA,1,FALSE)</f>
        <v>#N/A</v>
      </c>
    </row>
    <row r="145" spans="1:28" x14ac:dyDescent="0.25">
      <c r="A145" t="s">
        <v>702</v>
      </c>
      <c r="B145">
        <v>26067999</v>
      </c>
      <c r="C145" t="s">
        <v>727</v>
      </c>
      <c r="D145" t="s">
        <v>21</v>
      </c>
      <c r="F145" t="s">
        <v>728</v>
      </c>
      <c r="G145" t="s">
        <v>729</v>
      </c>
      <c r="H145">
        <v>0</v>
      </c>
      <c r="I145" s="21">
        <v>44950</v>
      </c>
      <c r="J145" t="s">
        <v>22</v>
      </c>
      <c r="K145" t="s">
        <v>23</v>
      </c>
      <c r="L145">
        <v>24</v>
      </c>
      <c r="M145" s="13">
        <v>27000000</v>
      </c>
      <c r="N145">
        <v>1305794</v>
      </c>
      <c r="O145">
        <v>12</v>
      </c>
      <c r="P145" t="s">
        <v>24</v>
      </c>
      <c r="Q145" s="21">
        <v>44981</v>
      </c>
      <c r="R145" s="21">
        <v>45681</v>
      </c>
      <c r="T145" t="s">
        <v>28</v>
      </c>
      <c r="U145" t="s">
        <v>707</v>
      </c>
      <c r="V145">
        <v>191250</v>
      </c>
      <c r="W145">
        <v>650250</v>
      </c>
      <c r="X145">
        <v>0</v>
      </c>
      <c r="Y145">
        <v>0</v>
      </c>
      <c r="Z145" t="s">
        <v>1040</v>
      </c>
      <c r="AA145" t="str">
        <f t="shared" si="2"/>
        <v>260679992700000044950</v>
      </c>
      <c r="AB145" t="e">
        <f>VLOOKUP(AA145,Balance!AA:AA,1,FALSE)</f>
        <v>#N/A</v>
      </c>
    </row>
    <row r="146" spans="1:28" x14ac:dyDescent="0.25">
      <c r="A146" t="s">
        <v>857</v>
      </c>
      <c r="B146">
        <v>26035062</v>
      </c>
      <c r="C146" t="s">
        <v>869</v>
      </c>
      <c r="D146" t="s">
        <v>21</v>
      </c>
      <c r="F146" t="s">
        <v>870</v>
      </c>
      <c r="G146" t="s">
        <v>871</v>
      </c>
      <c r="H146">
        <v>0</v>
      </c>
      <c r="I146" s="21">
        <v>44553</v>
      </c>
      <c r="J146" t="s">
        <v>59</v>
      </c>
      <c r="K146" t="s">
        <v>60</v>
      </c>
      <c r="L146">
        <v>60</v>
      </c>
      <c r="M146" s="13">
        <v>10000000</v>
      </c>
      <c r="N146">
        <v>218568</v>
      </c>
      <c r="O146">
        <v>9</v>
      </c>
      <c r="P146" t="s">
        <v>24</v>
      </c>
      <c r="Q146" s="21">
        <v>44584</v>
      </c>
      <c r="R146" s="21">
        <v>46379</v>
      </c>
      <c r="T146" t="s">
        <v>28</v>
      </c>
      <c r="U146" t="s">
        <v>416</v>
      </c>
      <c r="V146">
        <v>158666.66666666669</v>
      </c>
      <c r="W146">
        <v>226666.66666666669</v>
      </c>
      <c r="X146">
        <v>294666.66666666669</v>
      </c>
      <c r="Y146">
        <v>0</v>
      </c>
      <c r="Z146" t="s">
        <v>1040</v>
      </c>
      <c r="AA146" t="str">
        <f t="shared" si="2"/>
        <v>260350621000000044553</v>
      </c>
      <c r="AB146" t="e">
        <f>VLOOKUP(AA146,Balance!AA:AA,1,FALSE)</f>
        <v>#N/A</v>
      </c>
    </row>
    <row r="147" spans="1:28" x14ac:dyDescent="0.25">
      <c r="A147" t="s">
        <v>924</v>
      </c>
      <c r="B147">
        <v>65306721</v>
      </c>
      <c r="C147" t="s">
        <v>934</v>
      </c>
      <c r="D147" t="s">
        <v>21</v>
      </c>
      <c r="F147" t="s">
        <v>935</v>
      </c>
      <c r="G147" t="s">
        <v>937</v>
      </c>
      <c r="H147">
        <v>0</v>
      </c>
      <c r="I147" s="21">
        <v>45036</v>
      </c>
      <c r="J147" t="s">
        <v>22</v>
      </c>
      <c r="K147" t="s">
        <v>23</v>
      </c>
      <c r="L147">
        <v>18</v>
      </c>
      <c r="M147" s="13">
        <v>40000000</v>
      </c>
      <c r="N147">
        <v>2468536</v>
      </c>
      <c r="O147">
        <v>11</v>
      </c>
      <c r="P147" t="s">
        <v>24</v>
      </c>
      <c r="Q147" s="21">
        <v>45066</v>
      </c>
      <c r="R147" s="21">
        <v>45585</v>
      </c>
      <c r="T147" t="s">
        <v>28</v>
      </c>
      <c r="U147" t="s">
        <v>416</v>
      </c>
      <c r="V147">
        <v>188888.88888888891</v>
      </c>
      <c r="W147">
        <v>1057777.7777777778</v>
      </c>
      <c r="X147">
        <v>0</v>
      </c>
      <c r="Y147">
        <v>0</v>
      </c>
      <c r="Z147" t="s">
        <v>1040</v>
      </c>
      <c r="AA147" t="str">
        <f t="shared" si="2"/>
        <v>653067214000000045036</v>
      </c>
      <c r="AB147" t="e">
        <f>VLOOKUP(AA147,Balance!AA:AA,1,FALSE)</f>
        <v>#N/A</v>
      </c>
    </row>
    <row r="148" spans="1:28" x14ac:dyDescent="0.25">
      <c r="A148" t="s">
        <v>528</v>
      </c>
      <c r="B148">
        <v>26026454</v>
      </c>
      <c r="C148" t="s">
        <v>546</v>
      </c>
      <c r="D148" t="s">
        <v>21</v>
      </c>
      <c r="F148" t="s">
        <v>547</v>
      </c>
      <c r="G148" t="s">
        <v>548</v>
      </c>
      <c r="H148">
        <v>0</v>
      </c>
      <c r="I148" s="21">
        <v>45251</v>
      </c>
      <c r="J148" t="s">
        <v>22</v>
      </c>
      <c r="K148" t="s">
        <v>23</v>
      </c>
      <c r="L148">
        <v>12</v>
      </c>
      <c r="M148" s="13">
        <v>20000000</v>
      </c>
      <c r="N148">
        <v>1780711</v>
      </c>
      <c r="O148">
        <v>10</v>
      </c>
      <c r="P148" t="s">
        <v>24</v>
      </c>
      <c r="Q148" s="21">
        <v>45281</v>
      </c>
      <c r="R148" s="21">
        <v>45617</v>
      </c>
      <c r="T148" t="s">
        <v>28</v>
      </c>
      <c r="U148" t="s">
        <v>406</v>
      </c>
      <c r="V148">
        <v>170000</v>
      </c>
      <c r="W148">
        <v>340000</v>
      </c>
      <c r="X148">
        <v>0</v>
      </c>
      <c r="Y148">
        <v>0</v>
      </c>
      <c r="Z148" t="s">
        <v>1040</v>
      </c>
      <c r="AA148" t="str">
        <f t="shared" si="2"/>
        <v>260264542000000045251</v>
      </c>
      <c r="AB148" t="e">
        <f>VLOOKUP(AA148,Balance!AA:AA,1,FALSE)</f>
        <v>#N/A</v>
      </c>
    </row>
    <row r="149" spans="1:28" x14ac:dyDescent="0.25">
      <c r="A149" t="s">
        <v>407</v>
      </c>
      <c r="B149">
        <v>25963925</v>
      </c>
      <c r="C149" t="s">
        <v>438</v>
      </c>
      <c r="D149" t="s">
        <v>21</v>
      </c>
      <c r="F149" t="s">
        <v>439</v>
      </c>
      <c r="G149" t="s">
        <v>441</v>
      </c>
      <c r="H149">
        <v>0</v>
      </c>
      <c r="I149" s="21">
        <v>44757</v>
      </c>
      <c r="J149" t="s">
        <v>59</v>
      </c>
      <c r="K149" t="s">
        <v>60</v>
      </c>
      <c r="L149">
        <v>36</v>
      </c>
      <c r="M149" s="13">
        <v>14783394</v>
      </c>
      <c r="N149">
        <v>485594</v>
      </c>
      <c r="O149">
        <v>9</v>
      </c>
      <c r="P149" t="s">
        <v>24</v>
      </c>
      <c r="Q149" s="21">
        <v>44788</v>
      </c>
      <c r="R149" s="21">
        <v>45853</v>
      </c>
      <c r="T149" t="s">
        <v>28</v>
      </c>
      <c r="U149" t="s">
        <v>416</v>
      </c>
      <c r="V149">
        <v>153583.03766666667</v>
      </c>
      <c r="W149">
        <v>321128.16966666671</v>
      </c>
      <c r="X149">
        <v>223393.50933333335</v>
      </c>
      <c r="Y149">
        <v>0</v>
      </c>
      <c r="Z149" t="s">
        <v>1040</v>
      </c>
      <c r="AA149" t="str">
        <f t="shared" si="2"/>
        <v>259639251478339444757</v>
      </c>
      <c r="AB149" t="e">
        <f>VLOOKUP(AA149,Balance!AA:AA,1,FALSE)</f>
        <v>#N/A</v>
      </c>
    </row>
    <row r="150" spans="1:28" x14ac:dyDescent="0.25">
      <c r="A150" t="s">
        <v>750</v>
      </c>
      <c r="B150">
        <v>26027082</v>
      </c>
      <c r="C150" t="s">
        <v>758</v>
      </c>
      <c r="D150" t="s">
        <v>21</v>
      </c>
      <c r="F150" t="s">
        <v>759</v>
      </c>
      <c r="G150" t="s">
        <v>760</v>
      </c>
      <c r="H150">
        <v>0</v>
      </c>
      <c r="I150" s="21">
        <v>45229</v>
      </c>
      <c r="J150" t="s">
        <v>22</v>
      </c>
      <c r="K150" t="s">
        <v>23</v>
      </c>
      <c r="L150">
        <v>18</v>
      </c>
      <c r="M150" s="13">
        <v>10000000</v>
      </c>
      <c r="N150">
        <v>600842</v>
      </c>
      <c r="O150">
        <v>8</v>
      </c>
      <c r="P150" t="s">
        <v>24</v>
      </c>
      <c r="Q150" s="21">
        <v>45260</v>
      </c>
      <c r="R150" s="21">
        <v>45777</v>
      </c>
      <c r="T150" t="s">
        <v>28</v>
      </c>
      <c r="U150" t="s">
        <v>755</v>
      </c>
      <c r="V150">
        <v>151111.11111111112</v>
      </c>
      <c r="W150">
        <v>160555.55555555556</v>
      </c>
      <c r="X150">
        <v>0</v>
      </c>
      <c r="Y150">
        <v>0</v>
      </c>
      <c r="Z150" t="s">
        <v>1040</v>
      </c>
      <c r="AA150" t="str">
        <f t="shared" si="2"/>
        <v>260270821000000045229</v>
      </c>
      <c r="AB150" t="e">
        <f>VLOOKUP(AA150,Balance!AA:AA,1,FALSE)</f>
        <v>#N/A</v>
      </c>
    </row>
    <row r="151" spans="1:28" x14ac:dyDescent="0.25">
      <c r="A151" t="s">
        <v>26</v>
      </c>
      <c r="B151">
        <v>71001900</v>
      </c>
      <c r="C151" t="s">
        <v>238</v>
      </c>
      <c r="D151" t="s">
        <v>21</v>
      </c>
      <c r="F151" t="s">
        <v>239</v>
      </c>
      <c r="G151" t="s">
        <v>242</v>
      </c>
      <c r="H151">
        <v>0</v>
      </c>
      <c r="I151" s="21">
        <v>45191</v>
      </c>
      <c r="J151" t="s">
        <v>22</v>
      </c>
      <c r="K151" t="s">
        <v>23</v>
      </c>
      <c r="L151">
        <v>12</v>
      </c>
      <c r="M151" s="13">
        <v>30000000</v>
      </c>
      <c r="N151">
        <v>2694178</v>
      </c>
      <c r="O151">
        <v>12</v>
      </c>
      <c r="P151" t="s">
        <v>24</v>
      </c>
      <c r="Q151" s="21">
        <v>45221</v>
      </c>
      <c r="R151" s="21">
        <v>45557</v>
      </c>
      <c r="T151" t="s">
        <v>28</v>
      </c>
      <c r="U151" t="s">
        <v>151</v>
      </c>
      <c r="V151">
        <v>170000</v>
      </c>
      <c r="W151">
        <v>425000.00000000006</v>
      </c>
      <c r="X151">
        <v>0</v>
      </c>
      <c r="Y151">
        <v>0</v>
      </c>
      <c r="Z151" t="s">
        <v>1040</v>
      </c>
      <c r="AA151" t="str">
        <f t="shared" si="2"/>
        <v>710019003000000045191</v>
      </c>
      <c r="AB151" t="e">
        <f>VLOOKUP(AA151,Balance!AA:AA,1,FALSE)</f>
        <v>#N/A</v>
      </c>
    </row>
    <row r="152" spans="1:28" x14ac:dyDescent="0.25">
      <c r="A152" t="s">
        <v>291</v>
      </c>
      <c r="B152">
        <v>39004412</v>
      </c>
      <c r="C152" t="s">
        <v>297</v>
      </c>
      <c r="D152" t="s">
        <v>21</v>
      </c>
      <c r="E152">
        <v>22831</v>
      </c>
      <c r="F152" t="s">
        <v>298</v>
      </c>
      <c r="G152" t="s">
        <v>299</v>
      </c>
      <c r="H152">
        <v>0</v>
      </c>
      <c r="I152" s="21">
        <v>44638</v>
      </c>
      <c r="J152" t="s">
        <v>59</v>
      </c>
      <c r="K152" t="s">
        <v>60</v>
      </c>
      <c r="L152">
        <v>48</v>
      </c>
      <c r="M152" s="13">
        <v>10000000</v>
      </c>
      <c r="N152">
        <v>259569</v>
      </c>
      <c r="O152">
        <v>9</v>
      </c>
      <c r="P152" t="s">
        <v>24</v>
      </c>
      <c r="Q152" s="21">
        <v>44669</v>
      </c>
      <c r="R152" s="21">
        <v>46099</v>
      </c>
      <c r="T152" t="s">
        <v>28</v>
      </c>
      <c r="U152" t="s">
        <v>300</v>
      </c>
      <c r="V152">
        <v>134583.33333333334</v>
      </c>
      <c r="W152">
        <v>219583.33333333334</v>
      </c>
      <c r="X152">
        <v>304583.33333333337</v>
      </c>
      <c r="Y152">
        <v>0</v>
      </c>
      <c r="Z152" t="s">
        <v>1040</v>
      </c>
      <c r="AA152" t="str">
        <f t="shared" si="2"/>
        <v>390044121000000044638</v>
      </c>
      <c r="AB152" t="e">
        <f>VLOOKUP(AA152,Balance!AA:AA,1,FALSE)</f>
        <v>#N/A</v>
      </c>
    </row>
    <row r="153" spans="1:28" x14ac:dyDescent="0.25">
      <c r="A153" t="s">
        <v>26</v>
      </c>
      <c r="B153">
        <v>15788705</v>
      </c>
      <c r="C153" t="s">
        <v>124</v>
      </c>
      <c r="D153" t="s">
        <v>21</v>
      </c>
      <c r="F153" t="s">
        <v>125</v>
      </c>
      <c r="G153" t="s">
        <v>126</v>
      </c>
      <c r="H153">
        <v>0</v>
      </c>
      <c r="I153" s="21">
        <v>44711</v>
      </c>
      <c r="J153" t="s">
        <v>59</v>
      </c>
      <c r="K153" t="s">
        <v>60</v>
      </c>
      <c r="L153">
        <v>36</v>
      </c>
      <c r="M153" s="13">
        <v>16000000</v>
      </c>
      <c r="N153">
        <v>525556</v>
      </c>
      <c r="O153">
        <v>9</v>
      </c>
      <c r="P153" t="s">
        <v>24</v>
      </c>
      <c r="Q153" s="21">
        <v>44742</v>
      </c>
      <c r="R153" s="21">
        <v>45807</v>
      </c>
      <c r="T153" t="s">
        <v>28</v>
      </c>
      <c r="U153" t="s">
        <v>127</v>
      </c>
      <c r="V153">
        <v>136000</v>
      </c>
      <c r="W153">
        <v>317333.33333333337</v>
      </c>
      <c r="X153">
        <v>498666.66666666669</v>
      </c>
      <c r="Y153">
        <v>0</v>
      </c>
      <c r="Z153" t="s">
        <v>1040</v>
      </c>
      <c r="AA153" t="str">
        <f t="shared" si="2"/>
        <v>157887051600000044711</v>
      </c>
      <c r="AB153" t="e">
        <f>VLOOKUP(AA153,Balance!AA:AA,1,FALSE)</f>
        <v>#N/A</v>
      </c>
    </row>
    <row r="154" spans="1:28" x14ac:dyDescent="0.25">
      <c r="A154" t="s">
        <v>656</v>
      </c>
      <c r="B154">
        <v>26065796</v>
      </c>
      <c r="C154" t="s">
        <v>690</v>
      </c>
      <c r="D154" t="s">
        <v>21</v>
      </c>
      <c r="F154" t="s">
        <v>691</v>
      </c>
      <c r="G154" t="s">
        <v>692</v>
      </c>
      <c r="H154">
        <v>0</v>
      </c>
      <c r="I154" s="21">
        <v>44638</v>
      </c>
      <c r="J154" t="s">
        <v>59</v>
      </c>
      <c r="K154" t="s">
        <v>60</v>
      </c>
      <c r="L154">
        <v>36</v>
      </c>
      <c r="M154" s="13">
        <v>20000000</v>
      </c>
      <c r="N154">
        <v>656945</v>
      </c>
      <c r="O154">
        <v>9</v>
      </c>
      <c r="P154" t="s">
        <v>24</v>
      </c>
      <c r="Q154" s="21">
        <v>44669</v>
      </c>
      <c r="R154" s="21">
        <v>45734</v>
      </c>
      <c r="T154" t="s">
        <v>28</v>
      </c>
      <c r="U154" t="s">
        <v>641</v>
      </c>
      <c r="V154">
        <v>132222.22222222225</v>
      </c>
      <c r="W154">
        <v>358888.88888888888</v>
      </c>
      <c r="X154">
        <v>585555.55555555562</v>
      </c>
      <c r="Y154">
        <v>0</v>
      </c>
      <c r="Z154" t="s">
        <v>1040</v>
      </c>
      <c r="AA154" t="str">
        <f t="shared" si="2"/>
        <v>260657962000000044638</v>
      </c>
      <c r="AB154" t="e">
        <f>VLOOKUP(AA154,Balance!AA:AA,1,FALSE)</f>
        <v>#N/A</v>
      </c>
    </row>
    <row r="155" spans="1:28" x14ac:dyDescent="0.25">
      <c r="A155" t="s">
        <v>407</v>
      </c>
      <c r="B155">
        <v>26040053</v>
      </c>
      <c r="C155" t="s">
        <v>465</v>
      </c>
      <c r="D155" t="s">
        <v>21</v>
      </c>
      <c r="F155" t="s">
        <v>466</v>
      </c>
      <c r="G155" t="s">
        <v>467</v>
      </c>
      <c r="H155">
        <v>0</v>
      </c>
      <c r="I155" s="21">
        <v>44686</v>
      </c>
      <c r="J155" t="s">
        <v>59</v>
      </c>
      <c r="K155" t="s">
        <v>60</v>
      </c>
      <c r="L155">
        <v>36</v>
      </c>
      <c r="M155" s="13">
        <v>15000000</v>
      </c>
      <c r="N155">
        <v>492709</v>
      </c>
      <c r="O155">
        <v>9</v>
      </c>
      <c r="P155" t="s">
        <v>24</v>
      </c>
      <c r="Q155" s="21">
        <v>44717</v>
      </c>
      <c r="R155" s="21">
        <v>45782</v>
      </c>
      <c r="T155" t="s">
        <v>28</v>
      </c>
      <c r="U155" t="s">
        <v>310</v>
      </c>
      <c r="V155">
        <v>127500.00000000001</v>
      </c>
      <c r="W155">
        <v>297500</v>
      </c>
      <c r="X155">
        <v>467500.00000000006</v>
      </c>
      <c r="Y155">
        <v>0</v>
      </c>
      <c r="Z155" t="s">
        <v>1040</v>
      </c>
      <c r="AA155" t="str">
        <f t="shared" si="2"/>
        <v>260400531500000044686</v>
      </c>
      <c r="AB155" t="e">
        <f>VLOOKUP(AA155,Balance!AA:AA,1,FALSE)</f>
        <v>#N/A</v>
      </c>
    </row>
    <row r="156" spans="1:28" x14ac:dyDescent="0.25">
      <c r="A156" t="s">
        <v>407</v>
      </c>
      <c r="B156">
        <v>26040053</v>
      </c>
      <c r="C156" t="s">
        <v>465</v>
      </c>
      <c r="D156" t="s">
        <v>21</v>
      </c>
      <c r="F156" t="s">
        <v>466</v>
      </c>
      <c r="G156" t="s">
        <v>468</v>
      </c>
      <c r="H156">
        <v>0</v>
      </c>
      <c r="I156" s="21">
        <v>45051</v>
      </c>
      <c r="J156" t="s">
        <v>22</v>
      </c>
      <c r="K156" t="s">
        <v>23</v>
      </c>
      <c r="L156">
        <v>24</v>
      </c>
      <c r="M156" s="13">
        <v>10000000</v>
      </c>
      <c r="N156">
        <v>478099</v>
      </c>
      <c r="O156">
        <v>11</v>
      </c>
      <c r="P156" t="s">
        <v>24</v>
      </c>
      <c r="Q156" s="21">
        <v>45082</v>
      </c>
      <c r="R156" s="21">
        <v>45782</v>
      </c>
      <c r="T156" t="s">
        <v>28</v>
      </c>
      <c r="U156" t="s">
        <v>310</v>
      </c>
      <c r="V156">
        <v>127500.00000000001</v>
      </c>
      <c r="W156">
        <v>297500</v>
      </c>
      <c r="X156">
        <v>0</v>
      </c>
      <c r="Y156">
        <v>0</v>
      </c>
      <c r="Z156" t="s">
        <v>1040</v>
      </c>
      <c r="AA156" t="str">
        <f t="shared" si="2"/>
        <v>260400531000000045051</v>
      </c>
      <c r="AB156" t="e">
        <f>VLOOKUP(AA156,Balance!AA:AA,1,FALSE)</f>
        <v>#N/A</v>
      </c>
    </row>
    <row r="157" spans="1:28" x14ac:dyDescent="0.25">
      <c r="A157" t="s">
        <v>407</v>
      </c>
      <c r="B157">
        <v>7941317</v>
      </c>
      <c r="C157" t="s">
        <v>422</v>
      </c>
      <c r="D157" t="s">
        <v>21</v>
      </c>
      <c r="F157" t="s">
        <v>423</v>
      </c>
      <c r="G157" t="s">
        <v>424</v>
      </c>
      <c r="H157">
        <v>0</v>
      </c>
      <c r="I157" s="21">
        <v>44918</v>
      </c>
      <c r="J157" t="s">
        <v>22</v>
      </c>
      <c r="K157" t="s">
        <v>23</v>
      </c>
      <c r="L157">
        <v>24</v>
      </c>
      <c r="M157" s="13">
        <v>25000000</v>
      </c>
      <c r="N157">
        <v>1167856</v>
      </c>
      <c r="O157">
        <v>9</v>
      </c>
      <c r="P157" t="s">
        <v>24</v>
      </c>
      <c r="Q157" s="21">
        <v>44949</v>
      </c>
      <c r="R157" s="21">
        <v>45649</v>
      </c>
      <c r="T157" t="s">
        <v>28</v>
      </c>
      <c r="U157" t="s">
        <v>310</v>
      </c>
      <c r="V157">
        <v>141666.66666666669</v>
      </c>
      <c r="W157">
        <v>566666.66666666674</v>
      </c>
      <c r="X157">
        <v>0</v>
      </c>
      <c r="Y157">
        <v>0</v>
      </c>
      <c r="Z157" t="s">
        <v>1040</v>
      </c>
      <c r="AA157" t="str">
        <f t="shared" si="2"/>
        <v>79413172500000044918</v>
      </c>
      <c r="AB157" t="e">
        <f>VLOOKUP(AA157,Balance!AA:AA,1,FALSE)</f>
        <v>#N/A</v>
      </c>
    </row>
    <row r="158" spans="1:28" x14ac:dyDescent="0.25">
      <c r="A158" t="s">
        <v>796</v>
      </c>
      <c r="B158">
        <v>55491464</v>
      </c>
      <c r="C158" t="s">
        <v>818</v>
      </c>
      <c r="D158" t="s">
        <v>21</v>
      </c>
      <c r="F158" t="s">
        <v>819</v>
      </c>
      <c r="G158" t="s">
        <v>820</v>
      </c>
      <c r="H158">
        <v>0</v>
      </c>
      <c r="I158" s="21">
        <v>44875</v>
      </c>
      <c r="J158" t="s">
        <v>59</v>
      </c>
      <c r="K158" t="s">
        <v>60</v>
      </c>
      <c r="L158">
        <v>36</v>
      </c>
      <c r="M158" s="13">
        <v>7500000</v>
      </c>
      <c r="N158">
        <v>250497</v>
      </c>
      <c r="O158">
        <v>9.99</v>
      </c>
      <c r="P158" t="s">
        <v>24</v>
      </c>
      <c r="Q158" s="21">
        <v>44922</v>
      </c>
      <c r="R158" s="21">
        <v>45988</v>
      </c>
      <c r="T158" t="s">
        <v>28</v>
      </c>
      <c r="U158" t="s">
        <v>641</v>
      </c>
      <c r="V158">
        <v>106250.00000000001</v>
      </c>
      <c r="W158">
        <v>191250</v>
      </c>
      <c r="X158">
        <v>127500.00000000001</v>
      </c>
      <c r="Y158">
        <v>0</v>
      </c>
      <c r="Z158" t="s">
        <v>1040</v>
      </c>
      <c r="AA158" t="str">
        <f t="shared" si="2"/>
        <v>55491464750000044875</v>
      </c>
      <c r="AB158" t="e">
        <f>VLOOKUP(AA158,Balance!AA:AA,1,FALSE)</f>
        <v>#N/A</v>
      </c>
    </row>
    <row r="159" spans="1:28" x14ac:dyDescent="0.25">
      <c r="A159" t="s">
        <v>656</v>
      </c>
      <c r="B159">
        <v>26028591</v>
      </c>
      <c r="C159" t="s">
        <v>674</v>
      </c>
      <c r="D159" t="s">
        <v>21</v>
      </c>
      <c r="F159" t="s">
        <v>675</v>
      </c>
      <c r="G159" t="s">
        <v>676</v>
      </c>
      <c r="H159">
        <v>0</v>
      </c>
      <c r="I159" s="21">
        <v>44743</v>
      </c>
      <c r="J159" t="s">
        <v>59</v>
      </c>
      <c r="K159" t="s">
        <v>60</v>
      </c>
      <c r="L159">
        <v>60</v>
      </c>
      <c r="M159" s="13">
        <v>5000000</v>
      </c>
      <c r="N159">
        <v>109284</v>
      </c>
      <c r="O159">
        <v>9</v>
      </c>
      <c r="P159" t="s">
        <v>24</v>
      </c>
      <c r="Q159" s="21">
        <v>44774</v>
      </c>
      <c r="R159" s="21">
        <v>46569</v>
      </c>
      <c r="T159" t="s">
        <v>28</v>
      </c>
      <c r="U159" t="s">
        <v>641</v>
      </c>
      <c r="V159">
        <v>99166.666666666672</v>
      </c>
      <c r="W159">
        <v>133166.66666666666</v>
      </c>
      <c r="X159">
        <v>79333.333333333343</v>
      </c>
      <c r="Y159">
        <v>0</v>
      </c>
      <c r="Z159" t="s">
        <v>1040</v>
      </c>
      <c r="AA159" t="str">
        <f t="shared" si="2"/>
        <v>26028591500000044743</v>
      </c>
      <c r="AB159" t="e">
        <f>VLOOKUP(AA159,Balance!AA:AA,1,FALSE)</f>
        <v>#N/A</v>
      </c>
    </row>
    <row r="160" spans="1:28" x14ac:dyDescent="0.25">
      <c r="A160" t="s">
        <v>407</v>
      </c>
      <c r="B160">
        <v>26053762</v>
      </c>
      <c r="C160" t="s">
        <v>479</v>
      </c>
      <c r="D160" t="s">
        <v>21</v>
      </c>
      <c r="F160" t="s">
        <v>480</v>
      </c>
      <c r="G160" t="s">
        <v>481</v>
      </c>
      <c r="H160">
        <v>0</v>
      </c>
      <c r="I160" s="21">
        <v>44875</v>
      </c>
      <c r="J160" t="s">
        <v>59</v>
      </c>
      <c r="K160" t="s">
        <v>60</v>
      </c>
      <c r="L160">
        <v>36</v>
      </c>
      <c r="M160" s="13">
        <v>7000000</v>
      </c>
      <c r="N160">
        <v>229931</v>
      </c>
      <c r="O160">
        <v>9</v>
      </c>
      <c r="P160" t="s">
        <v>24</v>
      </c>
      <c r="Q160" s="21">
        <v>44905</v>
      </c>
      <c r="R160" s="21">
        <v>45971</v>
      </c>
      <c r="T160" t="s">
        <v>28</v>
      </c>
      <c r="U160" t="s">
        <v>416</v>
      </c>
      <c r="V160">
        <v>99166.666666666672</v>
      </c>
      <c r="W160">
        <v>178500</v>
      </c>
      <c r="X160">
        <v>119000.00000000001</v>
      </c>
      <c r="Y160">
        <v>0</v>
      </c>
      <c r="Z160" t="s">
        <v>1040</v>
      </c>
      <c r="AA160" t="str">
        <f t="shared" si="2"/>
        <v>26053762700000044875</v>
      </c>
      <c r="AB160" t="e">
        <f>VLOOKUP(AA160,Balance!AA:AA,1,FALSE)</f>
        <v>#N/A</v>
      </c>
    </row>
    <row r="161" spans="1:28" x14ac:dyDescent="0.25">
      <c r="A161" t="s">
        <v>528</v>
      </c>
      <c r="B161">
        <v>25953264</v>
      </c>
      <c r="C161" t="s">
        <v>538</v>
      </c>
      <c r="D161" t="s">
        <v>21</v>
      </c>
      <c r="F161" t="s">
        <v>539</v>
      </c>
      <c r="G161" t="s">
        <v>540</v>
      </c>
      <c r="H161">
        <v>0</v>
      </c>
      <c r="I161" s="21">
        <v>44771</v>
      </c>
      <c r="J161" t="s">
        <v>59</v>
      </c>
      <c r="K161" t="s">
        <v>60</v>
      </c>
      <c r="L161">
        <v>30</v>
      </c>
      <c r="M161" s="13">
        <v>20000000</v>
      </c>
      <c r="N161">
        <v>767708</v>
      </c>
      <c r="O161">
        <v>9</v>
      </c>
      <c r="P161" t="s">
        <v>24</v>
      </c>
      <c r="Q161" s="21">
        <v>44985</v>
      </c>
      <c r="R161" s="21">
        <v>45866</v>
      </c>
      <c r="T161" t="s">
        <v>28</v>
      </c>
      <c r="U161" t="s">
        <v>320</v>
      </c>
      <c r="V161">
        <v>249333.33333333334</v>
      </c>
      <c r="W161">
        <v>521333.33333333337</v>
      </c>
      <c r="X161">
        <v>0</v>
      </c>
      <c r="Y161">
        <v>0</v>
      </c>
      <c r="Z161" t="s">
        <v>1040</v>
      </c>
      <c r="AA161" t="str">
        <f t="shared" si="2"/>
        <v>259532642000000044771</v>
      </c>
      <c r="AB161" t="e">
        <f>VLOOKUP(AA161,Balance!AA:AA,1,FALSE)</f>
        <v>#N/A</v>
      </c>
    </row>
    <row r="162" spans="1:28" x14ac:dyDescent="0.25">
      <c r="A162" t="s">
        <v>407</v>
      </c>
      <c r="B162">
        <v>7943217</v>
      </c>
      <c r="C162" t="s">
        <v>426</v>
      </c>
      <c r="D162" t="s">
        <v>21</v>
      </c>
      <c r="F162" t="s">
        <v>427</v>
      </c>
      <c r="G162" t="s">
        <v>428</v>
      </c>
      <c r="H162">
        <v>0</v>
      </c>
      <c r="I162" s="21">
        <v>45271</v>
      </c>
      <c r="J162" t="s">
        <v>22</v>
      </c>
      <c r="K162" t="s">
        <v>23</v>
      </c>
      <c r="L162">
        <v>24</v>
      </c>
      <c r="M162" s="13">
        <v>4000000</v>
      </c>
      <c r="N162">
        <v>189018</v>
      </c>
      <c r="O162">
        <v>9.99</v>
      </c>
      <c r="P162" t="s">
        <v>24</v>
      </c>
      <c r="Q162" s="21">
        <v>45302</v>
      </c>
      <c r="R162" s="21">
        <v>46002</v>
      </c>
      <c r="T162" t="s">
        <v>28</v>
      </c>
      <c r="U162" t="s">
        <v>256</v>
      </c>
      <c r="V162">
        <v>90666.666666666672</v>
      </c>
      <c r="W162">
        <v>0</v>
      </c>
      <c r="X162">
        <v>0</v>
      </c>
      <c r="Y162">
        <v>0</v>
      </c>
      <c r="Z162" t="s">
        <v>1040</v>
      </c>
      <c r="AA162" t="str">
        <f t="shared" si="2"/>
        <v>7943217400000045271</v>
      </c>
      <c r="AB162" t="e">
        <f>VLOOKUP(AA162,Balance!AA:AA,1,FALSE)</f>
        <v>#N/A</v>
      </c>
    </row>
    <row r="163" spans="1:28" x14ac:dyDescent="0.25">
      <c r="A163" t="s">
        <v>593</v>
      </c>
      <c r="B163">
        <v>26078918</v>
      </c>
      <c r="C163" t="s">
        <v>621</v>
      </c>
      <c r="D163" t="s">
        <v>21</v>
      </c>
      <c r="F163" t="s">
        <v>622</v>
      </c>
      <c r="G163" t="s">
        <v>625</v>
      </c>
      <c r="H163">
        <v>0</v>
      </c>
      <c r="I163" s="21">
        <v>45146</v>
      </c>
      <c r="J163" t="s">
        <v>22</v>
      </c>
      <c r="K163" t="s">
        <v>23</v>
      </c>
      <c r="L163">
        <v>12</v>
      </c>
      <c r="M163" s="13">
        <v>30000000</v>
      </c>
      <c r="N163">
        <v>2704056</v>
      </c>
      <c r="O163">
        <v>12</v>
      </c>
      <c r="P163" t="s">
        <v>24</v>
      </c>
      <c r="Q163" s="21">
        <v>45177</v>
      </c>
      <c r="R163" s="21">
        <v>45512</v>
      </c>
      <c r="T163" t="s">
        <v>28</v>
      </c>
      <c r="U163" t="s">
        <v>598</v>
      </c>
      <c r="V163">
        <v>127500.00000000001</v>
      </c>
      <c r="W163">
        <v>382500</v>
      </c>
      <c r="X163">
        <v>0</v>
      </c>
      <c r="Y163">
        <v>0</v>
      </c>
      <c r="Z163" t="s">
        <v>1040</v>
      </c>
      <c r="AA163" t="str">
        <f t="shared" si="2"/>
        <v>260789183000000045146</v>
      </c>
      <c r="AB163" t="e">
        <f>VLOOKUP(AA163,Balance!AA:AA,1,FALSE)</f>
        <v>#N/A</v>
      </c>
    </row>
    <row r="164" spans="1:28" x14ac:dyDescent="0.25">
      <c r="A164" t="s">
        <v>500</v>
      </c>
      <c r="B164">
        <v>25928939</v>
      </c>
      <c r="C164" t="s">
        <v>502</v>
      </c>
      <c r="D164" t="s">
        <v>21</v>
      </c>
      <c r="F164" t="s">
        <v>503</v>
      </c>
      <c r="G164" t="s">
        <v>504</v>
      </c>
      <c r="H164">
        <v>0</v>
      </c>
      <c r="I164" s="21">
        <v>44923</v>
      </c>
      <c r="J164" t="s">
        <v>22</v>
      </c>
      <c r="K164" t="s">
        <v>23</v>
      </c>
      <c r="L164">
        <v>36</v>
      </c>
      <c r="M164" s="13">
        <v>5000000</v>
      </c>
      <c r="N164">
        <v>164236</v>
      </c>
      <c r="O164">
        <v>9</v>
      </c>
      <c r="P164" t="s">
        <v>24</v>
      </c>
      <c r="Q164" s="21">
        <v>44954</v>
      </c>
      <c r="R164" s="21">
        <v>46019</v>
      </c>
      <c r="T164" t="s">
        <v>28</v>
      </c>
      <c r="U164" t="s">
        <v>505</v>
      </c>
      <c r="V164">
        <v>75555.555555555562</v>
      </c>
      <c r="W164">
        <v>132222.22222222225</v>
      </c>
      <c r="X164">
        <v>0</v>
      </c>
      <c r="Y164">
        <v>0</v>
      </c>
      <c r="Z164" t="s">
        <v>1040</v>
      </c>
      <c r="AA164" t="str">
        <f t="shared" si="2"/>
        <v>25928939500000044923</v>
      </c>
      <c r="AB164" t="e">
        <f>VLOOKUP(AA164,Balance!AA:AA,1,FALSE)</f>
        <v>#N/A</v>
      </c>
    </row>
    <row r="165" spans="1:28" x14ac:dyDescent="0.25">
      <c r="A165" t="s">
        <v>909</v>
      </c>
      <c r="B165">
        <v>26065346</v>
      </c>
      <c r="C165" t="s">
        <v>916</v>
      </c>
      <c r="D165" t="s">
        <v>21</v>
      </c>
      <c r="F165" t="s">
        <v>917</v>
      </c>
      <c r="G165" t="s">
        <v>918</v>
      </c>
      <c r="H165">
        <v>0</v>
      </c>
      <c r="I165" s="21">
        <v>44748</v>
      </c>
      <c r="J165" t="s">
        <v>59</v>
      </c>
      <c r="K165" t="s">
        <v>60</v>
      </c>
      <c r="L165">
        <v>36</v>
      </c>
      <c r="M165" s="13">
        <v>7000000</v>
      </c>
      <c r="N165">
        <v>229931</v>
      </c>
      <c r="O165">
        <v>9</v>
      </c>
      <c r="P165" t="s">
        <v>24</v>
      </c>
      <c r="Q165" s="21">
        <v>44779</v>
      </c>
      <c r="R165" s="21">
        <v>45844</v>
      </c>
      <c r="T165" t="s">
        <v>28</v>
      </c>
      <c r="U165" t="s">
        <v>310</v>
      </c>
      <c r="V165">
        <v>72722.222222222219</v>
      </c>
      <c r="W165">
        <v>152055.55555555556</v>
      </c>
      <c r="X165">
        <v>105777.77777777778</v>
      </c>
      <c r="Y165">
        <v>0</v>
      </c>
      <c r="Z165" t="s">
        <v>1040</v>
      </c>
      <c r="AA165" t="str">
        <f t="shared" si="2"/>
        <v>26065346700000044748</v>
      </c>
      <c r="AB165" t="e">
        <f>VLOOKUP(AA165,Balance!AA:AA,1,FALSE)</f>
        <v>#N/A</v>
      </c>
    </row>
    <row r="166" spans="1:28" x14ac:dyDescent="0.25">
      <c r="A166" t="s">
        <v>26</v>
      </c>
      <c r="B166">
        <v>25964877</v>
      </c>
      <c r="C166" t="s">
        <v>148</v>
      </c>
      <c r="D166" t="s">
        <v>21</v>
      </c>
      <c r="F166" t="s">
        <v>149</v>
      </c>
      <c r="G166" t="s">
        <v>150</v>
      </c>
      <c r="H166">
        <v>0</v>
      </c>
      <c r="I166" s="21">
        <v>44911</v>
      </c>
      <c r="J166" t="s">
        <v>22</v>
      </c>
      <c r="K166" t="s">
        <v>23</v>
      </c>
      <c r="L166">
        <v>24</v>
      </c>
      <c r="M166" s="13">
        <v>15000000</v>
      </c>
      <c r="N166">
        <v>725441</v>
      </c>
      <c r="O166">
        <v>12</v>
      </c>
      <c r="P166" t="s">
        <v>24</v>
      </c>
      <c r="Q166" s="21">
        <v>44942</v>
      </c>
      <c r="R166" s="21">
        <v>45642</v>
      </c>
      <c r="T166" t="s">
        <v>28</v>
      </c>
      <c r="U166" t="s">
        <v>151</v>
      </c>
      <c r="V166">
        <v>85000</v>
      </c>
      <c r="W166">
        <v>340000</v>
      </c>
      <c r="X166">
        <v>0</v>
      </c>
      <c r="Y166">
        <v>0</v>
      </c>
      <c r="Z166" t="s">
        <v>1040</v>
      </c>
      <c r="AA166" t="str">
        <f t="shared" si="2"/>
        <v>259648771500000044911</v>
      </c>
      <c r="AB166" t="e">
        <f>VLOOKUP(AA166,Balance!AA:AA,1,FALSE)</f>
        <v>#N/A</v>
      </c>
    </row>
    <row r="167" spans="1:28" x14ac:dyDescent="0.25">
      <c r="A167" t="s">
        <v>26</v>
      </c>
      <c r="B167">
        <v>15819505</v>
      </c>
      <c r="C167" t="s">
        <v>134</v>
      </c>
      <c r="D167" t="s">
        <v>21</v>
      </c>
      <c r="F167" t="s">
        <v>135</v>
      </c>
      <c r="G167" t="s">
        <v>137</v>
      </c>
      <c r="H167">
        <v>0</v>
      </c>
      <c r="I167" s="21">
        <v>44547</v>
      </c>
      <c r="J167" t="s">
        <v>59</v>
      </c>
      <c r="K167" t="s">
        <v>60</v>
      </c>
      <c r="L167">
        <v>36</v>
      </c>
      <c r="M167" s="13">
        <v>15000000</v>
      </c>
      <c r="N167">
        <v>500994</v>
      </c>
      <c r="O167">
        <v>9.99</v>
      </c>
      <c r="P167" t="s">
        <v>24</v>
      </c>
      <c r="Q167" s="21">
        <v>44578</v>
      </c>
      <c r="R167" s="21">
        <v>45643</v>
      </c>
      <c r="T167" t="s">
        <v>28</v>
      </c>
      <c r="U167" t="s">
        <v>127</v>
      </c>
      <c r="V167">
        <v>56666.666666666672</v>
      </c>
      <c r="W167">
        <v>226666.66666666669</v>
      </c>
      <c r="X167">
        <v>396666.66666666669</v>
      </c>
      <c r="Y167">
        <v>0</v>
      </c>
      <c r="Z167" t="s">
        <v>1040</v>
      </c>
      <c r="AA167" t="str">
        <f t="shared" si="2"/>
        <v>158195051500000044547</v>
      </c>
      <c r="AB167" t="e">
        <f>VLOOKUP(AA167,Balance!AA:AA,1,FALSE)</f>
        <v>#N/A</v>
      </c>
    </row>
    <row r="168" spans="1:28" x14ac:dyDescent="0.25">
      <c r="A168" t="s">
        <v>407</v>
      </c>
      <c r="B168">
        <v>7960217</v>
      </c>
      <c r="C168" t="s">
        <v>434</v>
      </c>
      <c r="D168" t="s">
        <v>21</v>
      </c>
      <c r="F168" t="s">
        <v>435</v>
      </c>
      <c r="G168" t="s">
        <v>436</v>
      </c>
      <c r="H168">
        <v>0</v>
      </c>
      <c r="I168" s="21">
        <v>44615</v>
      </c>
      <c r="J168" t="s">
        <v>59</v>
      </c>
      <c r="K168" t="s">
        <v>60</v>
      </c>
      <c r="L168">
        <v>36</v>
      </c>
      <c r="M168" s="13">
        <v>8642768</v>
      </c>
      <c r="N168">
        <v>283891</v>
      </c>
      <c r="O168">
        <v>9</v>
      </c>
      <c r="P168" t="s">
        <v>24</v>
      </c>
      <c r="Q168" s="21">
        <v>44643</v>
      </c>
      <c r="R168" s="21">
        <v>45711</v>
      </c>
      <c r="T168" t="s">
        <v>28</v>
      </c>
      <c r="U168" t="s">
        <v>416</v>
      </c>
      <c r="V168">
        <v>48975.685333333335</v>
      </c>
      <c r="W168">
        <v>146927.05600000001</v>
      </c>
      <c r="X168">
        <v>244878.42666666667</v>
      </c>
      <c r="Y168">
        <v>0</v>
      </c>
      <c r="Z168" t="s">
        <v>1040</v>
      </c>
      <c r="AA168" t="str">
        <f t="shared" si="2"/>
        <v>7960217864276844615</v>
      </c>
      <c r="AB168" t="e">
        <f>VLOOKUP(AA168,Balance!AA:AA,1,FALSE)</f>
        <v>#N/A</v>
      </c>
    </row>
    <row r="169" spans="1:28" x14ac:dyDescent="0.25">
      <c r="A169" t="s">
        <v>973</v>
      </c>
      <c r="B169">
        <v>26009371</v>
      </c>
      <c r="C169" t="s">
        <v>979</v>
      </c>
      <c r="D169" t="s">
        <v>21</v>
      </c>
      <c r="F169" t="s">
        <v>980</v>
      </c>
      <c r="G169" t="s">
        <v>981</v>
      </c>
      <c r="H169">
        <v>0</v>
      </c>
      <c r="I169" s="21">
        <v>44449</v>
      </c>
      <c r="J169" t="s">
        <v>59</v>
      </c>
      <c r="K169" t="s">
        <v>60</v>
      </c>
      <c r="L169">
        <v>36</v>
      </c>
      <c r="M169" s="13">
        <v>22400000</v>
      </c>
      <c r="N169">
        <v>735779</v>
      </c>
      <c r="O169">
        <v>9</v>
      </c>
      <c r="P169" t="s">
        <v>24</v>
      </c>
      <c r="Q169" s="21">
        <v>44479</v>
      </c>
      <c r="R169" s="21">
        <v>45545</v>
      </c>
      <c r="S169">
        <v>45260</v>
      </c>
      <c r="T169" t="s">
        <v>25</v>
      </c>
      <c r="U169" t="s">
        <v>300</v>
      </c>
      <c r="V169">
        <v>42311.111111111117</v>
      </c>
      <c r="W169">
        <v>275022.22222222225</v>
      </c>
      <c r="X169">
        <v>528888.88888888899</v>
      </c>
      <c r="Y169">
        <v>359644.4444444445</v>
      </c>
      <c r="Z169" t="s">
        <v>1040</v>
      </c>
      <c r="AA169" t="str">
        <f t="shared" si="2"/>
        <v>260093712240000044449</v>
      </c>
      <c r="AB169" t="e">
        <f>VLOOKUP(AA169,Balance!AA:AA,1,FALSE)</f>
        <v>#N/A</v>
      </c>
    </row>
    <row r="170" spans="1:28" x14ac:dyDescent="0.25">
      <c r="A170" t="s">
        <v>960</v>
      </c>
      <c r="B170">
        <v>26081818</v>
      </c>
      <c r="C170" t="s">
        <v>970</v>
      </c>
      <c r="D170" t="s">
        <v>21</v>
      </c>
      <c r="F170" t="s">
        <v>971</v>
      </c>
      <c r="G170" t="s">
        <v>972</v>
      </c>
      <c r="H170">
        <v>0</v>
      </c>
      <c r="I170" s="21">
        <v>44956</v>
      </c>
      <c r="J170" t="s">
        <v>22</v>
      </c>
      <c r="K170" t="s">
        <v>23</v>
      </c>
      <c r="L170">
        <v>18</v>
      </c>
      <c r="M170" s="13">
        <v>30000000</v>
      </c>
      <c r="N170">
        <v>1826708</v>
      </c>
      <c r="O170">
        <v>9.49</v>
      </c>
      <c r="P170" t="s">
        <v>24</v>
      </c>
      <c r="Q170" s="21">
        <v>44985</v>
      </c>
      <c r="R170" s="21">
        <v>45501</v>
      </c>
      <c r="T170" t="s">
        <v>28</v>
      </c>
      <c r="U170" t="s">
        <v>285</v>
      </c>
      <c r="V170">
        <v>56666.666666666672</v>
      </c>
      <c r="W170">
        <v>623333.33333333337</v>
      </c>
      <c r="X170">
        <v>0</v>
      </c>
      <c r="Y170">
        <v>0</v>
      </c>
      <c r="Z170" t="s">
        <v>1040</v>
      </c>
      <c r="AA170" t="str">
        <f t="shared" si="2"/>
        <v>260818183000000044956</v>
      </c>
      <c r="AB170" t="e">
        <f>VLOOKUP(AA170,Balance!AA:AA,1,FALSE)</f>
        <v>#N/A</v>
      </c>
    </row>
    <row r="171" spans="1:28" x14ac:dyDescent="0.25">
      <c r="A171" t="s">
        <v>702</v>
      </c>
      <c r="B171">
        <v>25938948</v>
      </c>
      <c r="C171" t="s">
        <v>704</v>
      </c>
      <c r="D171" t="s">
        <v>21</v>
      </c>
      <c r="F171" t="s">
        <v>705</v>
      </c>
      <c r="G171" t="s">
        <v>709</v>
      </c>
      <c r="H171">
        <v>0</v>
      </c>
      <c r="I171" s="21">
        <v>45253</v>
      </c>
      <c r="J171" t="s">
        <v>22</v>
      </c>
      <c r="K171" t="s">
        <v>23</v>
      </c>
      <c r="L171">
        <v>18</v>
      </c>
      <c r="M171" s="13">
        <v>1500000</v>
      </c>
      <c r="N171">
        <v>90126</v>
      </c>
      <c r="O171">
        <v>8</v>
      </c>
      <c r="P171" t="s">
        <v>24</v>
      </c>
      <c r="Q171" s="21">
        <v>45283</v>
      </c>
      <c r="R171" s="21">
        <v>45800</v>
      </c>
      <c r="T171" t="s">
        <v>28</v>
      </c>
      <c r="U171" t="s">
        <v>707</v>
      </c>
      <c r="V171">
        <v>25500.000000000004</v>
      </c>
      <c r="W171">
        <v>25500.000000000004</v>
      </c>
      <c r="X171">
        <v>0</v>
      </c>
      <c r="Y171">
        <v>0</v>
      </c>
      <c r="Z171" t="s">
        <v>1040</v>
      </c>
      <c r="AA171" t="str">
        <f t="shared" si="2"/>
        <v>25938948150000045253</v>
      </c>
      <c r="AB171" t="e">
        <f>VLOOKUP(AA171,Balance!AA:AA,1,FALSE)</f>
        <v>#N/A</v>
      </c>
    </row>
    <row r="172" spans="1:28" x14ac:dyDescent="0.25">
      <c r="A172" t="s">
        <v>500</v>
      </c>
      <c r="B172">
        <v>25977080</v>
      </c>
      <c r="C172" t="s">
        <v>507</v>
      </c>
      <c r="D172" t="s">
        <v>21</v>
      </c>
      <c r="F172" t="s">
        <v>508</v>
      </c>
      <c r="G172" t="s">
        <v>509</v>
      </c>
      <c r="H172">
        <v>0</v>
      </c>
      <c r="I172" s="21">
        <v>44546</v>
      </c>
      <c r="J172" t="s">
        <v>59</v>
      </c>
      <c r="K172" t="s">
        <v>60</v>
      </c>
      <c r="L172">
        <v>36</v>
      </c>
      <c r="M172" s="13">
        <v>7000000</v>
      </c>
      <c r="N172">
        <v>237781</v>
      </c>
      <c r="O172">
        <v>11</v>
      </c>
      <c r="P172" t="s">
        <v>24</v>
      </c>
      <c r="Q172" s="21">
        <v>44577</v>
      </c>
      <c r="R172" s="21">
        <v>45642</v>
      </c>
      <c r="S172">
        <v>45371</v>
      </c>
      <c r="T172" t="s">
        <v>25</v>
      </c>
      <c r="U172" t="s">
        <v>505</v>
      </c>
      <c r="V172">
        <v>26444.444444444445</v>
      </c>
      <c r="W172">
        <v>105777.7777777778</v>
      </c>
      <c r="X172">
        <v>185111.11111111112</v>
      </c>
      <c r="Y172">
        <v>0</v>
      </c>
      <c r="Z172" t="s">
        <v>1040</v>
      </c>
      <c r="AA172" t="str">
        <f t="shared" si="2"/>
        <v>25977080700000044546</v>
      </c>
      <c r="AB172" t="e">
        <f>VLOOKUP(AA172,Balance!AA:AA,1,FALSE)</f>
        <v>#N/A</v>
      </c>
    </row>
    <row r="173" spans="1:28" x14ac:dyDescent="0.25">
      <c r="A173" t="s">
        <v>26</v>
      </c>
      <c r="B173">
        <v>15053900</v>
      </c>
      <c r="C173" t="s">
        <v>36</v>
      </c>
      <c r="D173" t="s">
        <v>21</v>
      </c>
      <c r="E173">
        <v>22283</v>
      </c>
      <c r="F173" t="s">
        <v>37</v>
      </c>
      <c r="G173" t="s">
        <v>38</v>
      </c>
      <c r="H173">
        <v>0</v>
      </c>
      <c r="I173" s="21">
        <v>44320</v>
      </c>
      <c r="J173" t="s">
        <v>39</v>
      </c>
      <c r="K173" t="s">
        <v>40</v>
      </c>
      <c r="L173">
        <v>12</v>
      </c>
      <c r="M173" s="13">
        <v>75000000</v>
      </c>
      <c r="N173">
        <v>6551038</v>
      </c>
      <c r="O173">
        <v>7.5</v>
      </c>
      <c r="P173" t="s">
        <v>24</v>
      </c>
      <c r="Q173" s="21">
        <v>44350</v>
      </c>
      <c r="R173" s="21">
        <v>44684</v>
      </c>
      <c r="T173" t="s">
        <v>25</v>
      </c>
      <c r="U173" t="s">
        <v>41</v>
      </c>
      <c r="V173">
        <v>0</v>
      </c>
      <c r="W173">
        <v>0</v>
      </c>
      <c r="X173">
        <v>0</v>
      </c>
      <c r="Y173">
        <v>1912500.0000000002</v>
      </c>
      <c r="Z173" t="s">
        <v>1040</v>
      </c>
      <c r="AA173" t="str">
        <f t="shared" si="2"/>
        <v>150539007500000044320</v>
      </c>
      <c r="AB173" t="e">
        <f>VLOOKUP(AA173,Balance!AA:AA,1,FALSE)</f>
        <v>#N/A</v>
      </c>
    </row>
    <row r="174" spans="1:28" x14ac:dyDescent="0.25">
      <c r="A174" t="s">
        <v>26</v>
      </c>
      <c r="B174">
        <v>15053900</v>
      </c>
      <c r="C174" t="s">
        <v>36</v>
      </c>
      <c r="D174" t="s">
        <v>21</v>
      </c>
      <c r="E174">
        <v>22283</v>
      </c>
      <c r="F174" t="s">
        <v>37</v>
      </c>
      <c r="G174" t="s">
        <v>42</v>
      </c>
      <c r="H174">
        <v>0</v>
      </c>
      <c r="I174" s="21">
        <v>44714</v>
      </c>
      <c r="J174" t="s">
        <v>39</v>
      </c>
      <c r="K174" t="s">
        <v>40</v>
      </c>
      <c r="L174">
        <v>12</v>
      </c>
      <c r="M174" s="13">
        <v>75000000</v>
      </c>
      <c r="N174">
        <v>6551038</v>
      </c>
      <c r="O174">
        <v>7.5</v>
      </c>
      <c r="P174" t="s">
        <v>24</v>
      </c>
      <c r="Q174" s="21">
        <v>44744</v>
      </c>
      <c r="R174" s="21">
        <v>45079</v>
      </c>
      <c r="T174" t="s">
        <v>25</v>
      </c>
      <c r="U174" t="s">
        <v>41</v>
      </c>
      <c r="V174">
        <v>0</v>
      </c>
      <c r="W174">
        <v>106250.00000000001</v>
      </c>
      <c r="X174">
        <v>743750</v>
      </c>
      <c r="Y174">
        <v>0</v>
      </c>
      <c r="Z174" t="s">
        <v>1040</v>
      </c>
      <c r="AA174" t="str">
        <f t="shared" si="2"/>
        <v>150539007500000044714</v>
      </c>
      <c r="AB174" t="e">
        <f>VLOOKUP(AA174,Balance!AA:AA,1,FALSE)</f>
        <v>#N/A</v>
      </c>
    </row>
    <row r="175" spans="1:28" x14ac:dyDescent="0.25">
      <c r="A175" t="s">
        <v>26</v>
      </c>
      <c r="B175">
        <v>15187000</v>
      </c>
      <c r="C175" t="s">
        <v>45</v>
      </c>
      <c r="D175" t="s">
        <v>21</v>
      </c>
      <c r="F175" t="s">
        <v>46</v>
      </c>
      <c r="G175" t="s">
        <v>48</v>
      </c>
      <c r="H175">
        <v>0</v>
      </c>
      <c r="I175" s="21">
        <v>44610</v>
      </c>
      <c r="J175" t="s">
        <v>39</v>
      </c>
      <c r="K175" t="s">
        <v>40</v>
      </c>
      <c r="L175">
        <v>12</v>
      </c>
      <c r="M175" s="13">
        <v>144000000</v>
      </c>
      <c r="N175">
        <v>12577993</v>
      </c>
      <c r="O175">
        <v>7.5</v>
      </c>
      <c r="P175" t="s">
        <v>24</v>
      </c>
      <c r="Q175" s="21">
        <v>44638</v>
      </c>
      <c r="R175" s="21">
        <v>44975</v>
      </c>
      <c r="T175" t="s">
        <v>25</v>
      </c>
      <c r="U175" t="s">
        <v>47</v>
      </c>
      <c r="V175">
        <v>0</v>
      </c>
      <c r="W175">
        <v>0</v>
      </c>
      <c r="X175">
        <v>2448000</v>
      </c>
      <c r="Y175">
        <v>0</v>
      </c>
      <c r="Z175" t="s">
        <v>1040</v>
      </c>
      <c r="AA175" t="str">
        <f t="shared" si="2"/>
        <v>1518700014400000044610</v>
      </c>
      <c r="AB175" t="e">
        <f>VLOOKUP(AA175,Balance!AA:AA,1,FALSE)</f>
        <v>#N/A</v>
      </c>
    </row>
    <row r="176" spans="1:28" x14ac:dyDescent="0.25">
      <c r="A176" t="s">
        <v>26</v>
      </c>
      <c r="B176">
        <v>15429505</v>
      </c>
      <c r="C176" t="s">
        <v>56</v>
      </c>
      <c r="D176" t="s">
        <v>21</v>
      </c>
      <c r="E176">
        <v>17601</v>
      </c>
      <c r="F176" t="s">
        <v>57</v>
      </c>
      <c r="G176" t="s">
        <v>58</v>
      </c>
      <c r="H176">
        <v>0</v>
      </c>
      <c r="I176" s="21">
        <v>45069</v>
      </c>
      <c r="J176" t="s">
        <v>59</v>
      </c>
      <c r="K176" t="s">
        <v>60</v>
      </c>
      <c r="L176">
        <v>12</v>
      </c>
      <c r="M176" s="13">
        <v>25500000</v>
      </c>
      <c r="N176">
        <v>2549881</v>
      </c>
      <c r="O176">
        <v>9.99</v>
      </c>
      <c r="P176" t="s">
        <v>24</v>
      </c>
      <c r="Q176" s="21">
        <v>45161</v>
      </c>
      <c r="R176" s="21">
        <v>46165</v>
      </c>
      <c r="T176" t="s">
        <v>28</v>
      </c>
      <c r="U176" t="s">
        <v>61</v>
      </c>
      <c r="V176">
        <v>72250</v>
      </c>
      <c r="W176">
        <v>289000</v>
      </c>
      <c r="X176">
        <v>0</v>
      </c>
      <c r="Y176">
        <v>0</v>
      </c>
      <c r="Z176" t="s">
        <v>1040</v>
      </c>
      <c r="AA176" t="str">
        <f t="shared" si="2"/>
        <v>154295052550000045069</v>
      </c>
      <c r="AB176" t="e">
        <f>VLOOKUP(AA176,Balance!AA:AA,1,FALSE)</f>
        <v>#N/A</v>
      </c>
    </row>
    <row r="177" spans="1:28" x14ac:dyDescent="0.25">
      <c r="A177" t="s">
        <v>26</v>
      </c>
      <c r="B177">
        <v>15625005</v>
      </c>
      <c r="C177" t="s">
        <v>80</v>
      </c>
      <c r="D177" t="s">
        <v>21</v>
      </c>
      <c r="F177" t="s">
        <v>81</v>
      </c>
      <c r="G177" t="s">
        <v>82</v>
      </c>
      <c r="H177">
        <v>0</v>
      </c>
      <c r="I177" s="21">
        <v>44361</v>
      </c>
      <c r="J177" t="s">
        <v>39</v>
      </c>
      <c r="K177" t="s">
        <v>40</v>
      </c>
      <c r="L177">
        <v>12</v>
      </c>
      <c r="M177" s="13">
        <v>100000000</v>
      </c>
      <c r="N177">
        <v>8707630</v>
      </c>
      <c r="O177">
        <v>7</v>
      </c>
      <c r="P177" t="s">
        <v>24</v>
      </c>
      <c r="Q177" s="21">
        <v>44391</v>
      </c>
      <c r="R177" s="21">
        <v>44726</v>
      </c>
      <c r="T177" t="s">
        <v>25</v>
      </c>
      <c r="U177" t="s">
        <v>83</v>
      </c>
      <c r="V177">
        <v>0</v>
      </c>
      <c r="W177">
        <v>0</v>
      </c>
      <c r="X177">
        <v>141666.66666666669</v>
      </c>
      <c r="Y177">
        <v>991666.66666666674</v>
      </c>
      <c r="Z177" t="s">
        <v>1040</v>
      </c>
      <c r="AA177" t="str">
        <f t="shared" si="2"/>
        <v>1562500510000000044361</v>
      </c>
      <c r="AB177" t="e">
        <f>VLOOKUP(AA177,Balance!AA:AA,1,FALSE)</f>
        <v>#N/A</v>
      </c>
    </row>
    <row r="178" spans="1:28" x14ac:dyDescent="0.25">
      <c r="A178" t="s">
        <v>26</v>
      </c>
      <c r="B178">
        <v>15668005</v>
      </c>
      <c r="C178" t="s">
        <v>98</v>
      </c>
      <c r="D178" t="s">
        <v>21</v>
      </c>
      <c r="F178" t="s">
        <v>99</v>
      </c>
      <c r="G178" t="s">
        <v>100</v>
      </c>
      <c r="H178">
        <v>0</v>
      </c>
      <c r="I178" s="21">
        <v>44372</v>
      </c>
      <c r="J178" t="s">
        <v>39</v>
      </c>
      <c r="K178" t="s">
        <v>40</v>
      </c>
      <c r="L178">
        <v>24</v>
      </c>
      <c r="M178" s="13">
        <v>150000000</v>
      </c>
      <c r="N178">
        <v>6917932</v>
      </c>
      <c r="O178">
        <v>8.5</v>
      </c>
      <c r="P178" t="s">
        <v>24</v>
      </c>
      <c r="Q178" s="21">
        <v>44402</v>
      </c>
      <c r="R178" s="21">
        <v>45102</v>
      </c>
      <c r="T178" t="s">
        <v>25</v>
      </c>
      <c r="U178" t="s">
        <v>41</v>
      </c>
      <c r="V178">
        <v>0</v>
      </c>
      <c r="W178">
        <v>106250.00000000001</v>
      </c>
      <c r="X178">
        <v>2125000</v>
      </c>
      <c r="Y178">
        <v>2018750.0000000002</v>
      </c>
      <c r="Z178" t="s">
        <v>1040</v>
      </c>
      <c r="AA178" t="str">
        <f t="shared" si="2"/>
        <v>1566800515000000044372</v>
      </c>
      <c r="AB178" t="e">
        <f>VLOOKUP(AA178,Balance!AA:AA,1,FALSE)</f>
        <v>#N/A</v>
      </c>
    </row>
    <row r="179" spans="1:28" x14ac:dyDescent="0.25">
      <c r="A179" t="s">
        <v>26</v>
      </c>
      <c r="B179">
        <v>15725805</v>
      </c>
      <c r="C179" t="s">
        <v>112</v>
      </c>
      <c r="D179" t="s">
        <v>21</v>
      </c>
      <c r="F179" t="s">
        <v>113</v>
      </c>
      <c r="G179" t="s">
        <v>114</v>
      </c>
      <c r="H179">
        <v>0</v>
      </c>
      <c r="I179" s="21">
        <v>44308</v>
      </c>
      <c r="J179" t="s">
        <v>22</v>
      </c>
      <c r="K179" t="s">
        <v>23</v>
      </c>
      <c r="L179">
        <v>24</v>
      </c>
      <c r="M179" s="13">
        <v>34850000</v>
      </c>
      <c r="N179">
        <v>1647012</v>
      </c>
      <c r="O179">
        <v>10</v>
      </c>
      <c r="P179" t="s">
        <v>24</v>
      </c>
      <c r="Q179" s="21">
        <v>44338</v>
      </c>
      <c r="R179" s="21">
        <v>45038</v>
      </c>
      <c r="T179" t="s">
        <v>25</v>
      </c>
      <c r="U179" t="s">
        <v>61</v>
      </c>
      <c r="V179">
        <v>0</v>
      </c>
      <c r="W179">
        <v>0</v>
      </c>
      <c r="X179">
        <v>394966.66666666669</v>
      </c>
      <c r="Y179">
        <v>987416.66666666674</v>
      </c>
      <c r="Z179" t="s">
        <v>1040</v>
      </c>
      <c r="AA179" t="str">
        <f t="shared" si="2"/>
        <v>157258053485000044308</v>
      </c>
      <c r="AB179" t="e">
        <f>VLOOKUP(AA179,Balance!AA:AA,1,FALSE)</f>
        <v>#N/A</v>
      </c>
    </row>
    <row r="180" spans="1:28" x14ac:dyDescent="0.25">
      <c r="A180" t="s">
        <v>26</v>
      </c>
      <c r="B180">
        <v>15763005</v>
      </c>
      <c r="C180" t="s">
        <v>120</v>
      </c>
      <c r="D180" t="s">
        <v>21</v>
      </c>
      <c r="F180" t="s">
        <v>121</v>
      </c>
      <c r="G180" t="s">
        <v>122</v>
      </c>
      <c r="H180">
        <v>0</v>
      </c>
      <c r="I180" s="21">
        <v>44609</v>
      </c>
      <c r="J180" t="s">
        <v>39</v>
      </c>
      <c r="K180" t="s">
        <v>40</v>
      </c>
      <c r="L180">
        <v>12</v>
      </c>
      <c r="M180" s="13">
        <v>132000000</v>
      </c>
      <c r="N180">
        <v>11529827</v>
      </c>
      <c r="O180">
        <v>7.5</v>
      </c>
      <c r="P180" t="s">
        <v>24</v>
      </c>
      <c r="Q180" s="21">
        <v>44637</v>
      </c>
      <c r="R180" s="21">
        <v>44974</v>
      </c>
      <c r="T180" t="s">
        <v>25</v>
      </c>
      <c r="U180" t="s">
        <v>47</v>
      </c>
      <c r="V180">
        <v>0</v>
      </c>
      <c r="W180">
        <v>0</v>
      </c>
      <c r="X180">
        <v>2244000</v>
      </c>
      <c r="Y180">
        <v>0</v>
      </c>
      <c r="Z180" t="s">
        <v>1040</v>
      </c>
      <c r="AA180" t="str">
        <f t="shared" si="2"/>
        <v>1576300513200000044609</v>
      </c>
      <c r="AB180" t="e">
        <f>VLOOKUP(AA180,Balance!AA:AA,1,FALSE)</f>
        <v>#N/A</v>
      </c>
    </row>
    <row r="181" spans="1:28" x14ac:dyDescent="0.25">
      <c r="A181" t="s">
        <v>26</v>
      </c>
      <c r="B181">
        <v>15819505</v>
      </c>
      <c r="C181" t="s">
        <v>134</v>
      </c>
      <c r="D181" t="s">
        <v>21</v>
      </c>
      <c r="F181" t="s">
        <v>135</v>
      </c>
      <c r="G181" t="s">
        <v>136</v>
      </c>
      <c r="H181">
        <v>0</v>
      </c>
      <c r="I181" s="21">
        <v>44308</v>
      </c>
      <c r="J181" t="s">
        <v>59</v>
      </c>
      <c r="K181" t="s">
        <v>60</v>
      </c>
      <c r="L181">
        <v>36</v>
      </c>
      <c r="M181" s="13">
        <v>5000000</v>
      </c>
      <c r="N181">
        <v>166998</v>
      </c>
      <c r="O181">
        <v>9.99</v>
      </c>
      <c r="P181" t="s">
        <v>24</v>
      </c>
      <c r="Q181" s="21">
        <v>44338</v>
      </c>
      <c r="R181" s="21">
        <v>45404</v>
      </c>
      <c r="T181" t="s">
        <v>28</v>
      </c>
      <c r="U181" t="s">
        <v>127</v>
      </c>
      <c r="V181">
        <v>0</v>
      </c>
      <c r="W181">
        <v>37777.777777777781</v>
      </c>
      <c r="X181">
        <v>94444.444444444453</v>
      </c>
      <c r="Y181">
        <v>151111.11111111112</v>
      </c>
      <c r="Z181" t="s">
        <v>1040</v>
      </c>
      <c r="AA181" t="str">
        <f t="shared" si="2"/>
        <v>15819505500000044308</v>
      </c>
      <c r="AB181" t="e">
        <f>VLOOKUP(AA181,Balance!AA:AA,1,FALSE)</f>
        <v>#N/A</v>
      </c>
    </row>
    <row r="182" spans="1:28" x14ac:dyDescent="0.25">
      <c r="A182" t="s">
        <v>26</v>
      </c>
      <c r="B182">
        <v>26015351</v>
      </c>
      <c r="C182" t="s">
        <v>163</v>
      </c>
      <c r="D182" t="s">
        <v>21</v>
      </c>
      <c r="F182" t="s">
        <v>164</v>
      </c>
      <c r="G182" t="s">
        <v>165</v>
      </c>
      <c r="H182">
        <v>0</v>
      </c>
      <c r="I182" s="21">
        <v>44385</v>
      </c>
      <c r="J182" t="s">
        <v>39</v>
      </c>
      <c r="K182" t="s">
        <v>40</v>
      </c>
      <c r="L182">
        <v>24</v>
      </c>
      <c r="M182" s="13">
        <v>350000000</v>
      </c>
      <c r="N182">
        <v>15766573</v>
      </c>
      <c r="O182">
        <v>6.5</v>
      </c>
      <c r="P182" t="s">
        <v>24</v>
      </c>
      <c r="Q182" s="21">
        <v>44416</v>
      </c>
      <c r="R182" s="21">
        <v>45115</v>
      </c>
      <c r="T182" t="s">
        <v>25</v>
      </c>
      <c r="U182" t="s">
        <v>141</v>
      </c>
      <c r="V182">
        <v>0</v>
      </c>
      <c r="W182">
        <v>495833.33333333337</v>
      </c>
      <c r="X182">
        <v>5454166.666666667</v>
      </c>
      <c r="Y182">
        <v>4958333.333333334</v>
      </c>
      <c r="Z182" t="s">
        <v>1039</v>
      </c>
      <c r="AA182" t="str">
        <f t="shared" si="2"/>
        <v>2601535135000000044385</v>
      </c>
      <c r="AB182" t="e">
        <f>VLOOKUP(AA182,Balance!AA:AA,1,FALSE)</f>
        <v>#N/A</v>
      </c>
    </row>
    <row r="183" spans="1:28" x14ac:dyDescent="0.25">
      <c r="A183" t="s">
        <v>26</v>
      </c>
      <c r="B183">
        <v>26042525</v>
      </c>
      <c r="C183" t="s">
        <v>180</v>
      </c>
      <c r="D183" t="s">
        <v>21</v>
      </c>
      <c r="F183" t="s">
        <v>181</v>
      </c>
      <c r="G183" t="s">
        <v>182</v>
      </c>
      <c r="H183">
        <v>0</v>
      </c>
      <c r="I183" s="21">
        <v>44230</v>
      </c>
      <c r="J183" t="s">
        <v>59</v>
      </c>
      <c r="K183" t="s">
        <v>60</v>
      </c>
      <c r="L183">
        <v>36</v>
      </c>
      <c r="M183" s="13">
        <v>30000000</v>
      </c>
      <c r="N183">
        <v>1001988</v>
      </c>
      <c r="O183">
        <v>9.99</v>
      </c>
      <c r="P183" t="s">
        <v>24</v>
      </c>
      <c r="Q183" s="21">
        <v>44258</v>
      </c>
      <c r="R183" s="21">
        <v>45325</v>
      </c>
      <c r="T183" t="s">
        <v>25</v>
      </c>
      <c r="U183" t="s">
        <v>127</v>
      </c>
      <c r="V183">
        <v>0</v>
      </c>
      <c r="W183">
        <v>170000</v>
      </c>
      <c r="X183">
        <v>510000.00000000006</v>
      </c>
      <c r="Y183">
        <v>850000.00000000012</v>
      </c>
      <c r="Z183" t="s">
        <v>1040</v>
      </c>
      <c r="AA183" t="str">
        <f t="shared" si="2"/>
        <v>260425253000000044230</v>
      </c>
      <c r="AB183" t="e">
        <f>VLOOKUP(AA183,Balance!AA:AA,1,FALSE)</f>
        <v>#N/A</v>
      </c>
    </row>
    <row r="184" spans="1:28" x14ac:dyDescent="0.25">
      <c r="A184" t="s">
        <v>26</v>
      </c>
      <c r="B184">
        <v>26058887</v>
      </c>
      <c r="C184" t="s">
        <v>192</v>
      </c>
      <c r="D184" t="s">
        <v>21</v>
      </c>
      <c r="F184" t="s">
        <v>193</v>
      </c>
      <c r="G184" t="s">
        <v>194</v>
      </c>
      <c r="H184">
        <v>0</v>
      </c>
      <c r="I184" s="21">
        <v>44210</v>
      </c>
      <c r="J184" t="s">
        <v>39</v>
      </c>
      <c r="K184" t="s">
        <v>40</v>
      </c>
      <c r="L184">
        <v>1</v>
      </c>
      <c r="M184" s="13">
        <v>4919677500</v>
      </c>
      <c r="N184">
        <v>5142723379</v>
      </c>
      <c r="O184">
        <v>7.75</v>
      </c>
      <c r="P184" t="s">
        <v>24</v>
      </c>
      <c r="Q184" s="21">
        <v>44391</v>
      </c>
      <c r="R184" s="21">
        <v>44391</v>
      </c>
      <c r="S184">
        <v>44390</v>
      </c>
      <c r="T184" t="s">
        <v>25</v>
      </c>
      <c r="U184" t="s">
        <v>27</v>
      </c>
      <c r="V184">
        <v>0</v>
      </c>
      <c r="W184">
        <v>0</v>
      </c>
      <c r="X184">
        <v>0</v>
      </c>
      <c r="Y184">
        <v>0</v>
      </c>
      <c r="Z184" t="s">
        <v>1039</v>
      </c>
      <c r="AA184" t="str">
        <f t="shared" si="2"/>
        <v>26058887491967750044210</v>
      </c>
      <c r="AB184" t="e">
        <f>VLOOKUP(AA184,Balance!AA:AA,1,FALSE)</f>
        <v>#N/A</v>
      </c>
    </row>
    <row r="185" spans="1:28" x14ac:dyDescent="0.25">
      <c r="A185" t="s">
        <v>26</v>
      </c>
      <c r="B185">
        <v>26059270</v>
      </c>
      <c r="C185" t="s">
        <v>200</v>
      </c>
      <c r="D185" t="s">
        <v>21</v>
      </c>
      <c r="F185" t="s">
        <v>201</v>
      </c>
      <c r="G185" t="s">
        <v>202</v>
      </c>
      <c r="H185">
        <v>0</v>
      </c>
      <c r="I185" s="21">
        <v>44210</v>
      </c>
      <c r="J185" t="s">
        <v>39</v>
      </c>
      <c r="K185" t="s">
        <v>40</v>
      </c>
      <c r="L185">
        <v>1</v>
      </c>
      <c r="M185" s="13">
        <v>3279785000</v>
      </c>
      <c r="N185">
        <v>3502830879</v>
      </c>
      <c r="O185">
        <v>7.75</v>
      </c>
      <c r="P185" t="s">
        <v>24</v>
      </c>
      <c r="Q185" s="21">
        <v>44483</v>
      </c>
      <c r="R185" s="21">
        <v>44483</v>
      </c>
      <c r="S185">
        <v>44390</v>
      </c>
      <c r="T185" t="s">
        <v>25</v>
      </c>
      <c r="U185" t="s">
        <v>27</v>
      </c>
      <c r="V185">
        <v>0</v>
      </c>
      <c r="W185">
        <v>0</v>
      </c>
      <c r="X185">
        <v>0</v>
      </c>
      <c r="Y185">
        <v>0</v>
      </c>
      <c r="Z185" t="s">
        <v>1039</v>
      </c>
      <c r="AA185" t="str">
        <f t="shared" si="2"/>
        <v>26059270327978500044210</v>
      </c>
      <c r="AB185" t="e">
        <f>VLOOKUP(AA185,Balance!AA:AA,1,FALSE)</f>
        <v>#N/A</v>
      </c>
    </row>
    <row r="186" spans="1:28" x14ac:dyDescent="0.25">
      <c r="A186" t="s">
        <v>26</v>
      </c>
      <c r="B186">
        <v>26067241</v>
      </c>
      <c r="C186" t="s">
        <v>210</v>
      </c>
      <c r="D186" t="s">
        <v>21</v>
      </c>
      <c r="F186" t="s">
        <v>211</v>
      </c>
      <c r="G186" t="s">
        <v>212</v>
      </c>
      <c r="H186">
        <v>0</v>
      </c>
      <c r="I186" s="21">
        <v>44727</v>
      </c>
      <c r="J186" t="s">
        <v>29</v>
      </c>
      <c r="K186" t="s">
        <v>30</v>
      </c>
      <c r="L186">
        <v>4</v>
      </c>
      <c r="M186" s="13">
        <v>2000000000</v>
      </c>
      <c r="N186">
        <v>552214205</v>
      </c>
      <c r="O186">
        <v>7</v>
      </c>
      <c r="P186" t="s">
        <v>24</v>
      </c>
      <c r="Q186" s="21">
        <v>45306</v>
      </c>
      <c r="R186" s="21">
        <v>45853</v>
      </c>
      <c r="T186" t="s">
        <v>28</v>
      </c>
      <c r="U186" t="s">
        <v>141</v>
      </c>
      <c r="V186">
        <v>0</v>
      </c>
      <c r="W186">
        <v>0</v>
      </c>
      <c r="X186">
        <v>0</v>
      </c>
      <c r="Y186">
        <v>0</v>
      </c>
      <c r="Z186" t="s">
        <v>1039</v>
      </c>
      <c r="AA186" t="str">
        <f t="shared" si="2"/>
        <v>26067241200000000044727</v>
      </c>
      <c r="AB186" t="str">
        <f>VLOOKUP(AA186,Balance!AA:AA,1,FALSE)</f>
        <v>26067241200000000044727</v>
      </c>
    </row>
    <row r="187" spans="1:28" x14ac:dyDescent="0.25">
      <c r="A187" t="s">
        <v>26</v>
      </c>
      <c r="B187">
        <v>26068228</v>
      </c>
      <c r="C187" t="s">
        <v>214</v>
      </c>
      <c r="D187" t="s">
        <v>21</v>
      </c>
      <c r="F187" t="s">
        <v>215</v>
      </c>
      <c r="G187" t="s">
        <v>216</v>
      </c>
      <c r="H187">
        <v>0</v>
      </c>
      <c r="I187" s="21">
        <v>44554</v>
      </c>
      <c r="J187" t="s">
        <v>39</v>
      </c>
      <c r="K187" t="s">
        <v>40</v>
      </c>
      <c r="L187">
        <v>12</v>
      </c>
      <c r="M187" s="13">
        <v>100000000</v>
      </c>
      <c r="N187">
        <v>8734717</v>
      </c>
      <c r="O187">
        <v>7.5</v>
      </c>
      <c r="P187" t="s">
        <v>24</v>
      </c>
      <c r="Q187" s="21">
        <v>44585</v>
      </c>
      <c r="R187" s="21">
        <v>44919</v>
      </c>
      <c r="T187" t="s">
        <v>25</v>
      </c>
      <c r="U187" t="s">
        <v>41</v>
      </c>
      <c r="V187">
        <v>0</v>
      </c>
      <c r="W187">
        <v>0</v>
      </c>
      <c r="X187">
        <v>1133333.3333333335</v>
      </c>
      <c r="Y187">
        <v>0</v>
      </c>
      <c r="Z187" t="s">
        <v>1040</v>
      </c>
      <c r="AA187" t="str">
        <f t="shared" si="2"/>
        <v>2606822810000000044554</v>
      </c>
      <c r="AB187" t="e">
        <f>VLOOKUP(AA187,Balance!AA:AA,1,FALSE)</f>
        <v>#N/A</v>
      </c>
    </row>
    <row r="188" spans="1:28" x14ac:dyDescent="0.25">
      <c r="A188" t="s">
        <v>26</v>
      </c>
      <c r="B188">
        <v>71001900</v>
      </c>
      <c r="C188" t="s">
        <v>238</v>
      </c>
      <c r="D188" t="s">
        <v>21</v>
      </c>
      <c r="F188" t="s">
        <v>239</v>
      </c>
      <c r="G188" t="s">
        <v>240</v>
      </c>
      <c r="H188">
        <v>0</v>
      </c>
      <c r="I188" s="21">
        <v>44447</v>
      </c>
      <c r="J188" t="s">
        <v>22</v>
      </c>
      <c r="K188" t="s">
        <v>23</v>
      </c>
      <c r="L188">
        <v>12</v>
      </c>
      <c r="M188" s="13">
        <v>40000000</v>
      </c>
      <c r="N188">
        <v>3537194</v>
      </c>
      <c r="O188">
        <v>9.49</v>
      </c>
      <c r="P188" t="s">
        <v>24</v>
      </c>
      <c r="Q188" s="21">
        <v>44477</v>
      </c>
      <c r="R188" s="21">
        <v>44812</v>
      </c>
      <c r="T188" t="s">
        <v>25</v>
      </c>
      <c r="U188" t="s">
        <v>151</v>
      </c>
      <c r="V188">
        <v>0</v>
      </c>
      <c r="W188">
        <v>0</v>
      </c>
      <c r="X188">
        <v>226666.66666666669</v>
      </c>
      <c r="Y188">
        <v>566666.66666666674</v>
      </c>
      <c r="Z188" t="s">
        <v>1040</v>
      </c>
      <c r="AA188" t="str">
        <f t="shared" si="2"/>
        <v>710019004000000044447</v>
      </c>
      <c r="AB188" t="e">
        <f>VLOOKUP(AA188,Balance!AA:AA,1,FALSE)</f>
        <v>#N/A</v>
      </c>
    </row>
    <row r="189" spans="1:28" x14ac:dyDescent="0.25">
      <c r="A189" t="s">
        <v>26</v>
      </c>
      <c r="B189">
        <v>71001900</v>
      </c>
      <c r="C189" t="s">
        <v>238</v>
      </c>
      <c r="D189" t="s">
        <v>21</v>
      </c>
      <c r="F189" t="s">
        <v>239</v>
      </c>
      <c r="G189" t="s">
        <v>241</v>
      </c>
      <c r="H189">
        <v>0</v>
      </c>
      <c r="I189" s="21">
        <v>44775</v>
      </c>
      <c r="J189" t="s">
        <v>22</v>
      </c>
      <c r="K189" t="s">
        <v>23</v>
      </c>
      <c r="L189">
        <v>12</v>
      </c>
      <c r="M189" s="13">
        <v>30000000</v>
      </c>
      <c r="N189">
        <v>2694178</v>
      </c>
      <c r="O189">
        <v>12</v>
      </c>
      <c r="P189" t="s">
        <v>24</v>
      </c>
      <c r="Q189" s="21">
        <v>44806</v>
      </c>
      <c r="R189" s="21">
        <v>45140</v>
      </c>
      <c r="T189" t="s">
        <v>25</v>
      </c>
      <c r="U189" t="s">
        <v>151</v>
      </c>
      <c r="V189">
        <v>0</v>
      </c>
      <c r="W189">
        <v>127500.00000000001</v>
      </c>
      <c r="X189">
        <v>382500</v>
      </c>
      <c r="Y189">
        <v>0</v>
      </c>
      <c r="Z189" t="s">
        <v>1040</v>
      </c>
      <c r="AA189" t="str">
        <f t="shared" si="2"/>
        <v>710019003000000044775</v>
      </c>
      <c r="AB189" t="e">
        <f>VLOOKUP(AA189,Balance!AA:AA,1,FALSE)</f>
        <v>#N/A</v>
      </c>
    </row>
    <row r="190" spans="1:28" x14ac:dyDescent="0.25">
      <c r="A190" t="s">
        <v>26</v>
      </c>
      <c r="B190">
        <v>71093505</v>
      </c>
      <c r="C190" t="s">
        <v>244</v>
      </c>
      <c r="D190" t="s">
        <v>21</v>
      </c>
      <c r="F190" t="s">
        <v>245</v>
      </c>
      <c r="G190" t="s">
        <v>246</v>
      </c>
      <c r="H190">
        <v>0</v>
      </c>
      <c r="I190" s="21">
        <v>44553</v>
      </c>
      <c r="J190" t="s">
        <v>39</v>
      </c>
      <c r="K190" t="s">
        <v>40</v>
      </c>
      <c r="L190">
        <v>24</v>
      </c>
      <c r="M190" s="13">
        <v>150000000</v>
      </c>
      <c r="N190">
        <v>6917932</v>
      </c>
      <c r="O190">
        <v>8.5</v>
      </c>
      <c r="P190" t="s">
        <v>24</v>
      </c>
      <c r="Q190" s="21">
        <v>44584</v>
      </c>
      <c r="R190" s="21">
        <v>45283</v>
      </c>
      <c r="T190" t="s">
        <v>25</v>
      </c>
      <c r="U190" t="s">
        <v>247</v>
      </c>
      <c r="V190">
        <v>0</v>
      </c>
      <c r="W190">
        <v>850000.00000000012</v>
      </c>
      <c r="X190">
        <v>3400000.0000000005</v>
      </c>
      <c r="Y190">
        <v>0</v>
      </c>
      <c r="Z190" t="s">
        <v>1040</v>
      </c>
      <c r="AA190" t="str">
        <f t="shared" si="2"/>
        <v>7109350515000000044553</v>
      </c>
      <c r="AB190" t="e">
        <f>VLOOKUP(AA190,Balance!AA:AA,1,FALSE)</f>
        <v>#N/A</v>
      </c>
    </row>
    <row r="191" spans="1:28" x14ac:dyDescent="0.25">
      <c r="A191" t="s">
        <v>26</v>
      </c>
      <c r="B191">
        <v>71111005</v>
      </c>
      <c r="C191" t="s">
        <v>249</v>
      </c>
      <c r="D191" t="s">
        <v>21</v>
      </c>
      <c r="F191" t="s">
        <v>33</v>
      </c>
      <c r="G191" t="s">
        <v>250</v>
      </c>
      <c r="H191">
        <v>0</v>
      </c>
      <c r="I191" s="21">
        <v>45035</v>
      </c>
      <c r="J191" t="s">
        <v>62</v>
      </c>
      <c r="K191" t="s">
        <v>63</v>
      </c>
      <c r="L191">
        <v>9</v>
      </c>
      <c r="M191" s="13">
        <v>7500000000</v>
      </c>
      <c r="N191">
        <v>899782908</v>
      </c>
      <c r="O191">
        <v>6.25</v>
      </c>
      <c r="P191" t="s">
        <v>24</v>
      </c>
      <c r="Q191" s="21">
        <v>45249</v>
      </c>
      <c r="R191" s="21">
        <v>45980</v>
      </c>
      <c r="T191" t="s">
        <v>28</v>
      </c>
      <c r="U191" t="s">
        <v>157</v>
      </c>
      <c r="V191">
        <v>28333333.333333336</v>
      </c>
      <c r="W191">
        <v>113333333.33333334</v>
      </c>
      <c r="X191">
        <v>0</v>
      </c>
      <c r="Y191">
        <v>0</v>
      </c>
      <c r="Z191" t="s">
        <v>1039</v>
      </c>
      <c r="AA191" t="str">
        <f t="shared" si="2"/>
        <v>71111005750000000045035</v>
      </c>
      <c r="AB191" t="e">
        <f>VLOOKUP(AA191,Balance!AA:AA,1,FALSE)</f>
        <v>#N/A</v>
      </c>
    </row>
    <row r="192" spans="1:28" x14ac:dyDescent="0.25">
      <c r="A192" t="s">
        <v>257</v>
      </c>
      <c r="B192">
        <v>28725311</v>
      </c>
      <c r="C192" t="s">
        <v>287</v>
      </c>
      <c r="D192" t="s">
        <v>21</v>
      </c>
      <c r="E192">
        <v>24117</v>
      </c>
      <c r="F192" t="s">
        <v>288</v>
      </c>
      <c r="G192" t="s">
        <v>289</v>
      </c>
      <c r="H192">
        <v>0</v>
      </c>
      <c r="I192" s="21">
        <v>44606</v>
      </c>
      <c r="J192" t="s">
        <v>22</v>
      </c>
      <c r="K192" t="s">
        <v>23</v>
      </c>
      <c r="L192">
        <v>19</v>
      </c>
      <c r="M192" s="13">
        <v>50000000</v>
      </c>
      <c r="N192">
        <v>3085670</v>
      </c>
      <c r="O192">
        <v>11</v>
      </c>
      <c r="P192" t="s">
        <v>24</v>
      </c>
      <c r="Q192" s="21">
        <v>44634</v>
      </c>
      <c r="R192" s="21">
        <v>45152</v>
      </c>
      <c r="S192">
        <v>45223</v>
      </c>
      <c r="T192" t="s">
        <v>25</v>
      </c>
      <c r="U192" t="s">
        <v>262</v>
      </c>
      <c r="V192">
        <v>0</v>
      </c>
      <c r="W192">
        <v>178947.36842105264</v>
      </c>
      <c r="X192">
        <v>1163157.8947368423</v>
      </c>
      <c r="Y192">
        <v>0</v>
      </c>
      <c r="Z192" t="s">
        <v>1040</v>
      </c>
      <c r="AA192" t="str">
        <f t="shared" si="2"/>
        <v>287253115000000044606</v>
      </c>
      <c r="AB192" t="e">
        <f>VLOOKUP(AA192,Balance!AA:AA,1,FALSE)</f>
        <v>#N/A</v>
      </c>
    </row>
    <row r="193" spans="1:28" x14ac:dyDescent="0.25">
      <c r="A193" t="s">
        <v>257</v>
      </c>
      <c r="B193">
        <v>28725311</v>
      </c>
      <c r="C193" t="s">
        <v>287</v>
      </c>
      <c r="D193" t="s">
        <v>21</v>
      </c>
      <c r="E193">
        <v>24117</v>
      </c>
      <c r="F193" t="s">
        <v>288</v>
      </c>
      <c r="G193" t="s">
        <v>290</v>
      </c>
      <c r="H193">
        <v>0</v>
      </c>
      <c r="I193" s="21">
        <v>44904</v>
      </c>
      <c r="J193" t="s">
        <v>22</v>
      </c>
      <c r="K193" t="s">
        <v>23</v>
      </c>
      <c r="L193">
        <v>18</v>
      </c>
      <c r="M193" s="13">
        <v>40000000</v>
      </c>
      <c r="N193">
        <v>2490481</v>
      </c>
      <c r="O193">
        <v>12</v>
      </c>
      <c r="P193" t="s">
        <v>24</v>
      </c>
      <c r="Q193" s="21">
        <v>44935</v>
      </c>
      <c r="R193" s="21">
        <v>45452</v>
      </c>
      <c r="S193">
        <v>45223</v>
      </c>
      <c r="T193" t="s">
        <v>25</v>
      </c>
      <c r="U193" t="s">
        <v>262</v>
      </c>
      <c r="V193">
        <v>37777.777777777774</v>
      </c>
      <c r="W193">
        <v>755555.55555555562</v>
      </c>
      <c r="X193">
        <v>0</v>
      </c>
      <c r="Y193">
        <v>0</v>
      </c>
      <c r="Z193" t="s">
        <v>1040</v>
      </c>
      <c r="AA193" t="str">
        <f t="shared" si="2"/>
        <v>287253114000000044904</v>
      </c>
      <c r="AB193" t="e">
        <f>VLOOKUP(AA193,Balance!AA:AA,1,FALSE)</f>
        <v>#N/A</v>
      </c>
    </row>
    <row r="194" spans="1:28" x14ac:dyDescent="0.25">
      <c r="A194" t="s">
        <v>305</v>
      </c>
      <c r="B194">
        <v>26053536</v>
      </c>
      <c r="C194" t="s">
        <v>307</v>
      </c>
      <c r="D194" t="s">
        <v>21</v>
      </c>
      <c r="F194" t="s">
        <v>308</v>
      </c>
      <c r="G194" t="s">
        <v>309</v>
      </c>
      <c r="H194">
        <v>0</v>
      </c>
      <c r="I194" s="21">
        <v>44342</v>
      </c>
      <c r="J194" t="s">
        <v>22</v>
      </c>
      <c r="K194" t="s">
        <v>23</v>
      </c>
      <c r="L194">
        <v>24</v>
      </c>
      <c r="M194" s="13">
        <v>27000000</v>
      </c>
      <c r="N194">
        <v>1281981</v>
      </c>
      <c r="O194">
        <v>11</v>
      </c>
      <c r="P194" t="s">
        <v>24</v>
      </c>
      <c r="Q194" s="21">
        <v>44372</v>
      </c>
      <c r="R194" s="21">
        <v>45071</v>
      </c>
      <c r="S194">
        <v>44917</v>
      </c>
      <c r="T194" t="s">
        <v>25</v>
      </c>
      <c r="U194" t="s">
        <v>310</v>
      </c>
      <c r="V194">
        <v>0</v>
      </c>
      <c r="W194">
        <v>0</v>
      </c>
      <c r="X194">
        <v>344250</v>
      </c>
      <c r="Y194">
        <v>803250</v>
      </c>
      <c r="Z194" t="s">
        <v>1040</v>
      </c>
      <c r="AA194" t="str">
        <f t="shared" si="2"/>
        <v>260535362700000044342</v>
      </c>
      <c r="AB194" t="e">
        <f>VLOOKUP(AA194,Balance!AA:AA,1,FALSE)</f>
        <v>#N/A</v>
      </c>
    </row>
    <row r="195" spans="1:28" x14ac:dyDescent="0.25">
      <c r="A195" t="s">
        <v>315</v>
      </c>
      <c r="B195">
        <v>26063206</v>
      </c>
      <c r="C195" t="s">
        <v>317</v>
      </c>
      <c r="D195" t="s">
        <v>21</v>
      </c>
      <c r="F195" t="s">
        <v>318</v>
      </c>
      <c r="G195" t="s">
        <v>319</v>
      </c>
      <c r="H195">
        <v>0</v>
      </c>
      <c r="I195" s="21">
        <v>44424</v>
      </c>
      <c r="J195" t="s">
        <v>22</v>
      </c>
      <c r="K195" t="s">
        <v>23</v>
      </c>
      <c r="L195">
        <v>12</v>
      </c>
      <c r="M195" s="13">
        <v>2000000</v>
      </c>
      <c r="N195">
        <v>177524</v>
      </c>
      <c r="O195">
        <v>9.5</v>
      </c>
      <c r="P195" t="s">
        <v>24</v>
      </c>
      <c r="Q195" s="21">
        <v>44455</v>
      </c>
      <c r="R195" s="21">
        <v>44789</v>
      </c>
      <c r="T195" t="s">
        <v>25</v>
      </c>
      <c r="U195" t="s">
        <v>320</v>
      </c>
      <c r="V195">
        <v>0</v>
      </c>
      <c r="W195">
        <v>0</v>
      </c>
      <c r="X195">
        <v>8500</v>
      </c>
      <c r="Y195">
        <v>25500.000000000004</v>
      </c>
      <c r="Z195" t="s">
        <v>1040</v>
      </c>
      <c r="AA195" t="str">
        <f t="shared" ref="AA195:AA258" si="3">_xlfn.CONCAT(B195,M195,I195)</f>
        <v>26063206200000044424</v>
      </c>
      <c r="AB195" t="e">
        <f>VLOOKUP(AA195,Balance!AA:AA,1,FALSE)</f>
        <v>#N/A</v>
      </c>
    </row>
    <row r="196" spans="1:28" x14ac:dyDescent="0.25">
      <c r="A196" t="s">
        <v>330</v>
      </c>
      <c r="B196">
        <v>8080100</v>
      </c>
      <c r="C196" t="s">
        <v>336</v>
      </c>
      <c r="D196" t="s">
        <v>21</v>
      </c>
      <c r="F196" t="s">
        <v>337</v>
      </c>
      <c r="G196" t="s">
        <v>338</v>
      </c>
      <c r="H196">
        <v>0</v>
      </c>
      <c r="I196" s="21">
        <v>44469</v>
      </c>
      <c r="J196" t="s">
        <v>39</v>
      </c>
      <c r="K196" t="s">
        <v>40</v>
      </c>
      <c r="L196">
        <v>12</v>
      </c>
      <c r="M196" s="13">
        <v>100000000</v>
      </c>
      <c r="N196">
        <v>8707630</v>
      </c>
      <c r="O196">
        <v>7</v>
      </c>
      <c r="P196" t="s">
        <v>24</v>
      </c>
      <c r="Q196" s="21">
        <v>44499</v>
      </c>
      <c r="R196" s="21">
        <v>44834</v>
      </c>
      <c r="T196" t="s">
        <v>25</v>
      </c>
      <c r="U196" t="s">
        <v>72</v>
      </c>
      <c r="V196">
        <v>0</v>
      </c>
      <c r="W196">
        <v>0</v>
      </c>
      <c r="X196">
        <v>566666.66666666674</v>
      </c>
      <c r="Y196">
        <v>1416666.6666666667</v>
      </c>
      <c r="Z196" t="s">
        <v>1040</v>
      </c>
      <c r="AA196" t="str">
        <f t="shared" si="3"/>
        <v>808010010000000044469</v>
      </c>
      <c r="AB196" t="e">
        <f>VLOOKUP(AA196,Balance!AA:AA,1,FALSE)</f>
        <v>#N/A</v>
      </c>
    </row>
    <row r="197" spans="1:28" x14ac:dyDescent="0.25">
      <c r="A197" t="s">
        <v>330</v>
      </c>
      <c r="B197">
        <v>8080100</v>
      </c>
      <c r="C197" t="s">
        <v>336</v>
      </c>
      <c r="D197" t="s">
        <v>21</v>
      </c>
      <c r="F197" t="s">
        <v>337</v>
      </c>
      <c r="G197" t="s">
        <v>339</v>
      </c>
      <c r="H197">
        <v>0</v>
      </c>
      <c r="I197" s="21">
        <v>44932</v>
      </c>
      <c r="J197" t="s">
        <v>39</v>
      </c>
      <c r="K197" t="s">
        <v>40</v>
      </c>
      <c r="L197">
        <v>12</v>
      </c>
      <c r="M197" s="13">
        <v>100000000</v>
      </c>
      <c r="N197">
        <v>8707630</v>
      </c>
      <c r="O197">
        <v>7</v>
      </c>
      <c r="P197" t="s">
        <v>24</v>
      </c>
      <c r="Q197" s="21">
        <v>44963</v>
      </c>
      <c r="R197" s="21">
        <v>45297</v>
      </c>
      <c r="T197" t="s">
        <v>25</v>
      </c>
      <c r="U197" t="s">
        <v>72</v>
      </c>
      <c r="V197">
        <v>0</v>
      </c>
      <c r="W197">
        <v>1416666.6666666667</v>
      </c>
      <c r="X197">
        <v>0</v>
      </c>
      <c r="Y197">
        <v>0</v>
      </c>
      <c r="Z197" t="s">
        <v>1040</v>
      </c>
      <c r="AA197" t="str">
        <f t="shared" si="3"/>
        <v>808010010000000044932</v>
      </c>
      <c r="AB197" t="e">
        <f>VLOOKUP(AA197,Balance!AA:AA,1,FALSE)</f>
        <v>#N/A</v>
      </c>
    </row>
    <row r="198" spans="1:28" x14ac:dyDescent="0.25">
      <c r="A198" t="s">
        <v>330</v>
      </c>
      <c r="B198">
        <v>8116000</v>
      </c>
      <c r="C198" t="s">
        <v>342</v>
      </c>
      <c r="D198" t="s">
        <v>21</v>
      </c>
      <c r="F198" t="s">
        <v>343</v>
      </c>
      <c r="G198" t="s">
        <v>344</v>
      </c>
      <c r="H198">
        <v>0</v>
      </c>
      <c r="I198" s="21">
        <v>44321</v>
      </c>
      <c r="J198" t="s">
        <v>29</v>
      </c>
      <c r="K198" t="s">
        <v>30</v>
      </c>
      <c r="L198">
        <v>36</v>
      </c>
      <c r="M198" s="13">
        <v>793000000</v>
      </c>
      <c r="N198">
        <v>24705490</v>
      </c>
      <c r="O198">
        <v>6.5</v>
      </c>
      <c r="P198" t="s">
        <v>24</v>
      </c>
      <c r="Q198" s="21">
        <v>44352</v>
      </c>
      <c r="R198" s="21">
        <v>45417</v>
      </c>
      <c r="T198" t="s">
        <v>28</v>
      </c>
      <c r="U198" t="s">
        <v>72</v>
      </c>
      <c r="V198">
        <v>0</v>
      </c>
      <c r="W198">
        <v>6740500.0000000009</v>
      </c>
      <c r="X198">
        <v>15727833.333333334</v>
      </c>
      <c r="Y198">
        <v>24715166.666666668</v>
      </c>
      <c r="Z198" t="s">
        <v>1039</v>
      </c>
      <c r="AA198" t="str">
        <f t="shared" si="3"/>
        <v>811600079300000044321</v>
      </c>
      <c r="AB198" t="e">
        <f>VLOOKUP(AA198,Balance!AA:AA,1,FALSE)</f>
        <v>#N/A</v>
      </c>
    </row>
    <row r="199" spans="1:28" x14ac:dyDescent="0.25">
      <c r="A199" t="s">
        <v>330</v>
      </c>
      <c r="B199">
        <v>8152115</v>
      </c>
      <c r="C199" t="s">
        <v>373</v>
      </c>
      <c r="D199" t="s">
        <v>21</v>
      </c>
      <c r="F199" t="s">
        <v>374</v>
      </c>
      <c r="G199" t="s">
        <v>375</v>
      </c>
      <c r="H199">
        <v>0</v>
      </c>
      <c r="I199" s="21">
        <v>44390</v>
      </c>
      <c r="J199" t="s">
        <v>39</v>
      </c>
      <c r="K199" t="s">
        <v>40</v>
      </c>
      <c r="L199">
        <v>6</v>
      </c>
      <c r="M199" s="13">
        <v>60000000</v>
      </c>
      <c r="N199">
        <v>10274768</v>
      </c>
      <c r="O199">
        <v>8</v>
      </c>
      <c r="P199" t="s">
        <v>24</v>
      </c>
      <c r="Q199" s="21">
        <v>44421</v>
      </c>
      <c r="R199" s="21">
        <v>44574</v>
      </c>
      <c r="T199" t="s">
        <v>25</v>
      </c>
      <c r="U199" t="s">
        <v>77</v>
      </c>
      <c r="V199">
        <v>0</v>
      </c>
      <c r="W199">
        <v>0</v>
      </c>
      <c r="X199">
        <v>0</v>
      </c>
      <c r="Y199">
        <v>340000</v>
      </c>
      <c r="Z199" t="s">
        <v>1040</v>
      </c>
      <c r="AA199" t="str">
        <f t="shared" si="3"/>
        <v>81521156000000044390</v>
      </c>
      <c r="AB199" t="e">
        <f>VLOOKUP(AA199,Balance!AA:AA,1,FALSE)</f>
        <v>#N/A</v>
      </c>
    </row>
    <row r="200" spans="1:28" x14ac:dyDescent="0.25">
      <c r="A200" t="s">
        <v>330</v>
      </c>
      <c r="B200">
        <v>8152115</v>
      </c>
      <c r="C200" t="s">
        <v>373</v>
      </c>
      <c r="D200" t="s">
        <v>21</v>
      </c>
      <c r="F200" t="s">
        <v>374</v>
      </c>
      <c r="G200" t="s">
        <v>376</v>
      </c>
      <c r="H200">
        <v>0</v>
      </c>
      <c r="I200" s="21">
        <v>44722</v>
      </c>
      <c r="J200" t="s">
        <v>39</v>
      </c>
      <c r="K200" t="s">
        <v>40</v>
      </c>
      <c r="L200">
        <v>6</v>
      </c>
      <c r="M200" s="13">
        <v>60000000</v>
      </c>
      <c r="N200">
        <v>10274768</v>
      </c>
      <c r="O200">
        <v>8</v>
      </c>
      <c r="P200" t="s">
        <v>24</v>
      </c>
      <c r="Q200" s="21">
        <v>44752</v>
      </c>
      <c r="R200" s="21">
        <v>44905</v>
      </c>
      <c r="T200" t="s">
        <v>25</v>
      </c>
      <c r="U200" t="s">
        <v>77</v>
      </c>
      <c r="V200">
        <v>0</v>
      </c>
      <c r="W200">
        <v>0</v>
      </c>
      <c r="X200">
        <v>170000</v>
      </c>
      <c r="Y200">
        <v>0</v>
      </c>
      <c r="Z200" t="s">
        <v>1040</v>
      </c>
      <c r="AA200" t="str">
        <f t="shared" si="3"/>
        <v>81521156000000044722</v>
      </c>
      <c r="AB200" t="e">
        <f>VLOOKUP(AA200,Balance!AA:AA,1,FALSE)</f>
        <v>#N/A</v>
      </c>
    </row>
    <row r="201" spans="1:28" x14ac:dyDescent="0.25">
      <c r="A201" t="s">
        <v>330</v>
      </c>
      <c r="B201">
        <v>8152115</v>
      </c>
      <c r="C201" t="s">
        <v>373</v>
      </c>
      <c r="D201" t="s">
        <v>21</v>
      </c>
      <c r="F201" t="s">
        <v>374</v>
      </c>
      <c r="G201" t="s">
        <v>377</v>
      </c>
      <c r="H201">
        <v>0</v>
      </c>
      <c r="I201" s="21">
        <v>45124</v>
      </c>
      <c r="J201" t="s">
        <v>39</v>
      </c>
      <c r="K201" t="s">
        <v>40</v>
      </c>
      <c r="L201">
        <v>6</v>
      </c>
      <c r="M201" s="13">
        <v>60000000</v>
      </c>
      <c r="N201">
        <v>10240229</v>
      </c>
      <c r="O201">
        <v>7</v>
      </c>
      <c r="P201" t="s">
        <v>24</v>
      </c>
      <c r="Q201" s="21">
        <v>45155</v>
      </c>
      <c r="R201" s="21">
        <v>45308</v>
      </c>
      <c r="T201" t="s">
        <v>25</v>
      </c>
      <c r="U201" t="s">
        <v>77</v>
      </c>
      <c r="V201">
        <v>0</v>
      </c>
      <c r="W201">
        <v>340000</v>
      </c>
      <c r="X201">
        <v>0</v>
      </c>
      <c r="Y201">
        <v>0</v>
      </c>
      <c r="Z201" t="s">
        <v>1040</v>
      </c>
      <c r="AA201" t="str">
        <f t="shared" si="3"/>
        <v>81521156000000045124</v>
      </c>
      <c r="AB201" t="e">
        <f>VLOOKUP(AA201,Balance!AA:AA,1,FALSE)</f>
        <v>#N/A</v>
      </c>
    </row>
    <row r="202" spans="1:28" x14ac:dyDescent="0.25">
      <c r="A202" t="s">
        <v>330</v>
      </c>
      <c r="B202">
        <v>8205115</v>
      </c>
      <c r="C202" t="s">
        <v>392</v>
      </c>
      <c r="D202" t="s">
        <v>21</v>
      </c>
      <c r="F202" t="s">
        <v>393</v>
      </c>
      <c r="G202" t="s">
        <v>394</v>
      </c>
      <c r="H202">
        <v>0</v>
      </c>
      <c r="I202" s="21">
        <v>44413</v>
      </c>
      <c r="J202" t="s">
        <v>39</v>
      </c>
      <c r="K202" t="s">
        <v>40</v>
      </c>
      <c r="L202">
        <v>24</v>
      </c>
      <c r="M202" s="13">
        <v>300000000</v>
      </c>
      <c r="N202">
        <v>13755028</v>
      </c>
      <c r="O202">
        <v>8</v>
      </c>
      <c r="P202" t="s">
        <v>24</v>
      </c>
      <c r="Q202" s="21">
        <v>44444</v>
      </c>
      <c r="R202" s="21">
        <v>45143</v>
      </c>
      <c r="T202" t="s">
        <v>25</v>
      </c>
      <c r="U202" t="s">
        <v>72</v>
      </c>
      <c r="V202">
        <v>0</v>
      </c>
      <c r="W202">
        <v>637500</v>
      </c>
      <c r="X202">
        <v>5100000</v>
      </c>
      <c r="Y202">
        <v>4462500</v>
      </c>
      <c r="Z202" t="s">
        <v>1039</v>
      </c>
      <c r="AA202" t="str">
        <f t="shared" si="3"/>
        <v>820511530000000044413</v>
      </c>
      <c r="AB202" t="e">
        <f>VLOOKUP(AA202,Balance!AA:AA,1,FALSE)</f>
        <v>#N/A</v>
      </c>
    </row>
    <row r="203" spans="1:28" x14ac:dyDescent="0.25">
      <c r="A203" t="s">
        <v>396</v>
      </c>
      <c r="B203">
        <v>998200</v>
      </c>
      <c r="C203" t="s">
        <v>398</v>
      </c>
      <c r="D203" t="s">
        <v>21</v>
      </c>
      <c r="E203">
        <v>16567</v>
      </c>
      <c r="F203" t="s">
        <v>399</v>
      </c>
      <c r="G203" t="s">
        <v>400</v>
      </c>
      <c r="H203">
        <v>0</v>
      </c>
      <c r="I203" s="21">
        <v>44530</v>
      </c>
      <c r="J203" t="s">
        <v>52</v>
      </c>
      <c r="K203" t="s">
        <v>53</v>
      </c>
      <c r="L203">
        <v>24</v>
      </c>
      <c r="M203" s="13">
        <v>75000000</v>
      </c>
      <c r="N203">
        <v>3414599</v>
      </c>
      <c r="O203">
        <v>7.4</v>
      </c>
      <c r="P203" t="s">
        <v>24</v>
      </c>
      <c r="Q203" s="21">
        <v>44560</v>
      </c>
      <c r="R203" s="21">
        <v>45260</v>
      </c>
      <c r="T203" t="s">
        <v>28</v>
      </c>
      <c r="U203" t="s">
        <v>41</v>
      </c>
      <c r="V203">
        <v>0</v>
      </c>
      <c r="W203">
        <v>318750</v>
      </c>
      <c r="X203">
        <v>1593750</v>
      </c>
      <c r="Y203">
        <v>1275000</v>
      </c>
      <c r="Z203" t="s">
        <v>1040</v>
      </c>
      <c r="AA203" t="str">
        <f t="shared" si="3"/>
        <v>9982007500000044530</v>
      </c>
      <c r="AB203" t="e">
        <f>VLOOKUP(AA203,Balance!AA:AA,1,FALSE)</f>
        <v>#N/A</v>
      </c>
    </row>
    <row r="204" spans="1:28" x14ac:dyDescent="0.25">
      <c r="A204" t="s">
        <v>407</v>
      </c>
      <c r="B204">
        <v>7959517</v>
      </c>
      <c r="C204" t="s">
        <v>430</v>
      </c>
      <c r="D204" t="s">
        <v>21</v>
      </c>
      <c r="F204" t="s">
        <v>431</v>
      </c>
      <c r="G204" t="s">
        <v>432</v>
      </c>
      <c r="H204">
        <v>0</v>
      </c>
      <c r="I204" s="21">
        <v>44211</v>
      </c>
      <c r="J204" t="s">
        <v>59</v>
      </c>
      <c r="K204" t="s">
        <v>60</v>
      </c>
      <c r="L204">
        <v>36</v>
      </c>
      <c r="M204" s="13">
        <v>13000000</v>
      </c>
      <c r="N204">
        <v>434195</v>
      </c>
      <c r="O204">
        <v>9.99</v>
      </c>
      <c r="P204" t="s">
        <v>24</v>
      </c>
      <c r="Q204" s="21">
        <v>44241</v>
      </c>
      <c r="R204" s="21">
        <v>45305</v>
      </c>
      <c r="T204" t="s">
        <v>25</v>
      </c>
      <c r="U204" t="s">
        <v>416</v>
      </c>
      <c r="V204">
        <v>0</v>
      </c>
      <c r="W204">
        <v>61388.888888888898</v>
      </c>
      <c r="X204">
        <v>208722.22222222225</v>
      </c>
      <c r="Y204">
        <v>356055.55555555556</v>
      </c>
      <c r="Z204" t="s">
        <v>1040</v>
      </c>
      <c r="AA204" t="str">
        <f t="shared" si="3"/>
        <v>79595171300000044211</v>
      </c>
      <c r="AB204" t="e">
        <f>VLOOKUP(AA204,Balance!AA:AA,1,FALSE)</f>
        <v>#N/A</v>
      </c>
    </row>
    <row r="205" spans="1:28" x14ac:dyDescent="0.25">
      <c r="A205" t="s">
        <v>407</v>
      </c>
      <c r="B205">
        <v>25963925</v>
      </c>
      <c r="C205" t="s">
        <v>438</v>
      </c>
      <c r="D205" t="s">
        <v>21</v>
      </c>
      <c r="F205" t="s">
        <v>439</v>
      </c>
      <c r="G205" t="s">
        <v>440</v>
      </c>
      <c r="H205">
        <v>0</v>
      </c>
      <c r="I205" s="21">
        <v>44375</v>
      </c>
      <c r="J205" t="s">
        <v>22</v>
      </c>
      <c r="K205" t="s">
        <v>23</v>
      </c>
      <c r="L205">
        <v>18</v>
      </c>
      <c r="M205" s="13">
        <v>12000000</v>
      </c>
      <c r="N205">
        <v>740561</v>
      </c>
      <c r="O205">
        <v>11</v>
      </c>
      <c r="P205" t="s">
        <v>24</v>
      </c>
      <c r="Q205" s="21">
        <v>44405</v>
      </c>
      <c r="R205" s="21">
        <v>44923</v>
      </c>
      <c r="T205" t="s">
        <v>25</v>
      </c>
      <c r="U205" t="s">
        <v>416</v>
      </c>
      <c r="V205">
        <v>0</v>
      </c>
      <c r="W205">
        <v>0</v>
      </c>
      <c r="X205">
        <v>90666.666666666672</v>
      </c>
      <c r="Y205">
        <v>147333.33333333334</v>
      </c>
      <c r="Z205" t="s">
        <v>1040</v>
      </c>
      <c r="AA205" t="str">
        <f t="shared" si="3"/>
        <v>259639251200000044375</v>
      </c>
      <c r="AB205" t="e">
        <f>VLOOKUP(AA205,Balance!AA:AA,1,FALSE)</f>
        <v>#N/A</v>
      </c>
    </row>
    <row r="206" spans="1:28" x14ac:dyDescent="0.25">
      <c r="A206" t="s">
        <v>407</v>
      </c>
      <c r="B206">
        <v>26024232</v>
      </c>
      <c r="C206" t="s">
        <v>451</v>
      </c>
      <c r="D206" t="s">
        <v>21</v>
      </c>
      <c r="F206" t="s">
        <v>452</v>
      </c>
      <c r="G206" t="s">
        <v>454</v>
      </c>
      <c r="H206">
        <v>0</v>
      </c>
      <c r="I206" s="21">
        <v>44991</v>
      </c>
      <c r="J206" t="s">
        <v>39</v>
      </c>
      <c r="K206" t="s">
        <v>40</v>
      </c>
      <c r="L206">
        <v>12</v>
      </c>
      <c r="M206" s="13">
        <v>50000000</v>
      </c>
      <c r="N206">
        <v>4326798</v>
      </c>
      <c r="O206">
        <v>6</v>
      </c>
      <c r="P206" t="s">
        <v>24</v>
      </c>
      <c r="Q206" s="21">
        <v>45022</v>
      </c>
      <c r="R206" s="21">
        <v>45357</v>
      </c>
      <c r="T206" t="s">
        <v>25</v>
      </c>
      <c r="U206" t="s">
        <v>72</v>
      </c>
      <c r="V206">
        <v>0</v>
      </c>
      <c r="W206">
        <v>991666.66666666663</v>
      </c>
      <c r="X206">
        <v>0</v>
      </c>
      <c r="Y206">
        <v>0</v>
      </c>
      <c r="Z206" t="s">
        <v>1040</v>
      </c>
      <c r="AA206" t="str">
        <f t="shared" si="3"/>
        <v>260242325000000044991</v>
      </c>
      <c r="AB206" t="e">
        <f>VLOOKUP(AA206,Balance!AA:AA,1,FALSE)</f>
        <v>#N/A</v>
      </c>
    </row>
    <row r="207" spans="1:28" x14ac:dyDescent="0.25">
      <c r="A207" t="s">
        <v>407</v>
      </c>
      <c r="B207">
        <v>26031132</v>
      </c>
      <c r="C207" t="s">
        <v>456</v>
      </c>
      <c r="D207" t="s">
        <v>21</v>
      </c>
      <c r="F207" t="s">
        <v>457</v>
      </c>
      <c r="G207" t="s">
        <v>458</v>
      </c>
      <c r="H207">
        <v>0</v>
      </c>
      <c r="I207" s="21">
        <v>44377</v>
      </c>
      <c r="J207" t="s">
        <v>22</v>
      </c>
      <c r="K207" t="s">
        <v>23</v>
      </c>
      <c r="L207">
        <v>12</v>
      </c>
      <c r="M207" s="13">
        <v>7000000</v>
      </c>
      <c r="N207">
        <v>621333</v>
      </c>
      <c r="O207">
        <v>9.5</v>
      </c>
      <c r="P207" t="s">
        <v>24</v>
      </c>
      <c r="Q207" s="21">
        <v>44407</v>
      </c>
      <c r="R207" s="21">
        <v>44742</v>
      </c>
      <c r="T207" t="s">
        <v>25</v>
      </c>
      <c r="U207" t="s">
        <v>416</v>
      </c>
      <c r="V207">
        <v>0</v>
      </c>
      <c r="W207">
        <v>0</v>
      </c>
      <c r="X207">
        <v>9916.6666666666679</v>
      </c>
      <c r="Y207">
        <v>69416.666666666672</v>
      </c>
      <c r="Z207" t="s">
        <v>1040</v>
      </c>
      <c r="AA207" t="str">
        <f t="shared" si="3"/>
        <v>26031132700000044377</v>
      </c>
      <c r="AB207" t="e">
        <f>VLOOKUP(AA207,Balance!AA:AA,1,FALSE)</f>
        <v>#N/A</v>
      </c>
    </row>
    <row r="208" spans="1:28" x14ac:dyDescent="0.25">
      <c r="A208" t="s">
        <v>407</v>
      </c>
      <c r="B208">
        <v>26071847</v>
      </c>
      <c r="C208" t="s">
        <v>483</v>
      </c>
      <c r="D208" t="s">
        <v>21</v>
      </c>
      <c r="F208" t="s">
        <v>484</v>
      </c>
      <c r="G208" t="s">
        <v>485</v>
      </c>
      <c r="H208">
        <v>0</v>
      </c>
      <c r="I208" s="21">
        <v>44970</v>
      </c>
      <c r="J208" t="s">
        <v>22</v>
      </c>
      <c r="K208" t="s">
        <v>23</v>
      </c>
      <c r="L208">
        <v>12</v>
      </c>
      <c r="M208" s="13">
        <v>20000000</v>
      </c>
      <c r="N208">
        <v>1791689</v>
      </c>
      <c r="O208">
        <v>11</v>
      </c>
      <c r="P208" t="s">
        <v>24</v>
      </c>
      <c r="Q208" s="21">
        <v>44998</v>
      </c>
      <c r="R208" s="21">
        <v>45335</v>
      </c>
      <c r="T208" t="s">
        <v>25</v>
      </c>
      <c r="U208" t="s">
        <v>416</v>
      </c>
      <c r="V208">
        <v>0</v>
      </c>
      <c r="W208">
        <v>340000</v>
      </c>
      <c r="X208">
        <v>0</v>
      </c>
      <c r="Y208">
        <v>0</v>
      </c>
      <c r="Z208" t="s">
        <v>1040</v>
      </c>
      <c r="AA208" t="str">
        <f t="shared" si="3"/>
        <v>260718472000000044970</v>
      </c>
      <c r="AB208" t="e">
        <f>VLOOKUP(AA208,Balance!AA:AA,1,FALSE)</f>
        <v>#N/A</v>
      </c>
    </row>
    <row r="209" spans="1:28" x14ac:dyDescent="0.25">
      <c r="A209" t="s">
        <v>494</v>
      </c>
      <c r="B209">
        <v>60423303</v>
      </c>
      <c r="C209" t="s">
        <v>496</v>
      </c>
      <c r="D209" t="s">
        <v>21</v>
      </c>
      <c r="E209">
        <v>26233</v>
      </c>
      <c r="F209" t="s">
        <v>497</v>
      </c>
      <c r="G209" t="s">
        <v>499</v>
      </c>
      <c r="H209">
        <v>0</v>
      </c>
      <c r="I209" s="21">
        <v>45072</v>
      </c>
      <c r="J209" t="s">
        <v>22</v>
      </c>
      <c r="K209" t="s">
        <v>23</v>
      </c>
      <c r="L209">
        <v>12</v>
      </c>
      <c r="M209" s="13">
        <v>25000000</v>
      </c>
      <c r="N209">
        <v>2239611</v>
      </c>
      <c r="O209">
        <v>11</v>
      </c>
      <c r="P209" t="s">
        <v>24</v>
      </c>
      <c r="Q209" s="21">
        <v>45103</v>
      </c>
      <c r="R209" s="21">
        <v>45438</v>
      </c>
      <c r="T209" t="s">
        <v>28</v>
      </c>
      <c r="U209" t="s">
        <v>498</v>
      </c>
      <c r="V209">
        <v>0</v>
      </c>
      <c r="W209">
        <v>637500</v>
      </c>
      <c r="X209">
        <v>0</v>
      </c>
      <c r="Y209">
        <v>0</v>
      </c>
      <c r="Z209" t="s">
        <v>1040</v>
      </c>
      <c r="AA209" t="str">
        <f t="shared" si="3"/>
        <v>604233032500000045072</v>
      </c>
      <c r="AB209" t="e">
        <f>VLOOKUP(AA209,Balance!AA:AA,1,FALSE)</f>
        <v>#N/A</v>
      </c>
    </row>
    <row r="210" spans="1:28" x14ac:dyDescent="0.25">
      <c r="A210" t="s">
        <v>500</v>
      </c>
      <c r="B210">
        <v>25977080</v>
      </c>
      <c r="C210" t="s">
        <v>507</v>
      </c>
      <c r="D210" t="s">
        <v>21</v>
      </c>
      <c r="F210" t="s">
        <v>508</v>
      </c>
      <c r="G210" t="s">
        <v>510</v>
      </c>
      <c r="H210">
        <v>0</v>
      </c>
      <c r="I210" s="21">
        <v>45050</v>
      </c>
      <c r="J210" t="s">
        <v>22</v>
      </c>
      <c r="K210" t="s">
        <v>23</v>
      </c>
      <c r="L210">
        <v>12</v>
      </c>
      <c r="M210" s="13">
        <v>20000000</v>
      </c>
      <c r="N210">
        <v>1791689</v>
      </c>
      <c r="O210">
        <v>11</v>
      </c>
      <c r="P210" t="s">
        <v>24</v>
      </c>
      <c r="Q210" s="21">
        <v>45081</v>
      </c>
      <c r="R210" s="21">
        <v>45416</v>
      </c>
      <c r="S210">
        <v>45370</v>
      </c>
      <c r="T210" t="s">
        <v>25</v>
      </c>
      <c r="U210" t="s">
        <v>505</v>
      </c>
      <c r="V210">
        <v>0</v>
      </c>
      <c r="W210">
        <v>510000.00000000006</v>
      </c>
      <c r="X210">
        <v>0</v>
      </c>
      <c r="Y210">
        <v>0</v>
      </c>
      <c r="Z210" t="s">
        <v>1040</v>
      </c>
      <c r="AA210" t="str">
        <f t="shared" si="3"/>
        <v>259770802000000045050</v>
      </c>
      <c r="AB210" t="e">
        <f>VLOOKUP(AA210,Balance!AA:AA,1,FALSE)</f>
        <v>#N/A</v>
      </c>
    </row>
    <row r="211" spans="1:28" x14ac:dyDescent="0.25">
      <c r="A211" t="s">
        <v>500</v>
      </c>
      <c r="B211">
        <v>37665219</v>
      </c>
      <c r="C211" t="s">
        <v>512</v>
      </c>
      <c r="D211" t="s">
        <v>21</v>
      </c>
      <c r="F211" t="s">
        <v>513</v>
      </c>
      <c r="G211" t="s">
        <v>514</v>
      </c>
      <c r="H211">
        <v>0</v>
      </c>
      <c r="I211" s="21">
        <v>45280</v>
      </c>
      <c r="J211" t="s">
        <v>22</v>
      </c>
      <c r="K211" t="s">
        <v>23</v>
      </c>
      <c r="L211">
        <v>6</v>
      </c>
      <c r="M211" s="13">
        <v>10000000</v>
      </c>
      <c r="N211">
        <v>1718789</v>
      </c>
      <c r="O211">
        <v>8.5</v>
      </c>
      <c r="P211" t="s">
        <v>24</v>
      </c>
      <c r="Q211" s="21">
        <v>45311</v>
      </c>
      <c r="R211" s="21">
        <v>45463</v>
      </c>
      <c r="T211" t="s">
        <v>28</v>
      </c>
      <c r="U211" t="s">
        <v>505</v>
      </c>
      <c r="V211">
        <v>28333.333333333336</v>
      </c>
      <c r="W211">
        <v>0</v>
      </c>
      <c r="X211">
        <v>0</v>
      </c>
      <c r="Y211">
        <v>0</v>
      </c>
      <c r="Z211" t="s">
        <v>1040</v>
      </c>
      <c r="AA211" t="str">
        <f t="shared" si="3"/>
        <v>376652191000000045280</v>
      </c>
      <c r="AB211" t="e">
        <f>VLOOKUP(AA211,Balance!AA:AA,1,FALSE)</f>
        <v>#N/A</v>
      </c>
    </row>
    <row r="212" spans="1:28" x14ac:dyDescent="0.25">
      <c r="A212" t="s">
        <v>500</v>
      </c>
      <c r="B212">
        <v>37716719</v>
      </c>
      <c r="C212" t="s">
        <v>516</v>
      </c>
      <c r="D212" t="s">
        <v>21</v>
      </c>
      <c r="F212" t="s">
        <v>517</v>
      </c>
      <c r="G212" t="s">
        <v>518</v>
      </c>
      <c r="H212">
        <v>0</v>
      </c>
      <c r="I212" s="21">
        <v>44873</v>
      </c>
      <c r="J212" t="s">
        <v>22</v>
      </c>
      <c r="K212" t="s">
        <v>23</v>
      </c>
      <c r="L212">
        <v>18</v>
      </c>
      <c r="M212" s="13">
        <v>3000000</v>
      </c>
      <c r="N212">
        <v>183503</v>
      </c>
      <c r="O212">
        <v>10</v>
      </c>
      <c r="P212" t="s">
        <v>24</v>
      </c>
      <c r="Q212" s="21">
        <v>44903</v>
      </c>
      <c r="R212" s="21">
        <v>45420</v>
      </c>
      <c r="S212">
        <v>45204</v>
      </c>
      <c r="T212" t="s">
        <v>25</v>
      </c>
      <c r="U212" t="s">
        <v>505</v>
      </c>
      <c r="V212">
        <v>0</v>
      </c>
      <c r="W212">
        <v>51000.000000000007</v>
      </c>
      <c r="X212">
        <v>51000.000000000007</v>
      </c>
      <c r="Y212">
        <v>0</v>
      </c>
      <c r="Z212" t="s">
        <v>1040</v>
      </c>
      <c r="AA212" t="str">
        <f t="shared" si="3"/>
        <v>37716719300000044873</v>
      </c>
      <c r="AB212" t="e">
        <f>VLOOKUP(AA212,Balance!AA:AA,1,FALSE)</f>
        <v>#N/A</v>
      </c>
    </row>
    <row r="213" spans="1:28" x14ac:dyDescent="0.25">
      <c r="A213" t="s">
        <v>500</v>
      </c>
      <c r="B213">
        <v>37738419</v>
      </c>
      <c r="C213" t="s">
        <v>524</v>
      </c>
      <c r="D213" t="s">
        <v>21</v>
      </c>
      <c r="F213" t="s">
        <v>525</v>
      </c>
      <c r="G213" t="s">
        <v>526</v>
      </c>
      <c r="H213">
        <v>0</v>
      </c>
      <c r="I213" s="21">
        <v>44215</v>
      </c>
      <c r="J213" t="s">
        <v>22</v>
      </c>
      <c r="K213" t="s">
        <v>23</v>
      </c>
      <c r="L213">
        <v>12</v>
      </c>
      <c r="M213" s="13">
        <v>6000000</v>
      </c>
      <c r="N213">
        <v>537507</v>
      </c>
      <c r="O213">
        <v>11</v>
      </c>
      <c r="P213" t="s">
        <v>24</v>
      </c>
      <c r="Q213" s="21">
        <v>44246</v>
      </c>
      <c r="R213" s="21">
        <v>44580</v>
      </c>
      <c r="T213" t="s">
        <v>25</v>
      </c>
      <c r="U213" t="s">
        <v>505</v>
      </c>
      <c r="V213">
        <v>0</v>
      </c>
      <c r="W213">
        <v>0</v>
      </c>
      <c r="X213">
        <v>0</v>
      </c>
      <c r="Y213">
        <v>85000</v>
      </c>
      <c r="Z213" t="s">
        <v>1040</v>
      </c>
      <c r="AA213" t="str">
        <f t="shared" si="3"/>
        <v>37738419600000044215</v>
      </c>
      <c r="AB213" t="e">
        <f>VLOOKUP(AA213,Balance!AA:AA,1,FALSE)</f>
        <v>#N/A</v>
      </c>
    </row>
    <row r="214" spans="1:28" x14ac:dyDescent="0.25">
      <c r="A214" t="s">
        <v>500</v>
      </c>
      <c r="B214">
        <v>37738419</v>
      </c>
      <c r="C214" t="s">
        <v>524</v>
      </c>
      <c r="D214" t="s">
        <v>21</v>
      </c>
      <c r="F214" t="s">
        <v>525</v>
      </c>
      <c r="G214" t="s">
        <v>527</v>
      </c>
      <c r="H214">
        <v>0</v>
      </c>
      <c r="I214" s="21">
        <v>44729</v>
      </c>
      <c r="J214" t="s">
        <v>22</v>
      </c>
      <c r="K214" t="s">
        <v>23</v>
      </c>
      <c r="L214">
        <v>24</v>
      </c>
      <c r="M214" s="13">
        <v>10000000</v>
      </c>
      <c r="N214">
        <v>467142</v>
      </c>
      <c r="O214">
        <v>9</v>
      </c>
      <c r="P214" t="s">
        <v>24</v>
      </c>
      <c r="Q214" s="21">
        <v>44759</v>
      </c>
      <c r="R214" s="21">
        <v>45460</v>
      </c>
      <c r="T214" t="s">
        <v>28</v>
      </c>
      <c r="U214" t="s">
        <v>505</v>
      </c>
      <c r="V214">
        <v>7083.3333333333339</v>
      </c>
      <c r="W214">
        <v>141666.66666666669</v>
      </c>
      <c r="X214">
        <v>134583.33333333334</v>
      </c>
      <c r="Y214">
        <v>0</v>
      </c>
      <c r="Z214" t="s">
        <v>1040</v>
      </c>
      <c r="AA214" t="str">
        <f t="shared" si="3"/>
        <v>377384191000000044729</v>
      </c>
      <c r="AB214" t="e">
        <f>VLOOKUP(AA214,Balance!AA:AA,1,FALSE)</f>
        <v>#N/A</v>
      </c>
    </row>
    <row r="215" spans="1:28" x14ac:dyDescent="0.25">
      <c r="A215" t="s">
        <v>528</v>
      </c>
      <c r="B215">
        <v>25948803</v>
      </c>
      <c r="C215" t="s">
        <v>534</v>
      </c>
      <c r="D215" t="s">
        <v>21</v>
      </c>
      <c r="F215" t="s">
        <v>535</v>
      </c>
      <c r="G215" t="s">
        <v>536</v>
      </c>
      <c r="H215">
        <v>0</v>
      </c>
      <c r="I215" s="21">
        <v>45071</v>
      </c>
      <c r="J215" t="s">
        <v>22</v>
      </c>
      <c r="K215" t="s">
        <v>23</v>
      </c>
      <c r="L215">
        <v>12</v>
      </c>
      <c r="M215" s="13">
        <v>20000000</v>
      </c>
      <c r="N215">
        <v>1758867</v>
      </c>
      <c r="O215">
        <v>8</v>
      </c>
      <c r="P215" t="s">
        <v>24</v>
      </c>
      <c r="Q215" s="21">
        <v>45102</v>
      </c>
      <c r="R215" s="21">
        <v>45437</v>
      </c>
      <c r="T215" t="s">
        <v>28</v>
      </c>
      <c r="U215" t="s">
        <v>498</v>
      </c>
      <c r="V215">
        <v>0</v>
      </c>
      <c r="W215">
        <v>510000.00000000006</v>
      </c>
      <c r="X215">
        <v>0</v>
      </c>
      <c r="Y215">
        <v>0</v>
      </c>
      <c r="Z215" t="s">
        <v>1040</v>
      </c>
      <c r="AA215" t="str">
        <f t="shared" si="3"/>
        <v>259488032000000045071</v>
      </c>
      <c r="AB215" t="e">
        <f>VLOOKUP(AA215,Balance!AA:AA,1,FALSE)</f>
        <v>#N/A</v>
      </c>
    </row>
    <row r="216" spans="1:28" x14ac:dyDescent="0.25">
      <c r="A216" t="s">
        <v>528</v>
      </c>
      <c r="B216">
        <v>26001179</v>
      </c>
      <c r="C216" t="s">
        <v>542</v>
      </c>
      <c r="D216" t="s">
        <v>21</v>
      </c>
      <c r="F216" t="s">
        <v>543</v>
      </c>
      <c r="G216" t="s">
        <v>544</v>
      </c>
      <c r="H216">
        <v>0</v>
      </c>
      <c r="I216" s="21">
        <v>44502</v>
      </c>
      <c r="J216" t="s">
        <v>22</v>
      </c>
      <c r="K216" t="s">
        <v>23</v>
      </c>
      <c r="L216">
        <v>18</v>
      </c>
      <c r="M216" s="13">
        <v>30000000</v>
      </c>
      <c r="N216">
        <v>1858018</v>
      </c>
      <c r="O216">
        <v>12</v>
      </c>
      <c r="P216" t="s">
        <v>24</v>
      </c>
      <c r="Q216" s="21">
        <v>44532</v>
      </c>
      <c r="R216" s="21">
        <v>45048</v>
      </c>
      <c r="S216">
        <v>45022</v>
      </c>
      <c r="T216" t="s">
        <v>25</v>
      </c>
      <c r="U216" t="s">
        <v>498</v>
      </c>
      <c r="V216">
        <v>0</v>
      </c>
      <c r="W216">
        <v>0</v>
      </c>
      <c r="X216">
        <v>510000.00000000006</v>
      </c>
      <c r="Y216">
        <v>510000.00000000006</v>
      </c>
      <c r="Z216" t="s">
        <v>1040</v>
      </c>
      <c r="AA216" t="str">
        <f t="shared" si="3"/>
        <v>260011793000000044502</v>
      </c>
      <c r="AB216" t="e">
        <f>VLOOKUP(AA216,Balance!AA:AA,1,FALSE)</f>
        <v>#N/A</v>
      </c>
    </row>
    <row r="217" spans="1:28" x14ac:dyDescent="0.25">
      <c r="A217" t="s">
        <v>528</v>
      </c>
      <c r="B217">
        <v>26057248</v>
      </c>
      <c r="C217" t="s">
        <v>554</v>
      </c>
      <c r="D217" t="s">
        <v>21</v>
      </c>
      <c r="F217" t="s">
        <v>555</v>
      </c>
      <c r="G217" t="s">
        <v>556</v>
      </c>
      <c r="H217">
        <v>0</v>
      </c>
      <c r="I217" s="21">
        <v>44293</v>
      </c>
      <c r="J217" t="s">
        <v>59</v>
      </c>
      <c r="K217" t="s">
        <v>60</v>
      </c>
      <c r="L217">
        <v>36</v>
      </c>
      <c r="M217" s="13">
        <v>30000000</v>
      </c>
      <c r="N217">
        <v>985418</v>
      </c>
      <c r="O217">
        <v>9</v>
      </c>
      <c r="P217" t="s">
        <v>24</v>
      </c>
      <c r="Q217" s="21">
        <v>44323</v>
      </c>
      <c r="R217" s="21">
        <v>45389</v>
      </c>
      <c r="T217" t="s">
        <v>28</v>
      </c>
      <c r="U217" t="s">
        <v>406</v>
      </c>
      <c r="V217">
        <v>0</v>
      </c>
      <c r="W217">
        <v>226666.66666666666</v>
      </c>
      <c r="X217">
        <v>566666.66666666674</v>
      </c>
      <c r="Y217">
        <v>906666.66666666674</v>
      </c>
      <c r="Z217" t="s">
        <v>1040</v>
      </c>
      <c r="AA217" t="str">
        <f t="shared" si="3"/>
        <v>260572483000000044293</v>
      </c>
      <c r="AB217" t="e">
        <f>VLOOKUP(AA217,Balance!AA:AA,1,FALSE)</f>
        <v>#N/A</v>
      </c>
    </row>
    <row r="218" spans="1:28" x14ac:dyDescent="0.25">
      <c r="A218" t="s">
        <v>528</v>
      </c>
      <c r="B218">
        <v>33089720</v>
      </c>
      <c r="C218" t="s">
        <v>562</v>
      </c>
      <c r="D218" t="s">
        <v>21</v>
      </c>
      <c r="F218" t="s">
        <v>563</v>
      </c>
      <c r="G218" t="s">
        <v>564</v>
      </c>
      <c r="H218">
        <v>0</v>
      </c>
      <c r="I218" s="21">
        <v>45147</v>
      </c>
      <c r="J218" t="s">
        <v>52</v>
      </c>
      <c r="K218" t="s">
        <v>53</v>
      </c>
      <c r="L218">
        <v>4</v>
      </c>
      <c r="M218" s="13">
        <v>115000000</v>
      </c>
      <c r="N218">
        <v>30343864</v>
      </c>
      <c r="O218">
        <v>7.5</v>
      </c>
      <c r="P218" t="s">
        <v>24</v>
      </c>
      <c r="Q218" s="21">
        <v>45239</v>
      </c>
      <c r="R218" s="21">
        <v>45513</v>
      </c>
      <c r="T218" t="s">
        <v>28</v>
      </c>
      <c r="U218" t="s">
        <v>247</v>
      </c>
      <c r="V218">
        <v>0</v>
      </c>
      <c r="W218">
        <v>1466250</v>
      </c>
      <c r="X218">
        <v>0</v>
      </c>
      <c r="Y218">
        <v>0</v>
      </c>
      <c r="Z218" t="s">
        <v>1040</v>
      </c>
      <c r="AA218" t="str">
        <f t="shared" si="3"/>
        <v>3308972011500000045147</v>
      </c>
      <c r="AB218" t="e">
        <f>VLOOKUP(AA218,Balance!AA:AA,1,FALSE)</f>
        <v>#N/A</v>
      </c>
    </row>
    <row r="219" spans="1:28" x14ac:dyDescent="0.25">
      <c r="A219" t="s">
        <v>569</v>
      </c>
      <c r="B219">
        <v>26017742</v>
      </c>
      <c r="C219" t="s">
        <v>579</v>
      </c>
      <c r="D219" t="s">
        <v>21</v>
      </c>
      <c r="F219" t="s">
        <v>580</v>
      </c>
      <c r="G219" t="s">
        <v>581</v>
      </c>
      <c r="H219">
        <v>0</v>
      </c>
      <c r="I219" s="21">
        <v>44211</v>
      </c>
      <c r="J219" t="s">
        <v>22</v>
      </c>
      <c r="K219" t="s">
        <v>23</v>
      </c>
      <c r="L219">
        <v>24</v>
      </c>
      <c r="M219" s="13">
        <v>10000000</v>
      </c>
      <c r="N219">
        <v>467142</v>
      </c>
      <c r="O219">
        <v>9</v>
      </c>
      <c r="P219" t="s">
        <v>24</v>
      </c>
      <c r="Q219" s="21">
        <v>44242</v>
      </c>
      <c r="R219" s="21">
        <v>44941</v>
      </c>
      <c r="T219" t="s">
        <v>25</v>
      </c>
      <c r="U219" t="s">
        <v>300</v>
      </c>
      <c r="V219">
        <v>0</v>
      </c>
      <c r="W219">
        <v>0</v>
      </c>
      <c r="X219">
        <v>70833.333333333343</v>
      </c>
      <c r="Y219">
        <v>240833.33333333334</v>
      </c>
      <c r="Z219" t="s">
        <v>1040</v>
      </c>
      <c r="AA219" t="str">
        <f t="shared" si="3"/>
        <v>260177421000000044211</v>
      </c>
      <c r="AB219" t="e">
        <f>VLOOKUP(AA219,Balance!AA:AA,1,FALSE)</f>
        <v>#N/A</v>
      </c>
    </row>
    <row r="220" spans="1:28" x14ac:dyDescent="0.25">
      <c r="A220" t="s">
        <v>569</v>
      </c>
      <c r="B220">
        <v>54825322</v>
      </c>
      <c r="C220" t="s">
        <v>588</v>
      </c>
      <c r="D220" t="s">
        <v>21</v>
      </c>
      <c r="F220" t="s">
        <v>589</v>
      </c>
      <c r="G220" t="s">
        <v>590</v>
      </c>
      <c r="H220">
        <v>0</v>
      </c>
      <c r="I220" s="21">
        <v>44455</v>
      </c>
      <c r="J220" t="s">
        <v>22</v>
      </c>
      <c r="K220" t="s">
        <v>23</v>
      </c>
      <c r="L220">
        <v>12</v>
      </c>
      <c r="M220" s="13">
        <v>20000000</v>
      </c>
      <c r="N220">
        <v>1769770</v>
      </c>
      <c r="O220">
        <v>9</v>
      </c>
      <c r="P220" t="s">
        <v>24</v>
      </c>
      <c r="Q220" s="21">
        <v>44485</v>
      </c>
      <c r="R220" s="21">
        <v>44820</v>
      </c>
      <c r="T220" t="s">
        <v>25</v>
      </c>
      <c r="U220" t="s">
        <v>300</v>
      </c>
      <c r="V220">
        <v>0</v>
      </c>
      <c r="W220">
        <v>0</v>
      </c>
      <c r="X220">
        <v>113333.33333333334</v>
      </c>
      <c r="Y220">
        <v>283333.33333333337</v>
      </c>
      <c r="Z220" t="s">
        <v>1040</v>
      </c>
      <c r="AA220" t="str">
        <f t="shared" si="3"/>
        <v>548253222000000044455</v>
      </c>
      <c r="AB220" t="e">
        <f>VLOOKUP(AA220,Balance!AA:AA,1,FALSE)</f>
        <v>#N/A</v>
      </c>
    </row>
    <row r="221" spans="1:28" x14ac:dyDescent="0.25">
      <c r="A221" t="s">
        <v>569</v>
      </c>
      <c r="B221">
        <v>54825322</v>
      </c>
      <c r="C221" t="s">
        <v>588</v>
      </c>
      <c r="D221" t="s">
        <v>21</v>
      </c>
      <c r="F221" t="s">
        <v>589</v>
      </c>
      <c r="G221" t="s">
        <v>591</v>
      </c>
      <c r="H221">
        <v>0</v>
      </c>
      <c r="I221" s="21">
        <v>44916</v>
      </c>
      <c r="J221" t="s">
        <v>22</v>
      </c>
      <c r="K221" t="s">
        <v>23</v>
      </c>
      <c r="L221">
        <v>18</v>
      </c>
      <c r="M221" s="13">
        <v>25000000</v>
      </c>
      <c r="N221">
        <v>1529189</v>
      </c>
      <c r="O221">
        <v>10</v>
      </c>
      <c r="P221" t="s">
        <v>24</v>
      </c>
      <c r="Q221" s="21">
        <v>44947</v>
      </c>
      <c r="R221" s="21">
        <v>45464</v>
      </c>
      <c r="T221" t="s">
        <v>28</v>
      </c>
      <c r="U221" t="s">
        <v>300</v>
      </c>
      <c r="V221">
        <v>23611.111111111113</v>
      </c>
      <c r="W221">
        <v>472222.22222222225</v>
      </c>
      <c r="X221">
        <v>0</v>
      </c>
      <c r="Y221">
        <v>0</v>
      </c>
      <c r="Z221" t="s">
        <v>1040</v>
      </c>
      <c r="AA221" t="str">
        <f t="shared" si="3"/>
        <v>548253222500000044916</v>
      </c>
      <c r="AB221" t="e">
        <f>VLOOKUP(AA221,Balance!AA:AA,1,FALSE)</f>
        <v>#N/A</v>
      </c>
    </row>
    <row r="222" spans="1:28" x14ac:dyDescent="0.25">
      <c r="A222" t="s">
        <v>593</v>
      </c>
      <c r="B222">
        <v>25980887</v>
      </c>
      <c r="C222" t="s">
        <v>604</v>
      </c>
      <c r="D222" t="s">
        <v>21</v>
      </c>
      <c r="F222" t="s">
        <v>605</v>
      </c>
      <c r="G222" t="s">
        <v>606</v>
      </c>
      <c r="H222">
        <v>0</v>
      </c>
      <c r="I222" s="21">
        <v>44588</v>
      </c>
      <c r="J222" t="s">
        <v>22</v>
      </c>
      <c r="K222" t="s">
        <v>23</v>
      </c>
      <c r="L222">
        <v>12</v>
      </c>
      <c r="M222" s="13">
        <v>10000000</v>
      </c>
      <c r="N222">
        <v>901352</v>
      </c>
      <c r="O222">
        <v>12</v>
      </c>
      <c r="P222" t="s">
        <v>24</v>
      </c>
      <c r="Q222" s="21">
        <v>44619</v>
      </c>
      <c r="R222" s="21">
        <v>44953</v>
      </c>
      <c r="T222" t="s">
        <v>25</v>
      </c>
      <c r="U222" t="s">
        <v>598</v>
      </c>
      <c r="V222">
        <v>0</v>
      </c>
      <c r="W222">
        <v>0</v>
      </c>
      <c r="X222">
        <v>141666.66666666669</v>
      </c>
      <c r="Y222">
        <v>0</v>
      </c>
      <c r="Z222" t="s">
        <v>1040</v>
      </c>
      <c r="AA222" t="str">
        <f t="shared" si="3"/>
        <v>259808871000000044588</v>
      </c>
      <c r="AB222" t="e">
        <f>VLOOKUP(AA222,Balance!AA:AA,1,FALSE)</f>
        <v>#N/A</v>
      </c>
    </row>
    <row r="223" spans="1:28" x14ac:dyDescent="0.25">
      <c r="A223" t="s">
        <v>593</v>
      </c>
      <c r="B223">
        <v>26004285</v>
      </c>
      <c r="C223" t="s">
        <v>608</v>
      </c>
      <c r="D223" t="s">
        <v>21</v>
      </c>
      <c r="F223" t="s">
        <v>609</v>
      </c>
      <c r="G223" t="s">
        <v>610</v>
      </c>
      <c r="H223">
        <v>0</v>
      </c>
      <c r="I223" s="21">
        <v>44701</v>
      </c>
      <c r="J223" t="s">
        <v>22</v>
      </c>
      <c r="K223" t="s">
        <v>23</v>
      </c>
      <c r="L223">
        <v>24</v>
      </c>
      <c r="M223" s="13">
        <v>45000000</v>
      </c>
      <c r="N223">
        <v>2077747</v>
      </c>
      <c r="O223">
        <v>8</v>
      </c>
      <c r="P223" t="s">
        <v>24</v>
      </c>
      <c r="Q223" s="21">
        <v>44732</v>
      </c>
      <c r="R223" s="21">
        <v>45432</v>
      </c>
      <c r="T223" t="s">
        <v>28</v>
      </c>
      <c r="U223" t="s">
        <v>598</v>
      </c>
      <c r="V223">
        <v>0</v>
      </c>
      <c r="W223">
        <v>573750</v>
      </c>
      <c r="X223">
        <v>1338750</v>
      </c>
      <c r="Y223">
        <v>0</v>
      </c>
      <c r="Z223" t="s">
        <v>1040</v>
      </c>
      <c r="AA223" t="str">
        <f t="shared" si="3"/>
        <v>260042854500000044701</v>
      </c>
      <c r="AB223" t="e">
        <f>VLOOKUP(AA223,Balance!AA:AA,1,FALSE)</f>
        <v>#N/A</v>
      </c>
    </row>
    <row r="224" spans="1:28" x14ac:dyDescent="0.25">
      <c r="A224" t="s">
        <v>593</v>
      </c>
      <c r="B224">
        <v>26035494</v>
      </c>
      <c r="C224" t="s">
        <v>616</v>
      </c>
      <c r="D224" t="s">
        <v>21</v>
      </c>
      <c r="F224" t="s">
        <v>617</v>
      </c>
      <c r="G224" t="s">
        <v>618</v>
      </c>
      <c r="H224">
        <v>0</v>
      </c>
      <c r="I224" s="21">
        <v>44278</v>
      </c>
      <c r="J224" t="s">
        <v>39</v>
      </c>
      <c r="K224" t="s">
        <v>40</v>
      </c>
      <c r="L224">
        <v>12</v>
      </c>
      <c r="M224" s="13">
        <v>300000000</v>
      </c>
      <c r="N224">
        <v>26041770</v>
      </c>
      <c r="O224">
        <v>6.5</v>
      </c>
      <c r="P224" t="s">
        <v>24</v>
      </c>
      <c r="Q224" s="21">
        <v>44309</v>
      </c>
      <c r="R224" s="21">
        <v>44643</v>
      </c>
      <c r="T224" t="s">
        <v>25</v>
      </c>
      <c r="U224" t="s">
        <v>619</v>
      </c>
      <c r="V224">
        <v>0</v>
      </c>
      <c r="W224">
        <v>0</v>
      </c>
      <c r="X224">
        <v>0</v>
      </c>
      <c r="Y224">
        <v>5950000</v>
      </c>
      <c r="Z224" t="s">
        <v>1039</v>
      </c>
      <c r="AA224" t="str">
        <f t="shared" si="3"/>
        <v>2603549430000000044278</v>
      </c>
      <c r="AB224" t="e">
        <f>VLOOKUP(AA224,Balance!AA:AA,1,FALSE)</f>
        <v>#N/A</v>
      </c>
    </row>
    <row r="225" spans="1:28" x14ac:dyDescent="0.25">
      <c r="A225" t="s">
        <v>593</v>
      </c>
      <c r="B225">
        <v>26078918</v>
      </c>
      <c r="C225" t="s">
        <v>621</v>
      </c>
      <c r="D225" t="s">
        <v>21</v>
      </c>
      <c r="F225" t="s">
        <v>622</v>
      </c>
      <c r="G225" t="s">
        <v>623</v>
      </c>
      <c r="H225">
        <v>0</v>
      </c>
      <c r="I225" s="21">
        <v>44651</v>
      </c>
      <c r="J225" t="s">
        <v>22</v>
      </c>
      <c r="K225" t="s">
        <v>23</v>
      </c>
      <c r="L225">
        <v>12</v>
      </c>
      <c r="M225" s="13">
        <v>15000000</v>
      </c>
      <c r="N225">
        <v>1352028</v>
      </c>
      <c r="O225">
        <v>12</v>
      </c>
      <c r="P225" t="s">
        <v>24</v>
      </c>
      <c r="Q225" s="21">
        <v>44681</v>
      </c>
      <c r="R225" s="21">
        <v>45015</v>
      </c>
      <c r="T225" t="s">
        <v>25</v>
      </c>
      <c r="U225" t="s">
        <v>598</v>
      </c>
      <c r="V225">
        <v>0</v>
      </c>
      <c r="W225">
        <v>0</v>
      </c>
      <c r="X225">
        <v>297500</v>
      </c>
      <c r="Y225">
        <v>0</v>
      </c>
      <c r="Z225" t="s">
        <v>1040</v>
      </c>
      <c r="AA225" t="str">
        <f t="shared" si="3"/>
        <v>260789181500000044651</v>
      </c>
      <c r="AB225" t="e">
        <f>VLOOKUP(AA225,Balance!AA:AA,1,FALSE)</f>
        <v>#N/A</v>
      </c>
    </row>
    <row r="226" spans="1:28" x14ac:dyDescent="0.25">
      <c r="A226" t="s">
        <v>593</v>
      </c>
      <c r="B226">
        <v>26078918</v>
      </c>
      <c r="C226" t="s">
        <v>621</v>
      </c>
      <c r="D226" t="s">
        <v>21</v>
      </c>
      <c r="F226" t="s">
        <v>622</v>
      </c>
      <c r="G226" t="s">
        <v>624</v>
      </c>
      <c r="H226">
        <v>0</v>
      </c>
      <c r="I226" s="21">
        <v>44922</v>
      </c>
      <c r="J226" t="s">
        <v>22</v>
      </c>
      <c r="K226" t="s">
        <v>23</v>
      </c>
      <c r="L226">
        <v>12</v>
      </c>
      <c r="M226" s="13">
        <v>25000000</v>
      </c>
      <c r="N226">
        <v>2253380</v>
      </c>
      <c r="O226">
        <v>12</v>
      </c>
      <c r="P226" t="s">
        <v>24</v>
      </c>
      <c r="Q226" s="21">
        <v>44953</v>
      </c>
      <c r="R226" s="21">
        <v>45287</v>
      </c>
      <c r="T226" t="s">
        <v>25</v>
      </c>
      <c r="U226" t="s">
        <v>598</v>
      </c>
      <c r="V226">
        <v>0</v>
      </c>
      <c r="W226">
        <v>283333.33333333337</v>
      </c>
      <c r="X226">
        <v>0</v>
      </c>
      <c r="Y226">
        <v>0</v>
      </c>
      <c r="Z226" t="s">
        <v>1040</v>
      </c>
      <c r="AA226" t="str">
        <f t="shared" si="3"/>
        <v>260789182500000044922</v>
      </c>
      <c r="AB226" t="e">
        <f>VLOOKUP(AA226,Balance!AA:AA,1,FALSE)</f>
        <v>#N/A</v>
      </c>
    </row>
    <row r="227" spans="1:28" x14ac:dyDescent="0.25">
      <c r="A227" t="s">
        <v>626</v>
      </c>
      <c r="B227">
        <v>26039620</v>
      </c>
      <c r="C227" t="s">
        <v>633</v>
      </c>
      <c r="D227" t="s">
        <v>21</v>
      </c>
      <c r="F227" t="s">
        <v>634</v>
      </c>
      <c r="G227" t="s">
        <v>635</v>
      </c>
      <c r="H227">
        <v>0</v>
      </c>
      <c r="I227" s="21">
        <v>44372</v>
      </c>
      <c r="J227" t="s">
        <v>59</v>
      </c>
      <c r="K227" t="s">
        <v>60</v>
      </c>
      <c r="L227">
        <v>30</v>
      </c>
      <c r="M227" s="13">
        <v>16000000</v>
      </c>
      <c r="N227">
        <v>617620</v>
      </c>
      <c r="O227">
        <v>9.99</v>
      </c>
      <c r="P227" t="s">
        <v>24</v>
      </c>
      <c r="Q227" s="21">
        <v>44402</v>
      </c>
      <c r="R227" s="21">
        <v>45285</v>
      </c>
      <c r="T227" t="s">
        <v>25</v>
      </c>
      <c r="U227" t="s">
        <v>631</v>
      </c>
      <c r="V227">
        <v>0</v>
      </c>
      <c r="W227">
        <v>72533.333333333343</v>
      </c>
      <c r="X227">
        <v>290133.33333333337</v>
      </c>
      <c r="Y227">
        <v>226666.66666666669</v>
      </c>
      <c r="Z227" t="s">
        <v>1040</v>
      </c>
      <c r="AA227" t="str">
        <f t="shared" si="3"/>
        <v>260396201600000044372</v>
      </c>
      <c r="AB227" t="e">
        <f>VLOOKUP(AA227,Balance!AA:AA,1,FALSE)</f>
        <v>#N/A</v>
      </c>
    </row>
    <row r="228" spans="1:28" x14ac:dyDescent="0.25">
      <c r="A228" t="s">
        <v>636</v>
      </c>
      <c r="B228">
        <v>40762935</v>
      </c>
      <c r="C228" t="s">
        <v>644</v>
      </c>
      <c r="D228" t="s">
        <v>21</v>
      </c>
      <c r="E228">
        <v>22322</v>
      </c>
      <c r="F228" t="s">
        <v>645</v>
      </c>
      <c r="G228" t="s">
        <v>646</v>
      </c>
      <c r="H228">
        <v>0</v>
      </c>
      <c r="I228" s="21">
        <v>44393</v>
      </c>
      <c r="J228" t="s">
        <v>39</v>
      </c>
      <c r="K228" t="s">
        <v>40</v>
      </c>
      <c r="L228">
        <v>24</v>
      </c>
      <c r="M228" s="13">
        <v>200000000</v>
      </c>
      <c r="N228">
        <v>9116315</v>
      </c>
      <c r="O228">
        <v>7.5</v>
      </c>
      <c r="P228" t="s">
        <v>24</v>
      </c>
      <c r="Q228" s="21">
        <v>44424</v>
      </c>
      <c r="R228" s="21">
        <v>45123</v>
      </c>
      <c r="T228" t="s">
        <v>25</v>
      </c>
      <c r="U228" t="s">
        <v>141</v>
      </c>
      <c r="V228">
        <v>0</v>
      </c>
      <c r="W228">
        <v>283333.33333333337</v>
      </c>
      <c r="X228">
        <v>3116666.666666667</v>
      </c>
      <c r="Y228">
        <v>2833333.3333333335</v>
      </c>
      <c r="Z228" t="s">
        <v>1040</v>
      </c>
      <c r="AA228" t="str">
        <f t="shared" si="3"/>
        <v>4076293520000000044393</v>
      </c>
      <c r="AB228" t="e">
        <f>VLOOKUP(AA228,Balance!AA:AA,1,FALSE)</f>
        <v>#N/A</v>
      </c>
    </row>
    <row r="229" spans="1:28" x14ac:dyDescent="0.25">
      <c r="A229" t="s">
        <v>636</v>
      </c>
      <c r="B229">
        <v>40781235</v>
      </c>
      <c r="C229" t="s">
        <v>652</v>
      </c>
      <c r="D229" t="s">
        <v>21</v>
      </c>
      <c r="F229" t="s">
        <v>653</v>
      </c>
      <c r="G229" t="s">
        <v>655</v>
      </c>
      <c r="H229">
        <v>0</v>
      </c>
      <c r="I229" s="21">
        <v>45246</v>
      </c>
      <c r="J229" t="s">
        <v>22</v>
      </c>
      <c r="K229" t="s">
        <v>23</v>
      </c>
      <c r="L229">
        <v>6</v>
      </c>
      <c r="M229" s="13">
        <v>20000000</v>
      </c>
      <c r="N229">
        <v>3466490</v>
      </c>
      <c r="O229">
        <v>11</v>
      </c>
      <c r="P229" t="s">
        <v>24</v>
      </c>
      <c r="Q229" s="21">
        <v>45276</v>
      </c>
      <c r="R229" s="21">
        <v>45428</v>
      </c>
      <c r="T229" t="s">
        <v>28</v>
      </c>
      <c r="U229" t="s">
        <v>641</v>
      </c>
      <c r="V229">
        <v>0</v>
      </c>
      <c r="W229">
        <v>340000</v>
      </c>
      <c r="X229">
        <v>0</v>
      </c>
      <c r="Y229">
        <v>0</v>
      </c>
      <c r="Z229" t="s">
        <v>1040</v>
      </c>
      <c r="AA229" t="str">
        <f t="shared" si="3"/>
        <v>407812352000000045246</v>
      </c>
      <c r="AB229" t="e">
        <f>VLOOKUP(AA229,Balance!AA:AA,1,FALSE)</f>
        <v>#N/A</v>
      </c>
    </row>
    <row r="230" spans="1:28" x14ac:dyDescent="0.25">
      <c r="A230" t="s">
        <v>656</v>
      </c>
      <c r="B230">
        <v>84840</v>
      </c>
      <c r="C230" t="s">
        <v>658</v>
      </c>
      <c r="D230" t="s">
        <v>21</v>
      </c>
      <c r="F230" t="s">
        <v>659</v>
      </c>
      <c r="G230" t="s">
        <v>660</v>
      </c>
      <c r="H230">
        <v>0</v>
      </c>
      <c r="I230" s="21">
        <v>44756</v>
      </c>
      <c r="J230" t="s">
        <v>39</v>
      </c>
      <c r="K230" t="s">
        <v>40</v>
      </c>
      <c r="L230">
        <v>2</v>
      </c>
      <c r="M230" s="13">
        <v>600000000</v>
      </c>
      <c r="N230">
        <v>307258631</v>
      </c>
      <c r="O230">
        <v>5.5</v>
      </c>
      <c r="P230" t="s">
        <v>24</v>
      </c>
      <c r="Q230" s="21">
        <v>44848</v>
      </c>
      <c r="R230" s="21">
        <v>44940</v>
      </c>
      <c r="T230" t="s">
        <v>25</v>
      </c>
      <c r="U230" t="s">
        <v>141</v>
      </c>
      <c r="V230">
        <v>0</v>
      </c>
      <c r="W230">
        <v>0</v>
      </c>
      <c r="X230">
        <v>0</v>
      </c>
      <c r="Y230">
        <v>0</v>
      </c>
      <c r="Z230" t="s">
        <v>1039</v>
      </c>
      <c r="AA230" t="str">
        <f t="shared" si="3"/>
        <v>8484060000000044756</v>
      </c>
      <c r="AB230" t="e">
        <f>VLOOKUP(AA230,Balance!AA:AA,1,FALSE)</f>
        <v>#N/A</v>
      </c>
    </row>
    <row r="231" spans="1:28" x14ac:dyDescent="0.25">
      <c r="A231" t="s">
        <v>656</v>
      </c>
      <c r="B231">
        <v>26032623</v>
      </c>
      <c r="C231" t="s">
        <v>678</v>
      </c>
      <c r="D231" t="s">
        <v>21</v>
      </c>
      <c r="F231" t="s">
        <v>679</v>
      </c>
      <c r="G231" t="s">
        <v>680</v>
      </c>
      <c r="H231">
        <v>0</v>
      </c>
      <c r="I231" s="21">
        <v>44272</v>
      </c>
      <c r="J231" t="s">
        <v>22</v>
      </c>
      <c r="K231" t="s">
        <v>23</v>
      </c>
      <c r="L231">
        <v>12</v>
      </c>
      <c r="M231" s="13">
        <v>1500000</v>
      </c>
      <c r="N231">
        <v>132733</v>
      </c>
      <c r="O231">
        <v>9</v>
      </c>
      <c r="P231" t="s">
        <v>24</v>
      </c>
      <c r="Q231" s="21">
        <v>44303</v>
      </c>
      <c r="R231" s="21">
        <v>44637</v>
      </c>
      <c r="T231" t="s">
        <v>25</v>
      </c>
      <c r="U231" t="s">
        <v>641</v>
      </c>
      <c r="V231">
        <v>0</v>
      </c>
      <c r="W231">
        <v>0</v>
      </c>
      <c r="X231">
        <v>0</v>
      </c>
      <c r="Y231">
        <v>29750.000000000004</v>
      </c>
      <c r="Z231" t="s">
        <v>1040</v>
      </c>
      <c r="AA231" t="str">
        <f t="shared" si="3"/>
        <v>26032623150000044272</v>
      </c>
      <c r="AB231" t="e">
        <f>VLOOKUP(AA231,Balance!AA:AA,1,FALSE)</f>
        <v>#N/A</v>
      </c>
    </row>
    <row r="232" spans="1:28" x14ac:dyDescent="0.25">
      <c r="A232" t="s">
        <v>656</v>
      </c>
      <c r="B232">
        <v>26063956</v>
      </c>
      <c r="C232" t="s">
        <v>682</v>
      </c>
      <c r="D232" t="s">
        <v>21</v>
      </c>
      <c r="F232" t="s">
        <v>683</v>
      </c>
      <c r="G232" t="s">
        <v>684</v>
      </c>
      <c r="H232">
        <v>0</v>
      </c>
      <c r="I232" s="21">
        <v>44460</v>
      </c>
      <c r="J232" t="s">
        <v>59</v>
      </c>
      <c r="K232" t="s">
        <v>60</v>
      </c>
      <c r="L232">
        <v>33</v>
      </c>
      <c r="M232" s="13">
        <v>8000000</v>
      </c>
      <c r="N232">
        <v>282901</v>
      </c>
      <c r="O232">
        <v>9</v>
      </c>
      <c r="P232" t="s">
        <v>24</v>
      </c>
      <c r="Q232" s="21">
        <v>44582</v>
      </c>
      <c r="R232" s="21">
        <v>45556</v>
      </c>
      <c r="T232" t="s">
        <v>28</v>
      </c>
      <c r="U232" t="s">
        <v>641</v>
      </c>
      <c r="V232">
        <v>16484.848484848488</v>
      </c>
      <c r="W232">
        <v>107151.51515151517</v>
      </c>
      <c r="X232">
        <v>206060.60606060608</v>
      </c>
      <c r="Y232">
        <v>0</v>
      </c>
      <c r="Z232" t="s">
        <v>1040</v>
      </c>
      <c r="AA232" t="str">
        <f t="shared" si="3"/>
        <v>26063956800000044460</v>
      </c>
      <c r="AB232" t="e">
        <f>VLOOKUP(AA232,Balance!AA:AA,1,FALSE)</f>
        <v>#N/A</v>
      </c>
    </row>
    <row r="233" spans="1:28" x14ac:dyDescent="0.25">
      <c r="A233" t="s">
        <v>656</v>
      </c>
      <c r="B233">
        <v>26063993</v>
      </c>
      <c r="C233" t="s">
        <v>686</v>
      </c>
      <c r="D233" t="s">
        <v>21</v>
      </c>
      <c r="F233" t="s">
        <v>687</v>
      </c>
      <c r="G233" t="s">
        <v>688</v>
      </c>
      <c r="H233">
        <v>0</v>
      </c>
      <c r="I233" s="21">
        <v>44354</v>
      </c>
      <c r="J233" t="s">
        <v>59</v>
      </c>
      <c r="K233" t="s">
        <v>60</v>
      </c>
      <c r="L233">
        <v>36</v>
      </c>
      <c r="M233" s="13">
        <v>10000000</v>
      </c>
      <c r="N233">
        <v>334052</v>
      </c>
      <c r="O233">
        <v>10</v>
      </c>
      <c r="P233" t="s">
        <v>24</v>
      </c>
      <c r="Q233" s="21">
        <v>44384</v>
      </c>
      <c r="R233" s="21">
        <v>45450</v>
      </c>
      <c r="T233" t="s">
        <v>28</v>
      </c>
      <c r="U233" t="s">
        <v>641</v>
      </c>
      <c r="V233">
        <v>4722.2222222222217</v>
      </c>
      <c r="W233">
        <v>94444.444444444453</v>
      </c>
      <c r="X233">
        <v>207777.77777777778</v>
      </c>
      <c r="Y233">
        <v>146388.88888888891</v>
      </c>
      <c r="Z233" t="s">
        <v>1040</v>
      </c>
      <c r="AA233" t="str">
        <f t="shared" si="3"/>
        <v>260639931000000044354</v>
      </c>
      <c r="AB233" t="e">
        <f>VLOOKUP(AA233,Balance!AA:AA,1,FALSE)</f>
        <v>#N/A</v>
      </c>
    </row>
    <row r="234" spans="1:28" x14ac:dyDescent="0.25">
      <c r="A234" t="s">
        <v>693</v>
      </c>
      <c r="B234">
        <v>14516746</v>
      </c>
      <c r="C234" t="s">
        <v>695</v>
      </c>
      <c r="D234" t="s">
        <v>21</v>
      </c>
      <c r="E234">
        <v>26094</v>
      </c>
      <c r="F234" t="s">
        <v>696</v>
      </c>
      <c r="G234" t="s">
        <v>697</v>
      </c>
      <c r="H234">
        <v>0</v>
      </c>
      <c r="I234" s="21">
        <v>44355</v>
      </c>
      <c r="J234" t="s">
        <v>22</v>
      </c>
      <c r="K234" t="s">
        <v>23</v>
      </c>
      <c r="L234">
        <v>18</v>
      </c>
      <c r="M234" s="13">
        <v>15000000</v>
      </c>
      <c r="N234">
        <v>933930</v>
      </c>
      <c r="O234">
        <v>12</v>
      </c>
      <c r="P234" t="s">
        <v>24</v>
      </c>
      <c r="Q234" s="21">
        <v>44385</v>
      </c>
      <c r="R234" s="21">
        <v>44903</v>
      </c>
      <c r="T234" t="s">
        <v>25</v>
      </c>
      <c r="U234" t="s">
        <v>598</v>
      </c>
      <c r="V234">
        <v>0</v>
      </c>
      <c r="W234">
        <v>0</v>
      </c>
      <c r="X234">
        <v>113333.33333333334</v>
      </c>
      <c r="Y234">
        <v>184166.66666666669</v>
      </c>
      <c r="Z234" t="s">
        <v>1040</v>
      </c>
      <c r="AA234" t="str">
        <f t="shared" si="3"/>
        <v>145167461500000044355</v>
      </c>
      <c r="AB234" t="e">
        <f>VLOOKUP(AA234,Balance!AA:AA,1,FALSE)</f>
        <v>#N/A</v>
      </c>
    </row>
    <row r="235" spans="1:28" x14ac:dyDescent="0.25">
      <c r="A235" t="s">
        <v>693</v>
      </c>
      <c r="B235">
        <v>14536846</v>
      </c>
      <c r="C235" t="s">
        <v>699</v>
      </c>
      <c r="D235" t="s">
        <v>21</v>
      </c>
      <c r="F235" t="s">
        <v>700</v>
      </c>
      <c r="G235" t="s">
        <v>701</v>
      </c>
      <c r="H235">
        <v>0</v>
      </c>
      <c r="I235" s="21">
        <v>44397</v>
      </c>
      <c r="J235" t="s">
        <v>22</v>
      </c>
      <c r="K235" t="s">
        <v>23</v>
      </c>
      <c r="L235">
        <v>18</v>
      </c>
      <c r="M235" s="13">
        <v>7000000</v>
      </c>
      <c r="N235">
        <v>435834</v>
      </c>
      <c r="O235">
        <v>12</v>
      </c>
      <c r="P235" t="s">
        <v>24</v>
      </c>
      <c r="Q235" s="21">
        <v>44428</v>
      </c>
      <c r="R235" s="21">
        <v>44946</v>
      </c>
      <c r="T235" t="s">
        <v>25</v>
      </c>
      <c r="U235" t="s">
        <v>598</v>
      </c>
      <c r="V235">
        <v>0</v>
      </c>
      <c r="W235">
        <v>0</v>
      </c>
      <c r="X235">
        <v>66111.111111111109</v>
      </c>
      <c r="Y235">
        <v>92555.555555555562</v>
      </c>
      <c r="Z235" t="s">
        <v>1040</v>
      </c>
      <c r="AA235" t="str">
        <f t="shared" si="3"/>
        <v>14536846700000044397</v>
      </c>
      <c r="AB235" t="e">
        <f>VLOOKUP(AA235,Balance!AA:AA,1,FALSE)</f>
        <v>#N/A</v>
      </c>
    </row>
    <row r="236" spans="1:28" x14ac:dyDescent="0.25">
      <c r="A236" t="s">
        <v>702</v>
      </c>
      <c r="B236">
        <v>25938948</v>
      </c>
      <c r="C236" t="s">
        <v>704</v>
      </c>
      <c r="D236" t="s">
        <v>21</v>
      </c>
      <c r="F236" t="s">
        <v>705</v>
      </c>
      <c r="G236" t="s">
        <v>706</v>
      </c>
      <c r="H236">
        <v>0</v>
      </c>
      <c r="I236" s="21">
        <v>44484</v>
      </c>
      <c r="J236" t="s">
        <v>22</v>
      </c>
      <c r="K236" t="s">
        <v>23</v>
      </c>
      <c r="L236">
        <v>12</v>
      </c>
      <c r="M236" s="13">
        <v>2000000</v>
      </c>
      <c r="N236">
        <v>179169</v>
      </c>
      <c r="O236">
        <v>11</v>
      </c>
      <c r="P236" t="s">
        <v>24</v>
      </c>
      <c r="Q236" s="21">
        <v>44515</v>
      </c>
      <c r="R236" s="21">
        <v>44849</v>
      </c>
      <c r="T236" t="s">
        <v>25</v>
      </c>
      <c r="U236" t="s">
        <v>707</v>
      </c>
      <c r="V236">
        <v>0</v>
      </c>
      <c r="W236">
        <v>0</v>
      </c>
      <c r="X236">
        <v>14166.666666666668</v>
      </c>
      <c r="Y236">
        <v>31166.666666666668</v>
      </c>
      <c r="Z236" t="s">
        <v>1040</v>
      </c>
      <c r="AA236" t="str">
        <f t="shared" si="3"/>
        <v>25938948200000044484</v>
      </c>
      <c r="AB236" t="e">
        <f>VLOOKUP(AA236,Balance!AA:AA,1,FALSE)</f>
        <v>#N/A</v>
      </c>
    </row>
    <row r="237" spans="1:28" x14ac:dyDescent="0.25">
      <c r="A237" t="s">
        <v>702</v>
      </c>
      <c r="B237">
        <v>25938948</v>
      </c>
      <c r="C237" t="s">
        <v>704</v>
      </c>
      <c r="D237" t="s">
        <v>21</v>
      </c>
      <c r="F237" t="s">
        <v>705</v>
      </c>
      <c r="G237" t="s">
        <v>708</v>
      </c>
      <c r="H237">
        <v>0</v>
      </c>
      <c r="I237" s="21">
        <v>44908</v>
      </c>
      <c r="J237" t="s">
        <v>22</v>
      </c>
      <c r="K237" t="s">
        <v>23</v>
      </c>
      <c r="L237">
        <v>12</v>
      </c>
      <c r="M237" s="13">
        <v>1000000</v>
      </c>
      <c r="N237">
        <v>89584</v>
      </c>
      <c r="O237">
        <v>11</v>
      </c>
      <c r="P237" t="s">
        <v>24</v>
      </c>
      <c r="Q237" s="21">
        <v>44939</v>
      </c>
      <c r="R237" s="21">
        <v>45273</v>
      </c>
      <c r="T237" t="s">
        <v>25</v>
      </c>
      <c r="U237" t="s">
        <v>707</v>
      </c>
      <c r="V237">
        <v>0</v>
      </c>
      <c r="W237">
        <v>11333.333333333334</v>
      </c>
      <c r="X237">
        <v>0</v>
      </c>
      <c r="Y237">
        <v>0</v>
      </c>
      <c r="Z237" t="s">
        <v>1040</v>
      </c>
      <c r="AA237" t="str">
        <f t="shared" si="3"/>
        <v>25938948100000044908</v>
      </c>
      <c r="AB237" t="e">
        <f>VLOOKUP(AA237,Balance!AA:AA,1,FALSE)</f>
        <v>#N/A</v>
      </c>
    </row>
    <row r="238" spans="1:28" x14ac:dyDescent="0.25">
      <c r="A238" t="s">
        <v>702</v>
      </c>
      <c r="B238">
        <v>25963870</v>
      </c>
      <c r="C238" t="s">
        <v>711</v>
      </c>
      <c r="D238" t="s">
        <v>21</v>
      </c>
      <c r="F238" t="s">
        <v>712</v>
      </c>
      <c r="G238" t="s">
        <v>713</v>
      </c>
      <c r="H238">
        <v>0</v>
      </c>
      <c r="I238" s="21">
        <v>44302</v>
      </c>
      <c r="J238" t="s">
        <v>22</v>
      </c>
      <c r="K238" t="s">
        <v>23</v>
      </c>
      <c r="L238">
        <v>18</v>
      </c>
      <c r="M238" s="13">
        <v>3000000</v>
      </c>
      <c r="N238">
        <v>185140</v>
      </c>
      <c r="O238">
        <v>11</v>
      </c>
      <c r="P238" t="s">
        <v>24</v>
      </c>
      <c r="Q238" s="21">
        <v>44332</v>
      </c>
      <c r="R238" s="21">
        <v>44850</v>
      </c>
      <c r="T238" t="s">
        <v>25</v>
      </c>
      <c r="U238" t="s">
        <v>707</v>
      </c>
      <c r="V238">
        <v>0</v>
      </c>
      <c r="W238">
        <v>0</v>
      </c>
      <c r="X238">
        <v>14166.666666666668</v>
      </c>
      <c r="Y238">
        <v>79333.333333333343</v>
      </c>
      <c r="Z238" t="s">
        <v>1040</v>
      </c>
      <c r="AA238" t="str">
        <f t="shared" si="3"/>
        <v>25963870300000044302</v>
      </c>
      <c r="AB238" t="e">
        <f>VLOOKUP(AA238,Balance!AA:AA,1,FALSE)</f>
        <v>#N/A</v>
      </c>
    </row>
    <row r="239" spans="1:28" x14ac:dyDescent="0.25">
      <c r="A239" t="s">
        <v>702</v>
      </c>
      <c r="B239">
        <v>26001200</v>
      </c>
      <c r="C239" t="s">
        <v>723</v>
      </c>
      <c r="D239" t="s">
        <v>21</v>
      </c>
      <c r="F239" t="s">
        <v>724</v>
      </c>
      <c r="G239" t="s">
        <v>725</v>
      </c>
      <c r="H239">
        <v>0</v>
      </c>
      <c r="I239" s="21">
        <v>44281</v>
      </c>
      <c r="J239" t="s">
        <v>22</v>
      </c>
      <c r="K239" t="s">
        <v>23</v>
      </c>
      <c r="L239">
        <v>6</v>
      </c>
      <c r="M239" s="13">
        <v>1000000</v>
      </c>
      <c r="N239">
        <v>172746</v>
      </c>
      <c r="O239">
        <v>10</v>
      </c>
      <c r="P239" t="s">
        <v>24</v>
      </c>
      <c r="Q239" s="21">
        <v>44312</v>
      </c>
      <c r="R239" s="21">
        <v>44465</v>
      </c>
      <c r="T239" t="s">
        <v>25</v>
      </c>
      <c r="U239" t="s">
        <v>707</v>
      </c>
      <c r="V239">
        <v>0</v>
      </c>
      <c r="W239">
        <v>0</v>
      </c>
      <c r="X239">
        <v>0</v>
      </c>
      <c r="Y239">
        <v>11333.333333333334</v>
      </c>
      <c r="Z239" t="s">
        <v>1040</v>
      </c>
      <c r="AA239" t="str">
        <f t="shared" si="3"/>
        <v>26001200100000044281</v>
      </c>
      <c r="AB239" t="e">
        <f>VLOOKUP(AA239,Balance!AA:AA,1,FALSE)</f>
        <v>#N/A</v>
      </c>
    </row>
    <row r="240" spans="1:28" x14ac:dyDescent="0.25">
      <c r="A240" t="s">
        <v>702</v>
      </c>
      <c r="B240">
        <v>27530860</v>
      </c>
      <c r="C240" t="s">
        <v>743</v>
      </c>
      <c r="D240" t="s">
        <v>21</v>
      </c>
      <c r="F240" t="s">
        <v>744</v>
      </c>
      <c r="G240" t="s">
        <v>745</v>
      </c>
      <c r="H240">
        <v>0</v>
      </c>
      <c r="I240" s="21">
        <v>44992</v>
      </c>
      <c r="J240" t="s">
        <v>22</v>
      </c>
      <c r="K240" t="s">
        <v>23</v>
      </c>
      <c r="L240">
        <v>12</v>
      </c>
      <c r="M240" s="13">
        <v>2000000</v>
      </c>
      <c r="N240">
        <v>180270</v>
      </c>
      <c r="O240">
        <v>12</v>
      </c>
      <c r="P240" t="s">
        <v>24</v>
      </c>
      <c r="Q240" s="21">
        <v>45023</v>
      </c>
      <c r="R240" s="21">
        <v>45358</v>
      </c>
      <c r="T240" t="s">
        <v>25</v>
      </c>
      <c r="U240" t="s">
        <v>707</v>
      </c>
      <c r="V240">
        <v>0</v>
      </c>
      <c r="W240">
        <v>39666.666666666672</v>
      </c>
      <c r="X240">
        <v>0</v>
      </c>
      <c r="Y240">
        <v>0</v>
      </c>
      <c r="Z240" t="s">
        <v>1040</v>
      </c>
      <c r="AA240" t="str">
        <f t="shared" si="3"/>
        <v>27530860200000044992</v>
      </c>
      <c r="AB240" t="e">
        <f>VLOOKUP(AA240,Balance!AA:AA,1,FALSE)</f>
        <v>#N/A</v>
      </c>
    </row>
    <row r="241" spans="1:28" x14ac:dyDescent="0.25">
      <c r="A241" t="s">
        <v>750</v>
      </c>
      <c r="B241">
        <v>25938728</v>
      </c>
      <c r="C241" t="s">
        <v>752</v>
      </c>
      <c r="D241" t="s">
        <v>21</v>
      </c>
      <c r="F241" t="s">
        <v>753</v>
      </c>
      <c r="G241" t="s">
        <v>754</v>
      </c>
      <c r="H241">
        <v>0</v>
      </c>
      <c r="I241" s="21">
        <v>44265</v>
      </c>
      <c r="J241" t="s">
        <v>22</v>
      </c>
      <c r="K241" t="s">
        <v>23</v>
      </c>
      <c r="L241">
        <v>12</v>
      </c>
      <c r="M241" s="13">
        <v>7000000</v>
      </c>
      <c r="N241">
        <v>615603</v>
      </c>
      <c r="O241">
        <v>8</v>
      </c>
      <c r="P241" t="s">
        <v>24</v>
      </c>
      <c r="Q241" s="21">
        <v>44296</v>
      </c>
      <c r="R241" s="21">
        <v>44630</v>
      </c>
      <c r="T241" t="s">
        <v>25</v>
      </c>
      <c r="U241" t="s">
        <v>755</v>
      </c>
      <c r="V241">
        <v>0</v>
      </c>
      <c r="W241">
        <v>0</v>
      </c>
      <c r="X241">
        <v>0</v>
      </c>
      <c r="Y241">
        <v>138833.33333333334</v>
      </c>
      <c r="Z241" t="s">
        <v>1040</v>
      </c>
      <c r="AA241" t="str">
        <f t="shared" si="3"/>
        <v>25938728700000044265</v>
      </c>
      <c r="AB241" t="e">
        <f>VLOOKUP(AA241,Balance!AA:AA,1,FALSE)</f>
        <v>#N/A</v>
      </c>
    </row>
    <row r="242" spans="1:28" x14ac:dyDescent="0.25">
      <c r="A242" t="s">
        <v>750</v>
      </c>
      <c r="B242">
        <v>25938728</v>
      </c>
      <c r="C242" t="s">
        <v>752</v>
      </c>
      <c r="D242" t="s">
        <v>21</v>
      </c>
      <c r="F242" t="s">
        <v>753</v>
      </c>
      <c r="G242" t="s">
        <v>756</v>
      </c>
      <c r="H242">
        <v>0</v>
      </c>
      <c r="I242" s="21">
        <v>44853</v>
      </c>
      <c r="J242" t="s">
        <v>22</v>
      </c>
      <c r="K242" t="s">
        <v>23</v>
      </c>
      <c r="L242">
        <v>18</v>
      </c>
      <c r="M242" s="13">
        <v>10000000</v>
      </c>
      <c r="N242">
        <v>606245</v>
      </c>
      <c r="O242">
        <v>9</v>
      </c>
      <c r="P242" t="s">
        <v>24</v>
      </c>
      <c r="Q242" s="21">
        <v>44884</v>
      </c>
      <c r="R242" s="21">
        <v>45401</v>
      </c>
      <c r="T242" t="s">
        <v>28</v>
      </c>
      <c r="U242" t="s">
        <v>755</v>
      </c>
      <c r="V242">
        <v>0</v>
      </c>
      <c r="W242">
        <v>151111.11111111112</v>
      </c>
      <c r="X242">
        <v>160555.55555555556</v>
      </c>
      <c r="Y242">
        <v>0</v>
      </c>
      <c r="Z242" t="s">
        <v>1040</v>
      </c>
      <c r="AA242" t="str">
        <f t="shared" si="3"/>
        <v>259387281000000044853</v>
      </c>
      <c r="AB242" t="e">
        <f>VLOOKUP(AA242,Balance!AA:AA,1,FALSE)</f>
        <v>#N/A</v>
      </c>
    </row>
    <row r="243" spans="1:28" x14ac:dyDescent="0.25">
      <c r="A243" t="s">
        <v>750</v>
      </c>
      <c r="B243">
        <v>52427161</v>
      </c>
      <c r="C243" t="s">
        <v>779</v>
      </c>
      <c r="D243" t="s">
        <v>21</v>
      </c>
      <c r="F243" t="s">
        <v>780</v>
      </c>
      <c r="G243" t="s">
        <v>781</v>
      </c>
      <c r="H243">
        <v>0</v>
      </c>
      <c r="I243" s="21">
        <v>44365</v>
      </c>
      <c r="J243" t="s">
        <v>22</v>
      </c>
      <c r="K243" t="s">
        <v>23</v>
      </c>
      <c r="L243">
        <v>24</v>
      </c>
      <c r="M243" s="13">
        <v>9000000</v>
      </c>
      <c r="N243">
        <v>420428</v>
      </c>
      <c r="O243">
        <v>9</v>
      </c>
      <c r="P243" t="s">
        <v>24</v>
      </c>
      <c r="Q243" s="21">
        <v>44395</v>
      </c>
      <c r="R243" s="21">
        <v>45095</v>
      </c>
      <c r="T243" t="s">
        <v>25</v>
      </c>
      <c r="U243" t="s">
        <v>755</v>
      </c>
      <c r="V243">
        <v>0</v>
      </c>
      <c r="W243">
        <v>6375.0000000000009</v>
      </c>
      <c r="X243">
        <v>127500.00000000001</v>
      </c>
      <c r="Y243">
        <v>121125.00000000001</v>
      </c>
      <c r="Z243" t="s">
        <v>1040</v>
      </c>
      <c r="AA243" t="str">
        <f t="shared" si="3"/>
        <v>52427161900000044365</v>
      </c>
      <c r="AB243" t="e">
        <f>VLOOKUP(AA243,Balance!AA:AA,1,FALSE)</f>
        <v>#N/A</v>
      </c>
    </row>
    <row r="244" spans="1:28" x14ac:dyDescent="0.25">
      <c r="A244" t="s">
        <v>786</v>
      </c>
      <c r="B244">
        <v>26032742</v>
      </c>
      <c r="C244" t="s">
        <v>788</v>
      </c>
      <c r="D244" t="s">
        <v>21</v>
      </c>
      <c r="F244" t="s">
        <v>789</v>
      </c>
      <c r="G244" t="s">
        <v>790</v>
      </c>
      <c r="H244">
        <v>0</v>
      </c>
      <c r="I244" s="21">
        <v>44249</v>
      </c>
      <c r="J244" t="s">
        <v>22</v>
      </c>
      <c r="K244" t="s">
        <v>23</v>
      </c>
      <c r="L244">
        <v>24</v>
      </c>
      <c r="M244" s="13">
        <v>28000000</v>
      </c>
      <c r="N244">
        <v>1354157</v>
      </c>
      <c r="O244">
        <v>12</v>
      </c>
      <c r="P244" t="s">
        <v>24</v>
      </c>
      <c r="Q244" s="21">
        <v>44277</v>
      </c>
      <c r="R244" s="21">
        <v>44979</v>
      </c>
      <c r="T244" t="s">
        <v>25</v>
      </c>
      <c r="U244" t="s">
        <v>598</v>
      </c>
      <c r="V244">
        <v>0</v>
      </c>
      <c r="W244">
        <v>0</v>
      </c>
      <c r="X244">
        <v>238000.00000000003</v>
      </c>
      <c r="Y244">
        <v>714000</v>
      </c>
      <c r="Z244" t="s">
        <v>1040</v>
      </c>
      <c r="AA244" t="str">
        <f t="shared" si="3"/>
        <v>260327422800000044249</v>
      </c>
      <c r="AB244" t="e">
        <f>VLOOKUP(AA244,Balance!AA:AA,1,FALSE)</f>
        <v>#N/A</v>
      </c>
    </row>
    <row r="245" spans="1:28" x14ac:dyDescent="0.25">
      <c r="A245" t="s">
        <v>786</v>
      </c>
      <c r="B245">
        <v>26056540</v>
      </c>
      <c r="C245" t="s">
        <v>793</v>
      </c>
      <c r="D245" t="s">
        <v>21</v>
      </c>
      <c r="F245" t="s">
        <v>794</v>
      </c>
      <c r="G245" t="s">
        <v>795</v>
      </c>
      <c r="H245">
        <v>0</v>
      </c>
      <c r="I245" s="21">
        <v>44624</v>
      </c>
      <c r="J245" t="s">
        <v>22</v>
      </c>
      <c r="K245" t="s">
        <v>23</v>
      </c>
      <c r="L245">
        <v>24</v>
      </c>
      <c r="M245" s="13">
        <v>10000000</v>
      </c>
      <c r="N245">
        <v>483627</v>
      </c>
      <c r="O245">
        <v>12</v>
      </c>
      <c r="P245" t="s">
        <v>24</v>
      </c>
      <c r="Q245" s="21">
        <v>44655</v>
      </c>
      <c r="R245" s="21">
        <v>45355</v>
      </c>
      <c r="T245" t="s">
        <v>25</v>
      </c>
      <c r="U245" t="s">
        <v>598</v>
      </c>
      <c r="V245">
        <v>0</v>
      </c>
      <c r="W245">
        <v>99166.666666666672</v>
      </c>
      <c r="X245">
        <v>269166.66666666669</v>
      </c>
      <c r="Y245">
        <v>0</v>
      </c>
      <c r="Z245" t="s">
        <v>1040</v>
      </c>
      <c r="AA245" t="str">
        <f t="shared" si="3"/>
        <v>260565401000000044624</v>
      </c>
      <c r="AB245" t="e">
        <f>VLOOKUP(AA245,Balance!AA:AA,1,FALSE)</f>
        <v>#N/A</v>
      </c>
    </row>
    <row r="246" spans="1:28" x14ac:dyDescent="0.25">
      <c r="A246" t="s">
        <v>796</v>
      </c>
      <c r="B246">
        <v>25926941</v>
      </c>
      <c r="C246" t="s">
        <v>798</v>
      </c>
      <c r="D246" t="s">
        <v>21</v>
      </c>
      <c r="F246" t="s">
        <v>799</v>
      </c>
      <c r="G246" t="s">
        <v>800</v>
      </c>
      <c r="H246">
        <v>0</v>
      </c>
      <c r="I246" s="21">
        <v>44382</v>
      </c>
      <c r="J246" t="s">
        <v>22</v>
      </c>
      <c r="K246" t="s">
        <v>23</v>
      </c>
      <c r="L246">
        <v>12</v>
      </c>
      <c r="M246" s="13">
        <v>2000000</v>
      </c>
      <c r="N246">
        <v>178071</v>
      </c>
      <c r="O246">
        <v>10</v>
      </c>
      <c r="P246" t="s">
        <v>24</v>
      </c>
      <c r="Q246" s="21">
        <v>44413</v>
      </c>
      <c r="R246" s="21">
        <v>44747</v>
      </c>
      <c r="T246" t="s">
        <v>25</v>
      </c>
      <c r="U246" t="s">
        <v>641</v>
      </c>
      <c r="V246">
        <v>0</v>
      </c>
      <c r="W246">
        <v>0</v>
      </c>
      <c r="X246">
        <v>5666.666666666667</v>
      </c>
      <c r="Y246">
        <v>22666.666666666668</v>
      </c>
      <c r="Z246" t="s">
        <v>1040</v>
      </c>
      <c r="AA246" t="str">
        <f t="shared" si="3"/>
        <v>25926941200000044382</v>
      </c>
      <c r="AB246" t="e">
        <f>VLOOKUP(AA246,Balance!AA:AA,1,FALSE)</f>
        <v>#N/A</v>
      </c>
    </row>
    <row r="247" spans="1:28" x14ac:dyDescent="0.25">
      <c r="A247" t="s">
        <v>830</v>
      </c>
      <c r="B247">
        <v>32560711</v>
      </c>
      <c r="C247" t="s">
        <v>836</v>
      </c>
      <c r="D247" t="s">
        <v>21</v>
      </c>
      <c r="F247" t="s">
        <v>837</v>
      </c>
      <c r="G247" t="s">
        <v>838</v>
      </c>
      <c r="H247">
        <v>0</v>
      </c>
      <c r="I247" s="21">
        <v>44634</v>
      </c>
      <c r="J247" t="s">
        <v>22</v>
      </c>
      <c r="K247" t="s">
        <v>23</v>
      </c>
      <c r="L247">
        <v>24</v>
      </c>
      <c r="M247" s="13">
        <v>6000000</v>
      </c>
      <c r="N247">
        <v>280285</v>
      </c>
      <c r="O247">
        <v>9</v>
      </c>
      <c r="P247" t="s">
        <v>24</v>
      </c>
      <c r="Q247" s="21">
        <v>44665</v>
      </c>
      <c r="R247" s="21">
        <v>45365</v>
      </c>
      <c r="T247" t="s">
        <v>25</v>
      </c>
      <c r="U247" t="s">
        <v>300</v>
      </c>
      <c r="V247">
        <v>0</v>
      </c>
      <c r="W247">
        <v>59500.000000000007</v>
      </c>
      <c r="X247">
        <v>161500</v>
      </c>
      <c r="Y247">
        <v>0</v>
      </c>
      <c r="Z247" t="s">
        <v>1040</v>
      </c>
      <c r="AA247" t="str">
        <f t="shared" si="3"/>
        <v>32560711600000044634</v>
      </c>
      <c r="AB247" t="e">
        <f>VLOOKUP(AA247,Balance!AA:AA,1,FALSE)</f>
        <v>#N/A</v>
      </c>
    </row>
    <row r="248" spans="1:28" x14ac:dyDescent="0.25">
      <c r="A248" t="s">
        <v>839</v>
      </c>
      <c r="B248">
        <v>25950322</v>
      </c>
      <c r="C248" t="s">
        <v>841</v>
      </c>
      <c r="D248" t="s">
        <v>21</v>
      </c>
      <c r="F248" t="s">
        <v>842</v>
      </c>
      <c r="G248" t="s">
        <v>843</v>
      </c>
      <c r="H248">
        <v>0</v>
      </c>
      <c r="I248" s="21">
        <v>44687</v>
      </c>
      <c r="J248" t="s">
        <v>22</v>
      </c>
      <c r="K248" t="s">
        <v>23</v>
      </c>
      <c r="L248">
        <v>18</v>
      </c>
      <c r="M248" s="13">
        <v>5000000</v>
      </c>
      <c r="N248">
        <v>305838</v>
      </c>
      <c r="O248">
        <v>10</v>
      </c>
      <c r="P248" t="s">
        <v>24</v>
      </c>
      <c r="Q248" s="21">
        <v>44718</v>
      </c>
      <c r="R248" s="21">
        <v>45236</v>
      </c>
      <c r="T248" t="s">
        <v>25</v>
      </c>
      <c r="U248" t="s">
        <v>285</v>
      </c>
      <c r="V248">
        <v>0</v>
      </c>
      <c r="W248">
        <v>28333.333333333336</v>
      </c>
      <c r="X248">
        <v>141666.66666666669</v>
      </c>
      <c r="Y248">
        <v>0</v>
      </c>
      <c r="Z248" t="s">
        <v>1040</v>
      </c>
      <c r="AA248" t="str">
        <f t="shared" si="3"/>
        <v>25950322500000044687</v>
      </c>
      <c r="AB248" t="e">
        <f>VLOOKUP(AA248,Balance!AA:AA,1,FALSE)</f>
        <v>#N/A</v>
      </c>
    </row>
    <row r="249" spans="1:28" x14ac:dyDescent="0.25">
      <c r="A249" t="s">
        <v>839</v>
      </c>
      <c r="B249">
        <v>25960704</v>
      </c>
      <c r="C249" t="s">
        <v>845</v>
      </c>
      <c r="D249" t="s">
        <v>21</v>
      </c>
      <c r="F249" t="s">
        <v>846</v>
      </c>
      <c r="G249" t="s">
        <v>847</v>
      </c>
      <c r="H249">
        <v>0</v>
      </c>
      <c r="I249" s="21">
        <v>44253</v>
      </c>
      <c r="J249" t="s">
        <v>59</v>
      </c>
      <c r="K249" t="s">
        <v>60</v>
      </c>
      <c r="L249">
        <v>36</v>
      </c>
      <c r="M249" s="13">
        <v>25000000</v>
      </c>
      <c r="N249">
        <v>834990</v>
      </c>
      <c r="O249">
        <v>9.99</v>
      </c>
      <c r="P249" t="s">
        <v>24</v>
      </c>
      <c r="Q249" s="21">
        <v>44281</v>
      </c>
      <c r="R249" s="21">
        <v>45348</v>
      </c>
      <c r="T249" t="s">
        <v>25</v>
      </c>
      <c r="U249" t="s">
        <v>285</v>
      </c>
      <c r="V249">
        <v>0</v>
      </c>
      <c r="W249">
        <v>141666.66666666669</v>
      </c>
      <c r="X249">
        <v>425000.00000000006</v>
      </c>
      <c r="Y249">
        <v>708333.33333333337</v>
      </c>
      <c r="Z249" t="s">
        <v>1040</v>
      </c>
      <c r="AA249" t="str">
        <f t="shared" si="3"/>
        <v>259607042500000044253</v>
      </c>
      <c r="AB249" t="e">
        <f>VLOOKUP(AA249,Balance!AA:AA,1,FALSE)</f>
        <v>#N/A</v>
      </c>
    </row>
    <row r="250" spans="1:28" x14ac:dyDescent="0.25">
      <c r="A250" t="s">
        <v>877</v>
      </c>
      <c r="B250">
        <v>26017788</v>
      </c>
      <c r="C250" t="s">
        <v>879</v>
      </c>
      <c r="D250" t="s">
        <v>21</v>
      </c>
      <c r="F250" t="s">
        <v>880</v>
      </c>
      <c r="G250" t="s">
        <v>881</v>
      </c>
      <c r="H250">
        <v>0</v>
      </c>
      <c r="I250" s="21">
        <v>44628</v>
      </c>
      <c r="J250" t="s">
        <v>22</v>
      </c>
      <c r="K250" t="s">
        <v>23</v>
      </c>
      <c r="L250">
        <v>24</v>
      </c>
      <c r="M250" s="13">
        <v>15000000</v>
      </c>
      <c r="N250">
        <v>700713</v>
      </c>
      <c r="O250">
        <v>9</v>
      </c>
      <c r="P250" t="s">
        <v>24</v>
      </c>
      <c r="Q250" s="21">
        <v>44659</v>
      </c>
      <c r="R250" s="21">
        <v>45359</v>
      </c>
      <c r="T250" t="s">
        <v>28</v>
      </c>
      <c r="U250" t="s">
        <v>310</v>
      </c>
      <c r="V250">
        <v>0</v>
      </c>
      <c r="W250">
        <v>148750</v>
      </c>
      <c r="X250">
        <v>403750</v>
      </c>
      <c r="Y250">
        <v>0</v>
      </c>
      <c r="Z250" t="s">
        <v>1040</v>
      </c>
      <c r="AA250" t="str">
        <f t="shared" si="3"/>
        <v>260177881500000044628</v>
      </c>
      <c r="AB250" t="e">
        <f>VLOOKUP(AA250,Balance!AA:AA,1,FALSE)</f>
        <v>#N/A</v>
      </c>
    </row>
    <row r="251" spans="1:28" x14ac:dyDescent="0.25">
      <c r="A251" t="s">
        <v>882</v>
      </c>
      <c r="B251">
        <v>26028413</v>
      </c>
      <c r="C251" t="s">
        <v>892</v>
      </c>
      <c r="D251" t="s">
        <v>21</v>
      </c>
      <c r="F251" t="s">
        <v>893</v>
      </c>
      <c r="G251" t="s">
        <v>894</v>
      </c>
      <c r="H251">
        <v>0</v>
      </c>
      <c r="I251" s="21">
        <v>44305</v>
      </c>
      <c r="J251" t="s">
        <v>59</v>
      </c>
      <c r="K251" t="s">
        <v>60</v>
      </c>
      <c r="L251">
        <v>36</v>
      </c>
      <c r="M251" s="13">
        <v>30000000</v>
      </c>
      <c r="N251">
        <v>1001988</v>
      </c>
      <c r="O251">
        <v>9.99</v>
      </c>
      <c r="P251" t="s">
        <v>24</v>
      </c>
      <c r="Q251" s="21">
        <v>44335</v>
      </c>
      <c r="R251" s="21">
        <v>45401</v>
      </c>
      <c r="T251" t="s">
        <v>28</v>
      </c>
      <c r="U251" t="s">
        <v>505</v>
      </c>
      <c r="V251">
        <v>0</v>
      </c>
      <c r="W251">
        <v>226666.66666666666</v>
      </c>
      <c r="X251">
        <v>566666.66666666674</v>
      </c>
      <c r="Y251">
        <v>906666.66666666674</v>
      </c>
      <c r="Z251" t="s">
        <v>1040</v>
      </c>
      <c r="AA251" t="str">
        <f t="shared" si="3"/>
        <v>260284133000000044305</v>
      </c>
      <c r="AB251" t="e">
        <f>VLOOKUP(AA251,Balance!AA:AA,1,FALSE)</f>
        <v>#N/A</v>
      </c>
    </row>
    <row r="252" spans="1:28" x14ac:dyDescent="0.25">
      <c r="A252" t="s">
        <v>895</v>
      </c>
      <c r="B252">
        <v>26036134</v>
      </c>
      <c r="C252" t="s">
        <v>897</v>
      </c>
      <c r="D252" t="s">
        <v>21</v>
      </c>
      <c r="F252" t="s">
        <v>898</v>
      </c>
      <c r="G252" t="s">
        <v>899</v>
      </c>
      <c r="H252">
        <v>0</v>
      </c>
      <c r="I252" s="21">
        <v>44733</v>
      </c>
      <c r="J252" t="s">
        <v>22</v>
      </c>
      <c r="K252" t="s">
        <v>23</v>
      </c>
      <c r="L252">
        <v>24</v>
      </c>
      <c r="M252" s="13">
        <v>33600000</v>
      </c>
      <c r="N252">
        <v>1586097</v>
      </c>
      <c r="O252">
        <v>9.9</v>
      </c>
      <c r="P252" t="s">
        <v>24</v>
      </c>
      <c r="Q252" s="21">
        <v>44763</v>
      </c>
      <c r="R252" s="21">
        <v>45464</v>
      </c>
      <c r="T252" t="s">
        <v>28</v>
      </c>
      <c r="U252" t="s">
        <v>707</v>
      </c>
      <c r="V252">
        <v>23800</v>
      </c>
      <c r="W252">
        <v>476000.00000000006</v>
      </c>
      <c r="X252">
        <v>452200.00000000006</v>
      </c>
      <c r="Y252">
        <v>0</v>
      </c>
      <c r="Z252" t="s">
        <v>1040</v>
      </c>
      <c r="AA252" t="str">
        <f t="shared" si="3"/>
        <v>260361343360000044733</v>
      </c>
      <c r="AB252" t="e">
        <f>VLOOKUP(AA252,Balance!AA:AA,1,FALSE)</f>
        <v>#N/A</v>
      </c>
    </row>
    <row r="253" spans="1:28" x14ac:dyDescent="0.25">
      <c r="A253" t="s">
        <v>924</v>
      </c>
      <c r="B253">
        <v>26010818</v>
      </c>
      <c r="C253" t="s">
        <v>926</v>
      </c>
      <c r="D253" t="s">
        <v>21</v>
      </c>
      <c r="F253" t="s">
        <v>927</v>
      </c>
      <c r="G253" t="s">
        <v>928</v>
      </c>
      <c r="H253">
        <v>0</v>
      </c>
      <c r="I253" s="21">
        <v>44253</v>
      </c>
      <c r="J253" t="s">
        <v>59</v>
      </c>
      <c r="K253" t="s">
        <v>60</v>
      </c>
      <c r="L253">
        <v>36</v>
      </c>
      <c r="M253" s="13">
        <v>15000000</v>
      </c>
      <c r="N253">
        <v>496883</v>
      </c>
      <c r="O253">
        <v>9.5</v>
      </c>
      <c r="P253" t="s">
        <v>24</v>
      </c>
      <c r="Q253" s="21">
        <v>44281</v>
      </c>
      <c r="R253" s="21">
        <v>45348</v>
      </c>
      <c r="T253" t="s">
        <v>25</v>
      </c>
      <c r="U253" t="s">
        <v>416</v>
      </c>
      <c r="V253">
        <v>0</v>
      </c>
      <c r="W253">
        <v>85000</v>
      </c>
      <c r="X253">
        <v>255000.00000000003</v>
      </c>
      <c r="Y253">
        <v>425000.00000000006</v>
      </c>
      <c r="Z253" t="s">
        <v>1040</v>
      </c>
      <c r="AA253" t="str">
        <f t="shared" si="3"/>
        <v>260108181500000044253</v>
      </c>
      <c r="AB253" t="e">
        <f>VLOOKUP(AA253,Balance!AA:AA,1,FALSE)</f>
        <v>#N/A</v>
      </c>
    </row>
    <row r="254" spans="1:28" x14ac:dyDescent="0.25">
      <c r="A254" t="s">
        <v>924</v>
      </c>
      <c r="B254">
        <v>65306721</v>
      </c>
      <c r="C254" t="s">
        <v>934</v>
      </c>
      <c r="D254" t="s">
        <v>21</v>
      </c>
      <c r="F254" t="s">
        <v>935</v>
      </c>
      <c r="G254" t="s">
        <v>936</v>
      </c>
      <c r="H254">
        <v>0</v>
      </c>
      <c r="I254" s="21">
        <v>44694</v>
      </c>
      <c r="J254" t="s">
        <v>22</v>
      </c>
      <c r="K254" t="s">
        <v>23</v>
      </c>
      <c r="L254">
        <v>12</v>
      </c>
      <c r="M254" s="13">
        <v>29000000</v>
      </c>
      <c r="N254">
        <v>2597949</v>
      </c>
      <c r="O254">
        <v>11</v>
      </c>
      <c r="P254" t="s">
        <v>24</v>
      </c>
      <c r="Q254" s="21">
        <v>44725</v>
      </c>
      <c r="R254" s="21">
        <v>45059</v>
      </c>
      <c r="T254" t="s">
        <v>25</v>
      </c>
      <c r="U254" t="s">
        <v>416</v>
      </c>
      <c r="V254">
        <v>0</v>
      </c>
      <c r="W254">
        <v>0</v>
      </c>
      <c r="X254">
        <v>739500</v>
      </c>
      <c r="Y254">
        <v>0</v>
      </c>
      <c r="Z254" t="s">
        <v>1040</v>
      </c>
      <c r="AA254" t="str">
        <f t="shared" si="3"/>
        <v>653067212900000044694</v>
      </c>
      <c r="AB254" t="e">
        <f>VLOOKUP(AA254,Balance!AA:AA,1,FALSE)</f>
        <v>#N/A</v>
      </c>
    </row>
    <row r="255" spans="1:28" x14ac:dyDescent="0.25">
      <c r="A255" t="s">
        <v>938</v>
      </c>
      <c r="B255">
        <v>25926442</v>
      </c>
      <c r="C255" t="s">
        <v>940</v>
      </c>
      <c r="D255" t="s">
        <v>21</v>
      </c>
      <c r="F255" t="s">
        <v>941</v>
      </c>
      <c r="G255" t="s">
        <v>942</v>
      </c>
      <c r="H255">
        <v>0</v>
      </c>
      <c r="I255" s="21">
        <v>44363</v>
      </c>
      <c r="J255" t="s">
        <v>22</v>
      </c>
      <c r="K255" t="s">
        <v>23</v>
      </c>
      <c r="L255">
        <v>12</v>
      </c>
      <c r="M255" s="13">
        <v>3000000</v>
      </c>
      <c r="N255">
        <v>268753</v>
      </c>
      <c r="O255">
        <v>11</v>
      </c>
      <c r="P255" t="s">
        <v>24</v>
      </c>
      <c r="Q255" s="21">
        <v>44393</v>
      </c>
      <c r="R255" s="21">
        <v>44728</v>
      </c>
      <c r="T255" t="s">
        <v>25</v>
      </c>
      <c r="U255" t="s">
        <v>598</v>
      </c>
      <c r="V255">
        <v>0</v>
      </c>
      <c r="W255">
        <v>0</v>
      </c>
      <c r="X255">
        <v>4250</v>
      </c>
      <c r="Y255">
        <v>29750.000000000004</v>
      </c>
      <c r="Z255" t="s">
        <v>1040</v>
      </c>
      <c r="AA255" t="str">
        <f t="shared" si="3"/>
        <v>25926442300000044363</v>
      </c>
      <c r="AB255" t="e">
        <f>VLOOKUP(AA255,Balance!AA:AA,1,FALSE)</f>
        <v>#N/A</v>
      </c>
    </row>
    <row r="256" spans="1:28" x14ac:dyDescent="0.25">
      <c r="A256" t="s">
        <v>938</v>
      </c>
      <c r="B256">
        <v>25961812</v>
      </c>
      <c r="C256" t="s">
        <v>944</v>
      </c>
      <c r="D256" t="s">
        <v>21</v>
      </c>
      <c r="F256" t="s">
        <v>945</v>
      </c>
      <c r="G256" t="s">
        <v>946</v>
      </c>
      <c r="H256">
        <v>0</v>
      </c>
      <c r="I256" s="21">
        <v>44729</v>
      </c>
      <c r="J256" t="s">
        <v>22</v>
      </c>
      <c r="K256" t="s">
        <v>23</v>
      </c>
      <c r="L256">
        <v>18</v>
      </c>
      <c r="M256" s="13">
        <v>7548021</v>
      </c>
      <c r="N256">
        <v>465814</v>
      </c>
      <c r="O256">
        <v>11</v>
      </c>
      <c r="P256" t="s">
        <v>24</v>
      </c>
      <c r="Q256" s="21">
        <v>44759</v>
      </c>
      <c r="R256" s="21">
        <v>45277</v>
      </c>
      <c r="T256" t="s">
        <v>25</v>
      </c>
      <c r="U256" t="s">
        <v>598</v>
      </c>
      <c r="V256">
        <v>0</v>
      </c>
      <c r="W256">
        <v>57029.492000000006</v>
      </c>
      <c r="X256">
        <v>92672.924500000008</v>
      </c>
      <c r="Y256">
        <v>0</v>
      </c>
      <c r="Z256" t="s">
        <v>1040</v>
      </c>
      <c r="AA256" t="str">
        <f t="shared" si="3"/>
        <v>25961812754802144729</v>
      </c>
      <c r="AB256" t="e">
        <f>VLOOKUP(AA256,Balance!AA:AA,1,FALSE)</f>
        <v>#N/A</v>
      </c>
    </row>
    <row r="257" spans="1:28" x14ac:dyDescent="0.25">
      <c r="A257" t="s">
        <v>938</v>
      </c>
      <c r="B257">
        <v>26050936</v>
      </c>
      <c r="C257" t="s">
        <v>948</v>
      </c>
      <c r="D257" t="s">
        <v>21</v>
      </c>
      <c r="F257" t="s">
        <v>949</v>
      </c>
      <c r="G257" t="s">
        <v>950</v>
      </c>
      <c r="H257">
        <v>0</v>
      </c>
      <c r="I257" s="21">
        <v>44322</v>
      </c>
      <c r="J257" t="s">
        <v>22</v>
      </c>
      <c r="K257" t="s">
        <v>23</v>
      </c>
      <c r="L257">
        <v>12</v>
      </c>
      <c r="M257" s="13">
        <v>4000000</v>
      </c>
      <c r="N257">
        <v>358338</v>
      </c>
      <c r="O257">
        <v>11</v>
      </c>
      <c r="P257" t="s">
        <v>24</v>
      </c>
      <c r="Q257" s="21">
        <v>44353</v>
      </c>
      <c r="R257" s="21">
        <v>44687</v>
      </c>
      <c r="T257" t="s">
        <v>25</v>
      </c>
      <c r="U257" t="s">
        <v>598</v>
      </c>
      <c r="V257">
        <v>0</v>
      </c>
      <c r="W257">
        <v>0</v>
      </c>
      <c r="X257">
        <v>0</v>
      </c>
      <c r="Y257">
        <v>102000.00000000001</v>
      </c>
      <c r="Z257" t="s">
        <v>1040</v>
      </c>
      <c r="AA257" t="str">
        <f t="shared" si="3"/>
        <v>26050936400000044322</v>
      </c>
      <c r="AB257" t="e">
        <f>VLOOKUP(AA257,Balance!AA:AA,1,FALSE)</f>
        <v>#N/A</v>
      </c>
    </row>
    <row r="258" spans="1:28" x14ac:dyDescent="0.25">
      <c r="A258" t="s">
        <v>960</v>
      </c>
      <c r="B258">
        <v>25969692</v>
      </c>
      <c r="C258" t="s">
        <v>962</v>
      </c>
      <c r="D258" t="s">
        <v>21</v>
      </c>
      <c r="F258" t="s">
        <v>963</v>
      </c>
      <c r="G258" t="s">
        <v>964</v>
      </c>
      <c r="H258">
        <v>0</v>
      </c>
      <c r="I258" s="21">
        <v>45044</v>
      </c>
      <c r="J258" t="s">
        <v>22</v>
      </c>
      <c r="K258" t="s">
        <v>23</v>
      </c>
      <c r="L258">
        <v>12</v>
      </c>
      <c r="M258" s="13">
        <v>30000000</v>
      </c>
      <c r="N258">
        <v>2671067</v>
      </c>
      <c r="O258">
        <v>10</v>
      </c>
      <c r="P258" t="s">
        <v>24</v>
      </c>
      <c r="Q258" s="21">
        <v>45074</v>
      </c>
      <c r="R258" s="21">
        <v>45410</v>
      </c>
      <c r="T258" t="s">
        <v>28</v>
      </c>
      <c r="U258" t="s">
        <v>285</v>
      </c>
      <c r="V258">
        <v>0</v>
      </c>
      <c r="W258">
        <v>680000</v>
      </c>
      <c r="X258">
        <v>0</v>
      </c>
      <c r="Y258">
        <v>0</v>
      </c>
      <c r="Z258" t="s">
        <v>1040</v>
      </c>
      <c r="AA258" t="str">
        <f t="shared" si="3"/>
        <v>259696923000000045044</v>
      </c>
      <c r="AB258" t="e">
        <f>VLOOKUP(AA258,Balance!AA:AA,1,FALSE)</f>
        <v>#N/A</v>
      </c>
    </row>
    <row r="259" spans="1:28" x14ac:dyDescent="0.25">
      <c r="A259" t="s">
        <v>960</v>
      </c>
      <c r="B259">
        <v>26058001</v>
      </c>
      <c r="C259" t="s">
        <v>966</v>
      </c>
      <c r="D259" t="s">
        <v>21</v>
      </c>
      <c r="F259" t="s">
        <v>967</v>
      </c>
      <c r="G259" t="s">
        <v>968</v>
      </c>
      <c r="H259">
        <v>0</v>
      </c>
      <c r="I259" s="21">
        <v>45050</v>
      </c>
      <c r="J259" t="s">
        <v>22</v>
      </c>
      <c r="K259" t="s">
        <v>23</v>
      </c>
      <c r="L259">
        <v>12</v>
      </c>
      <c r="M259" s="13">
        <v>20000000</v>
      </c>
      <c r="N259">
        <v>1780711</v>
      </c>
      <c r="O259">
        <v>10</v>
      </c>
      <c r="P259" t="s">
        <v>24</v>
      </c>
      <c r="Q259" s="21">
        <v>45081</v>
      </c>
      <c r="R259" s="21">
        <v>45416</v>
      </c>
      <c r="T259" t="s">
        <v>28</v>
      </c>
      <c r="U259" t="s">
        <v>300</v>
      </c>
      <c r="V259">
        <v>0</v>
      </c>
      <c r="W259">
        <v>510000.00000000006</v>
      </c>
      <c r="X259">
        <v>0</v>
      </c>
      <c r="Y259">
        <v>0</v>
      </c>
      <c r="Z259" t="s">
        <v>1040</v>
      </c>
      <c r="AA259" t="str">
        <f t="shared" ref="AA259:AA260" si="4">_xlfn.CONCAT(B259,M259,I259)</f>
        <v>260580012000000045050</v>
      </c>
      <c r="AB259" t="e">
        <f>VLOOKUP(AA259,Balance!AA:AA,1,FALSE)</f>
        <v>#N/A</v>
      </c>
    </row>
    <row r="260" spans="1:28" x14ac:dyDescent="0.25">
      <c r="A260" t="s">
        <v>973</v>
      </c>
      <c r="B260">
        <v>26069913</v>
      </c>
      <c r="C260" t="s">
        <v>983</v>
      </c>
      <c r="D260" t="s">
        <v>21</v>
      </c>
      <c r="F260" t="s">
        <v>984</v>
      </c>
      <c r="G260" t="s">
        <v>985</v>
      </c>
      <c r="H260">
        <v>0</v>
      </c>
      <c r="I260" s="21">
        <v>45120</v>
      </c>
      <c r="J260" t="s">
        <v>22</v>
      </c>
      <c r="K260" t="s">
        <v>23</v>
      </c>
      <c r="L260">
        <v>10</v>
      </c>
      <c r="M260" s="13">
        <v>30000000</v>
      </c>
      <c r="N260">
        <v>3156556</v>
      </c>
      <c r="O260">
        <v>9</v>
      </c>
      <c r="P260" t="s">
        <v>24</v>
      </c>
      <c r="Q260" s="21">
        <v>45151</v>
      </c>
      <c r="R260" s="21">
        <v>45425</v>
      </c>
      <c r="T260" t="s">
        <v>28</v>
      </c>
      <c r="U260" t="s">
        <v>300</v>
      </c>
      <c r="V260">
        <v>0</v>
      </c>
      <c r="W260">
        <v>306000</v>
      </c>
      <c r="X260">
        <v>0</v>
      </c>
      <c r="Y260">
        <v>0</v>
      </c>
      <c r="Z260" t="s">
        <v>1040</v>
      </c>
      <c r="AA260" t="str">
        <f t="shared" si="4"/>
        <v>260699133000000045120</v>
      </c>
      <c r="AB260" t="e">
        <f>VLOOKUP(AA260,Balance!AA:AA,1,FALSE)</f>
        <v>#N/A</v>
      </c>
    </row>
  </sheetData>
  <autoFilter ref="A1:AB260" xr:uid="{2C716993-C165-427D-AF59-CF6560C985C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5A5-9F9A-4329-A56D-C6C7F03490D4}">
  <sheetPr codeName="Feuil7" filterMode="1"/>
  <dimension ref="A1:AB73"/>
  <sheetViews>
    <sheetView topLeftCell="B1" workbookViewId="0">
      <selection activeCell="V2" sqref="V2:V73"/>
    </sheetView>
  </sheetViews>
  <sheetFormatPr baseColWidth="10" defaultRowHeight="12.5" x14ac:dyDescent="0.25"/>
  <cols>
    <col min="1" max="1" width="11.26953125" hidden="1" customWidth="1"/>
    <col min="2" max="2" width="12.26953125" bestFit="1" customWidth="1"/>
    <col min="3" max="3" width="43.81640625" customWidth="1"/>
    <col min="4" max="4" width="11.90625" hidden="1" customWidth="1"/>
    <col min="5" max="5" width="15.36328125" hidden="1" customWidth="1"/>
    <col min="6" max="6" width="23" hidden="1" customWidth="1"/>
    <col min="7" max="7" width="9.36328125" hidden="1" customWidth="1"/>
    <col min="8" max="8" width="11.1796875" hidden="1" customWidth="1"/>
    <col min="9" max="9" width="18.54296875" bestFit="1" customWidth="1"/>
    <col min="11" max="11" width="30.6328125" bestFit="1" customWidth="1"/>
    <col min="12" max="12" width="7.08984375" customWidth="1"/>
    <col min="13" max="13" width="16.08984375" customWidth="1"/>
    <col min="14" max="14" width="10" hidden="1" customWidth="1"/>
    <col min="15" max="15" width="11.7265625" hidden="1" customWidth="1"/>
    <col min="16" max="16" width="12.7265625" hidden="1" customWidth="1"/>
    <col min="17" max="17" width="16.7265625" hidden="1" customWidth="1"/>
    <col min="18" max="18" width="22.453125" bestFit="1" customWidth="1"/>
    <col min="19" max="19" width="6.6328125" customWidth="1"/>
    <col min="20" max="20" width="13.6328125" hidden="1" customWidth="1"/>
    <col min="21" max="21" width="29.81640625" customWidth="1"/>
    <col min="22" max="24" width="13.90625" style="13" bestFit="1" customWidth="1"/>
    <col min="25" max="25" width="13.7265625" style="13" bestFit="1" customWidth="1"/>
    <col min="26" max="26" width="18.08984375" bestFit="1" customWidth="1"/>
    <col min="27" max="27" width="24" bestFit="1" customWidth="1"/>
    <col min="28" max="28" width="16.36328125" customWidth="1"/>
  </cols>
  <sheetData>
    <row r="1" spans="1:28" ht="25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5" t="s">
        <v>8</v>
      </c>
      <c r="J1" s="2" t="s">
        <v>9</v>
      </c>
      <c r="K1" s="2" t="s">
        <v>10</v>
      </c>
      <c r="L1" s="22" t="s">
        <v>11</v>
      </c>
      <c r="M1" s="9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3">
        <v>2024</v>
      </c>
      <c r="W1" s="23">
        <v>2023</v>
      </c>
      <c r="X1" s="23">
        <v>2022</v>
      </c>
      <c r="Y1" s="23">
        <v>2021</v>
      </c>
      <c r="Z1" s="20" t="s">
        <v>986</v>
      </c>
    </row>
    <row r="2" spans="1:28" x14ac:dyDescent="0.25">
      <c r="B2">
        <v>26034087</v>
      </c>
      <c r="C2" t="s">
        <v>988</v>
      </c>
      <c r="I2" s="21">
        <v>44004</v>
      </c>
      <c r="J2" t="s">
        <v>29</v>
      </c>
      <c r="K2" t="s">
        <v>30</v>
      </c>
      <c r="L2">
        <f>DATEDIF(I2,R2,"m")</f>
        <v>83</v>
      </c>
      <c r="M2" s="13">
        <v>2800000000</v>
      </c>
      <c r="R2" s="21">
        <v>46529</v>
      </c>
      <c r="U2" t="s">
        <v>77</v>
      </c>
      <c r="V2" cm="1">
        <f t="array" ref="V2">CalculerCommissionSemestrielle(M2,I2,L2,1.7%)</f>
        <v>36703614.457831331</v>
      </c>
      <c r="W2" cm="1">
        <f t="array" ref="W2">CalculerCommissionAnnuelle(M2,I2,L2,1.7%,2023)</f>
        <v>50467469.879518077</v>
      </c>
      <c r="X2" cm="1">
        <f t="array" ref="X2">CalculerCommissionAnnuelle(M2,I2,L2,1.7%,2022)</f>
        <v>64231325.301204823</v>
      </c>
      <c r="Y2" cm="1">
        <f t="array" ref="Y2">CalculerCommissionAnnuelle(M2,I2,L2,1.7%,2021)</f>
        <v>77995180.722891569</v>
      </c>
      <c r="Z2" t="str">
        <f>IF(M2&lt;=200000000,"GP","GI")</f>
        <v>GI</v>
      </c>
      <c r="AA2" t="str">
        <f>_xlfn.CONCAT(B2,M2,I2)</f>
        <v>26034087280000000044004</v>
      </c>
      <c r="AB2" t="e">
        <f>VLOOKUP(AA2,Feuil2!AA:AA,1,FALSE)</f>
        <v>#N/A</v>
      </c>
    </row>
    <row r="3" spans="1:28" hidden="1" x14ac:dyDescent="0.25">
      <c r="B3">
        <v>26039915</v>
      </c>
      <c r="C3" t="s">
        <v>989</v>
      </c>
      <c r="I3" s="21">
        <v>44826</v>
      </c>
      <c r="J3" t="s">
        <v>29</v>
      </c>
      <c r="K3" t="s">
        <v>30</v>
      </c>
      <c r="L3">
        <f t="shared" ref="L3:L66" si="0">DATEDIF(I3,R3,"m")</f>
        <v>60</v>
      </c>
      <c r="M3" s="13">
        <v>2437000000</v>
      </c>
      <c r="R3" s="21">
        <v>46652</v>
      </c>
      <c r="U3" t="s">
        <v>47</v>
      </c>
      <c r="V3" s="13" cm="1">
        <f t="array" ref="V3">CalculerCommissionSemestrielle(M3,I3,L3,1.7%)</f>
        <v>49714800</v>
      </c>
      <c r="W3" s="13" cm="1">
        <f t="array" ref="W3">CalculerCommissionAnnuelle(M3,I3,L3,1.7%,2023)</f>
        <v>66286400.000000007</v>
      </c>
      <c r="X3" s="13" cm="1">
        <f t="array" ref="X3">CalculerCommissionAnnuelle(M3,I3,L3,1.7%,2022)</f>
        <v>39357550</v>
      </c>
      <c r="Y3" s="13" cm="1">
        <f t="array" ref="Y3">CalculerCommissionAnnuelle(M3,I3,L3,1.7%,2021)</f>
        <v>0</v>
      </c>
      <c r="Z3" t="str">
        <f t="shared" ref="Z3:Z66" si="1">IF(M3&lt;=200000000,"GP","GI")</f>
        <v>GI</v>
      </c>
      <c r="AA3" t="str">
        <f t="shared" ref="AA3:AA66" si="2">_xlfn.CONCAT(B3,M3,I3)</f>
        <v>26039915243700000044826</v>
      </c>
      <c r="AB3" t="str">
        <f>VLOOKUP(AA3,Feuil2!AA:AA,1,FALSE)</f>
        <v>26039915243700000044826</v>
      </c>
    </row>
    <row r="4" spans="1:28" x14ac:dyDescent="0.25">
      <c r="B4">
        <v>25983840</v>
      </c>
      <c r="C4" t="s">
        <v>990</v>
      </c>
      <c r="I4" s="21">
        <v>44841</v>
      </c>
      <c r="J4" t="s">
        <v>29</v>
      </c>
      <c r="K4" t="s">
        <v>30</v>
      </c>
      <c r="L4">
        <f t="shared" si="0"/>
        <v>71</v>
      </c>
      <c r="M4" s="13">
        <v>2100000000</v>
      </c>
      <c r="R4" s="21">
        <v>47003</v>
      </c>
      <c r="U4" t="s">
        <v>83</v>
      </c>
      <c r="V4" cm="1">
        <f t="array" ref="V4">CalculerCommissionSemestrielle(M4,I4,L4,1.7%)</f>
        <v>48270422.535211273</v>
      </c>
      <c r="W4" cm="1">
        <f t="array" ref="W4">CalculerCommissionAnnuelle(M4,I4,L4,1.7%,2023)</f>
        <v>60338028.169014089</v>
      </c>
      <c r="X4" cm="1">
        <f t="array" ref="X4">CalculerCommissionAnnuelle(M4,I4,L4,1.7%,2022)</f>
        <v>34694366.197183102</v>
      </c>
      <c r="Y4" cm="1">
        <f t="array" ref="Y4">CalculerCommissionAnnuelle(M4,I4,L4,1.7%,2021)</f>
        <v>0</v>
      </c>
      <c r="Z4" t="str">
        <f t="shared" si="1"/>
        <v>GI</v>
      </c>
      <c r="AA4" t="str">
        <f t="shared" si="2"/>
        <v>25983840210000000044841</v>
      </c>
      <c r="AB4" t="e">
        <f>VLOOKUP(AA4,Feuil2!AA:AA,1,FALSE)</f>
        <v>#N/A</v>
      </c>
    </row>
    <row r="5" spans="1:28" hidden="1" x14ac:dyDescent="0.25">
      <c r="B5">
        <v>8126815</v>
      </c>
      <c r="C5" t="s">
        <v>991</v>
      </c>
      <c r="I5" s="21">
        <v>44911</v>
      </c>
      <c r="J5" t="s">
        <v>29</v>
      </c>
      <c r="K5" t="s">
        <v>30</v>
      </c>
      <c r="L5">
        <f t="shared" si="0"/>
        <v>65</v>
      </c>
      <c r="M5" s="13">
        <v>2000000000</v>
      </c>
      <c r="R5" s="21">
        <v>46889</v>
      </c>
      <c r="U5" t="s">
        <v>72</v>
      </c>
      <c r="V5" cm="1">
        <f t="array" ref="V5">CalculerCommissionSemestrielle(M5,I5,L5,1.7%)</f>
        <v>46030769.230769232</v>
      </c>
      <c r="W5" cm="1">
        <f t="array" ref="W5">CalculerCommissionAnnuelle(M5,I5,L5,1.7%,2023)</f>
        <v>58584615.384615391</v>
      </c>
      <c r="X5" cm="1">
        <f t="array" ref="X5">CalculerCommissionAnnuelle(M5,I5,L5,1.7%,2022)</f>
        <v>34000000</v>
      </c>
      <c r="Y5" cm="1">
        <f t="array" ref="Y5">CalculerCommissionAnnuelle(M5,I5,L5,1.7%,2021)</f>
        <v>0</v>
      </c>
      <c r="Z5" t="str">
        <f t="shared" si="1"/>
        <v>GI</v>
      </c>
      <c r="AA5" t="str">
        <f t="shared" si="2"/>
        <v>8126815200000000044911</v>
      </c>
      <c r="AB5" t="str">
        <f>VLOOKUP(AA5,Feuil2!AA:AA,1,FALSE)</f>
        <v>8126815200000000044911</v>
      </c>
    </row>
    <row r="6" spans="1:28" hidden="1" x14ac:dyDescent="0.25">
      <c r="B6">
        <v>26067241</v>
      </c>
      <c r="C6" t="s">
        <v>987</v>
      </c>
      <c r="I6" s="21">
        <v>44727</v>
      </c>
      <c r="J6" t="s">
        <v>29</v>
      </c>
      <c r="K6" t="s">
        <v>30</v>
      </c>
      <c r="L6">
        <f t="shared" si="0"/>
        <v>37</v>
      </c>
      <c r="M6" s="13">
        <v>2000000000</v>
      </c>
      <c r="R6" s="21">
        <v>45853</v>
      </c>
      <c r="U6" t="s">
        <v>141</v>
      </c>
      <c r="V6" cm="1">
        <f t="array" ref="V6">CalculerCommissionSemestrielle(M6,I6,L6,1.7%)</f>
        <v>18378378.37837838</v>
      </c>
      <c r="W6" cm="1">
        <f t="array" ref="W6">CalculerCommissionAnnuelle(M6,I6,L6,1.7%,2023)</f>
        <v>40432432.432432435</v>
      </c>
      <c r="X6" cm="1">
        <f t="array" ref="X6">CalculerCommissionAnnuelle(M6,I6,L6,1.7%,2022)</f>
        <v>62486486.486486487</v>
      </c>
      <c r="Y6" cm="1">
        <f t="array" ref="Y6">CalculerCommissionAnnuelle(M6,I6,L6,1.7%,2021)</f>
        <v>0</v>
      </c>
      <c r="Z6" t="str">
        <f t="shared" si="1"/>
        <v>GI</v>
      </c>
      <c r="AA6" t="str">
        <f t="shared" si="2"/>
        <v>26067241200000000044727</v>
      </c>
      <c r="AB6" t="str">
        <f>VLOOKUP(AA6,Feuil2!AA:AA,1,FALSE)</f>
        <v>26067241200000000044727</v>
      </c>
    </row>
    <row r="7" spans="1:28" hidden="1" x14ac:dyDescent="0.25">
      <c r="B7">
        <v>25956400</v>
      </c>
      <c r="C7" t="s">
        <v>992</v>
      </c>
      <c r="I7" s="21">
        <v>45104</v>
      </c>
      <c r="J7" t="s">
        <v>29</v>
      </c>
      <c r="K7" t="s">
        <v>30</v>
      </c>
      <c r="L7">
        <f t="shared" si="0"/>
        <v>60</v>
      </c>
      <c r="M7" s="13">
        <v>1600000000</v>
      </c>
      <c r="R7" s="21">
        <v>46931</v>
      </c>
      <c r="U7" t="s">
        <v>141</v>
      </c>
      <c r="V7" cm="1">
        <f t="array" ref="V7">CalculerCommissionSemestrielle(M7,I7,L7,1.7%)</f>
        <v>40800000</v>
      </c>
      <c r="W7" cm="1">
        <f t="array" ref="W7">CalculerCommissionAnnuelle(M7,I7,L7,1.7%,2023)</f>
        <v>51680000</v>
      </c>
      <c r="X7" cm="1">
        <f t="array" ref="X7">CalculerCommissionAnnuelle(M7,I7,L7,1.7%,2022)</f>
        <v>0</v>
      </c>
      <c r="Y7" cm="1">
        <f t="array" ref="Y7">CalculerCommissionAnnuelle(M7,I7,L7,1.7%,2021)</f>
        <v>0</v>
      </c>
      <c r="Z7" t="str">
        <f t="shared" si="1"/>
        <v>GI</v>
      </c>
      <c r="AA7" t="str">
        <f t="shared" si="2"/>
        <v>25956400160000000045104</v>
      </c>
      <c r="AB7" t="str">
        <f>VLOOKUP(AA7,Feuil2!AA:AA,1,FALSE)</f>
        <v>25956400160000000045104</v>
      </c>
    </row>
    <row r="8" spans="1:28" x14ac:dyDescent="0.25">
      <c r="B8">
        <v>26015351</v>
      </c>
      <c r="C8" t="s">
        <v>993</v>
      </c>
      <c r="I8" s="21">
        <v>45413</v>
      </c>
      <c r="J8" t="s">
        <v>39</v>
      </c>
      <c r="K8" t="s">
        <v>40</v>
      </c>
      <c r="L8">
        <f t="shared" si="0"/>
        <v>0</v>
      </c>
      <c r="M8" s="13">
        <v>1500000000</v>
      </c>
      <c r="R8" s="21">
        <v>45441</v>
      </c>
      <c r="U8" t="s">
        <v>141</v>
      </c>
      <c r="V8" cm="1">
        <f t="array" ref="V8">CalculerCommissionSemestrielle(M8,I8,L8,1.7%)</f>
        <v>0</v>
      </c>
      <c r="W8" cm="1">
        <f t="array" ref="W8">CalculerCommissionAnnuelle(M8,I8,L8,1.7%,2023)</f>
        <v>0</v>
      </c>
      <c r="X8" cm="1">
        <f t="array" ref="X8">CalculerCommissionAnnuelle(M8,I8,L8,1.7%,2022)</f>
        <v>0</v>
      </c>
      <c r="Y8" cm="1">
        <f t="array" ref="Y8">CalculerCommissionAnnuelle(M8,I8,L8,1.7%,2021)</f>
        <v>0</v>
      </c>
      <c r="Z8" t="str">
        <f t="shared" si="1"/>
        <v>GI</v>
      </c>
      <c r="AA8" t="str">
        <f t="shared" si="2"/>
        <v>26015351150000000045413</v>
      </c>
      <c r="AB8" t="e">
        <f>VLOOKUP(AA8,Feuil2!AA:AA,1,FALSE)</f>
        <v>#N/A</v>
      </c>
    </row>
    <row r="9" spans="1:28" x14ac:dyDescent="0.25">
      <c r="B9">
        <v>25983840</v>
      </c>
      <c r="C9" t="s">
        <v>990</v>
      </c>
      <c r="I9" s="21">
        <v>45281</v>
      </c>
      <c r="J9" t="s">
        <v>29</v>
      </c>
      <c r="K9" t="s">
        <v>30</v>
      </c>
      <c r="L9">
        <f t="shared" si="0"/>
        <v>47</v>
      </c>
      <c r="M9" s="13">
        <v>1500000000</v>
      </c>
      <c r="R9" s="21">
        <v>46715</v>
      </c>
      <c r="U9" t="s">
        <v>83</v>
      </c>
      <c r="V9" cm="1">
        <f t="array" ref="V9">CalculerCommissionSemestrielle(M9,I9,L9,1.7%)</f>
        <v>41234042.55319149</v>
      </c>
      <c r="W9" cm="1">
        <f t="array" ref="W9">CalculerCommissionAnnuelle(M9,I9,L9,1.7%,2023)</f>
        <v>25500000</v>
      </c>
      <c r="X9" cm="1">
        <f t="array" ref="X9">CalculerCommissionAnnuelle(M9,I9,L9,1.7%,2022)</f>
        <v>0</v>
      </c>
      <c r="Y9" cm="1">
        <f t="array" ref="Y9">CalculerCommissionAnnuelle(M9,I9,L9,1.7%,2021)</f>
        <v>0</v>
      </c>
      <c r="Z9" t="str">
        <f t="shared" si="1"/>
        <v>GI</v>
      </c>
      <c r="AA9" t="str">
        <f t="shared" si="2"/>
        <v>25983840150000000045281</v>
      </c>
      <c r="AB9" t="e">
        <f>VLOOKUP(AA9,Feuil2!AA:AA,1,FALSE)</f>
        <v>#N/A</v>
      </c>
    </row>
    <row r="10" spans="1:28" x14ac:dyDescent="0.25">
      <c r="B10">
        <v>26024232</v>
      </c>
      <c r="C10" t="s">
        <v>994</v>
      </c>
      <c r="I10" s="21">
        <v>44916</v>
      </c>
      <c r="J10" t="s">
        <v>29</v>
      </c>
      <c r="K10" t="s">
        <v>1037</v>
      </c>
      <c r="L10">
        <f t="shared" si="0"/>
        <v>48</v>
      </c>
      <c r="M10" s="13">
        <v>1425000000</v>
      </c>
      <c r="R10" s="21">
        <v>46387</v>
      </c>
      <c r="U10" t="s">
        <v>72</v>
      </c>
      <c r="V10" cm="1">
        <f t="array" ref="V10">CalculerCommissionSemestrielle(M10,I10,L10,1.7%)</f>
        <v>27253125.000000004</v>
      </c>
      <c r="W10" cm="1">
        <f t="array" ref="W10">CalculerCommissionAnnuelle(M10,I10,L10,1.7%,2023)</f>
        <v>39365625</v>
      </c>
      <c r="X10" cm="1">
        <f t="array" ref="X10">CalculerCommissionAnnuelle(M10,I10,L10,1.7%,2022)</f>
        <v>24225000</v>
      </c>
      <c r="Y10" cm="1">
        <f t="array" ref="Y10">CalculerCommissionAnnuelle(M10,I10,L10,1.7%,2021)</f>
        <v>0</v>
      </c>
      <c r="Z10" t="str">
        <f t="shared" si="1"/>
        <v>GI</v>
      </c>
      <c r="AA10" t="str">
        <f t="shared" si="2"/>
        <v>26024232142500000044916</v>
      </c>
      <c r="AB10" t="e">
        <f>VLOOKUP(AA10,Feuil2!AA:AA,1,FALSE)</f>
        <v>#N/A</v>
      </c>
    </row>
    <row r="11" spans="1:28" x14ac:dyDescent="0.25">
      <c r="B11">
        <v>25969709</v>
      </c>
      <c r="C11" t="s">
        <v>995</v>
      </c>
      <c r="I11" s="21">
        <v>43375</v>
      </c>
      <c r="J11" t="s">
        <v>29</v>
      </c>
      <c r="K11" t="s">
        <v>30</v>
      </c>
      <c r="L11">
        <f t="shared" si="0"/>
        <v>83</v>
      </c>
      <c r="M11" s="13">
        <v>1400000000</v>
      </c>
      <c r="R11" s="21">
        <v>45902</v>
      </c>
      <c r="U11" t="s">
        <v>47</v>
      </c>
      <c r="V11" cm="1">
        <f t="array" ref="V11">CalculerCommissionSemestrielle(M11,I11,L11,1.7%)</f>
        <v>6881927.710843374</v>
      </c>
      <c r="W11" cm="1">
        <f t="array" ref="W11">CalculerCommissionAnnuelle(M11,I11,L11,1.7%,2023)</f>
        <v>13763855.421686748</v>
      </c>
      <c r="X11" cm="1">
        <f t="array" ref="X11">CalculerCommissionAnnuelle(M11,I11,L11,1.7%,2022)</f>
        <v>20645783.132530123</v>
      </c>
      <c r="Y11" cm="1">
        <f t="array" ref="Y11">CalculerCommissionAnnuelle(M11,I11,L11,1.7%,2021)</f>
        <v>27527710.843373496</v>
      </c>
      <c r="Z11" t="str">
        <f t="shared" si="1"/>
        <v>GI</v>
      </c>
      <c r="AA11" t="str">
        <f t="shared" si="2"/>
        <v>25969709140000000043375</v>
      </c>
      <c r="AB11" t="e">
        <f>VLOOKUP(AA11,Feuil2!AA:AA,1,FALSE)</f>
        <v>#N/A</v>
      </c>
    </row>
    <row r="12" spans="1:28" x14ac:dyDescent="0.25">
      <c r="B12">
        <v>15611005</v>
      </c>
      <c r="C12" t="s">
        <v>996</v>
      </c>
      <c r="I12" s="21">
        <v>42905</v>
      </c>
      <c r="J12" t="s">
        <v>29</v>
      </c>
      <c r="K12" t="s">
        <v>30</v>
      </c>
      <c r="L12">
        <f t="shared" si="0"/>
        <v>84</v>
      </c>
      <c r="M12" s="13">
        <v>1300000000</v>
      </c>
      <c r="R12" s="21">
        <v>45462</v>
      </c>
      <c r="U12" t="s">
        <v>47</v>
      </c>
      <c r="V12" cm="1">
        <f t="array" ref="V12">CalculerCommissionSemestrielle(M12,I12,L12,1.7%)</f>
        <v>0</v>
      </c>
      <c r="W12" cm="1">
        <f t="array" ref="W12">CalculerCommissionAnnuelle(M12,I12,L12,1.7%,2023)</f>
        <v>4735714.2857142854</v>
      </c>
      <c r="X12" cm="1">
        <f t="array" ref="X12">CalculerCommissionAnnuelle(M12,I12,L12,1.7%,2022)</f>
        <v>11050000</v>
      </c>
      <c r="Y12" cm="1">
        <f t="array" ref="Y12">CalculerCommissionAnnuelle(M12,I12,L12,1.7%,2021)</f>
        <v>17364285.714285716</v>
      </c>
      <c r="Z12" t="str">
        <f t="shared" si="1"/>
        <v>GI</v>
      </c>
      <c r="AA12" t="str">
        <f t="shared" si="2"/>
        <v>15611005130000000042905</v>
      </c>
      <c r="AB12" t="e">
        <f>VLOOKUP(AA12,Feuil2!AA:AA,1,FALSE)</f>
        <v>#N/A</v>
      </c>
    </row>
    <row r="13" spans="1:28" hidden="1" x14ac:dyDescent="0.25">
      <c r="B13">
        <v>15652105</v>
      </c>
      <c r="C13" t="s">
        <v>997</v>
      </c>
      <c r="I13" s="21">
        <v>44673</v>
      </c>
      <c r="J13" t="s">
        <v>90</v>
      </c>
      <c r="K13" t="s">
        <v>91</v>
      </c>
      <c r="L13">
        <f t="shared" si="0"/>
        <v>96</v>
      </c>
      <c r="M13" s="13">
        <v>1260000000</v>
      </c>
      <c r="R13" s="21">
        <v>47595</v>
      </c>
      <c r="U13" t="s">
        <v>83</v>
      </c>
      <c r="V13" cm="1">
        <f t="array" ref="V13">CalculerCommissionSemestrielle(M13,I13,L13,1.7%)</f>
        <v>29898750.000000004</v>
      </c>
      <c r="W13" cm="1">
        <f t="array" ref="W13">CalculerCommissionAnnuelle(M13,I13,L13,1.7%,2023)</f>
        <v>35253750</v>
      </c>
      <c r="X13" cm="1">
        <f t="array" ref="X13">CalculerCommissionAnnuelle(M13,I13,L13,1.7%,2022)</f>
        <v>40608750</v>
      </c>
      <c r="Y13" cm="1">
        <f t="array" ref="Y13">CalculerCommissionAnnuelle(M13,I13,L13,1.7%,2021)</f>
        <v>0</v>
      </c>
      <c r="Z13" t="str">
        <f t="shared" si="1"/>
        <v>GI</v>
      </c>
      <c r="AA13" t="str">
        <f t="shared" si="2"/>
        <v>15652105126000000044673</v>
      </c>
      <c r="AB13" t="str">
        <f>VLOOKUP(AA13,Feuil2!AA:AA,1,FALSE)</f>
        <v>15652105126000000044673</v>
      </c>
    </row>
    <row r="14" spans="1:28" hidden="1" x14ac:dyDescent="0.25">
      <c r="B14">
        <v>8116000</v>
      </c>
      <c r="C14" t="s">
        <v>999</v>
      </c>
      <c r="I14" s="21">
        <v>44873</v>
      </c>
      <c r="J14" t="s">
        <v>29</v>
      </c>
      <c r="K14" t="s">
        <v>30</v>
      </c>
      <c r="L14">
        <f t="shared" si="0"/>
        <v>36</v>
      </c>
      <c r="M14" s="13">
        <v>1200000000</v>
      </c>
      <c r="R14" s="21">
        <v>45969</v>
      </c>
      <c r="U14" t="s">
        <v>72</v>
      </c>
      <c r="V14" cm="1">
        <f t="array" ref="V14">CalculerCommissionSemestrielle(M14,I14,L14,1.7%)</f>
        <v>15866666.666666668</v>
      </c>
      <c r="W14" cm="1">
        <f t="array" ref="W14">CalculerCommissionAnnuelle(M14,I14,L14,1.7%,2023)</f>
        <v>29466666.666666668</v>
      </c>
      <c r="X14" cm="1">
        <f t="array" ref="X14">CalculerCommissionAnnuelle(M14,I14,L14,1.7%,2022)</f>
        <v>19833333.333333336</v>
      </c>
      <c r="Y14" cm="1">
        <f t="array" ref="Y14">CalculerCommissionAnnuelle(M14,I14,L14,1.7%,2021)</f>
        <v>0</v>
      </c>
      <c r="Z14" t="str">
        <f t="shared" si="1"/>
        <v>GI</v>
      </c>
      <c r="AA14" t="str">
        <f t="shared" si="2"/>
        <v>8116000120000000044873</v>
      </c>
      <c r="AB14" t="str">
        <f>VLOOKUP(AA14,Feuil2!AA:AA,1,FALSE)</f>
        <v>8116000120000000044873</v>
      </c>
    </row>
    <row r="15" spans="1:28" hidden="1" x14ac:dyDescent="0.25">
      <c r="B15">
        <v>15753105</v>
      </c>
      <c r="C15" t="s">
        <v>1001</v>
      </c>
      <c r="I15" s="21">
        <v>45000</v>
      </c>
      <c r="J15" t="s">
        <v>39</v>
      </c>
      <c r="K15" t="s">
        <v>40</v>
      </c>
      <c r="L15">
        <f t="shared" si="0"/>
        <v>24</v>
      </c>
      <c r="M15" s="13">
        <v>1000000000</v>
      </c>
      <c r="R15" s="21">
        <v>45731</v>
      </c>
      <c r="U15" t="s">
        <v>47</v>
      </c>
      <c r="V15" cm="1">
        <f t="array" ref="V15">CalculerCommissionSemestrielle(M15,I15,L15,1.7%)</f>
        <v>8500000</v>
      </c>
      <c r="W15" cm="1">
        <f t="array" ref="W15">CalculerCommissionAnnuelle(M15,I15,L15,1.7%,2023)</f>
        <v>25500000</v>
      </c>
      <c r="X15" cm="1">
        <f t="array" ref="X15">CalculerCommissionAnnuelle(M15,I15,L15,1.7%,2022)</f>
        <v>0</v>
      </c>
      <c r="Y15" cm="1">
        <f t="array" ref="Y15">CalculerCommissionAnnuelle(M15,I15,L15,1.7%,2021)</f>
        <v>0</v>
      </c>
      <c r="Z15" t="str">
        <f t="shared" si="1"/>
        <v>GI</v>
      </c>
      <c r="AA15" t="str">
        <f t="shared" si="2"/>
        <v>15753105100000000045000</v>
      </c>
      <c r="AB15" t="str">
        <f>VLOOKUP(AA15,Feuil2!AA:AA,1,FALSE)</f>
        <v>15753105100000000045000</v>
      </c>
    </row>
    <row r="16" spans="1:28" x14ac:dyDescent="0.25">
      <c r="B16">
        <v>15689405</v>
      </c>
      <c r="C16" t="s">
        <v>1002</v>
      </c>
      <c r="I16" s="21">
        <v>45299</v>
      </c>
      <c r="J16" t="s">
        <v>29</v>
      </c>
      <c r="K16" t="s">
        <v>30</v>
      </c>
      <c r="L16">
        <f t="shared" si="0"/>
        <v>6</v>
      </c>
      <c r="M16" s="13">
        <v>1000000000</v>
      </c>
      <c r="R16" s="21">
        <v>45503</v>
      </c>
      <c r="U16" t="s">
        <v>41</v>
      </c>
      <c r="V16" cm="1">
        <f t="array" ref="V16">CalculerCommissionSemestrielle(M16,I16,L16,1.7%)</f>
        <v>2833333.3333333335</v>
      </c>
      <c r="W16" cm="1">
        <f t="array" ref="W16">CalculerCommissionAnnuelle(M16,I16,L16,1.7%,2023)</f>
        <v>0</v>
      </c>
      <c r="X16" cm="1">
        <f t="array" ref="X16">CalculerCommissionAnnuelle(M16,I16,L16,1.7%,2022)</f>
        <v>0</v>
      </c>
      <c r="Y16" cm="1">
        <f t="array" ref="Y16">CalculerCommissionAnnuelle(M16,I16,L16,1.7%,2021)</f>
        <v>0</v>
      </c>
      <c r="Z16" t="str">
        <f t="shared" si="1"/>
        <v>GI</v>
      </c>
      <c r="AA16" t="str">
        <f t="shared" si="2"/>
        <v>15689405100000000045299</v>
      </c>
      <c r="AB16" t="e">
        <f>VLOOKUP(AA16,Feuil2!AA:AA,1,FALSE)</f>
        <v>#N/A</v>
      </c>
    </row>
    <row r="17" spans="2:28" x14ac:dyDescent="0.25">
      <c r="B17">
        <v>15793905</v>
      </c>
      <c r="C17" t="s">
        <v>1003</v>
      </c>
      <c r="I17" s="21">
        <v>45316</v>
      </c>
      <c r="J17" t="s">
        <v>39</v>
      </c>
      <c r="K17" t="s">
        <v>40</v>
      </c>
      <c r="L17">
        <f t="shared" si="0"/>
        <v>7</v>
      </c>
      <c r="M17" s="13">
        <v>950000000</v>
      </c>
      <c r="R17" s="21">
        <v>45535</v>
      </c>
      <c r="U17" t="s">
        <v>41</v>
      </c>
      <c r="V17" cm="1">
        <f t="array" ref="V17">CalculerCommissionSemestrielle(M17,I17,L17,1.7%)</f>
        <v>4614285.7142857146</v>
      </c>
      <c r="W17" cm="1">
        <f t="array" ref="W17">CalculerCommissionAnnuelle(M17,I17,L17,1.7%,2023)</f>
        <v>0</v>
      </c>
      <c r="X17" cm="1">
        <f t="array" ref="X17">CalculerCommissionAnnuelle(M17,I17,L17,1.7%,2022)</f>
        <v>0</v>
      </c>
      <c r="Y17" cm="1">
        <f t="array" ref="Y17">CalculerCommissionAnnuelle(M17,I17,L17,1.7%,2021)</f>
        <v>0</v>
      </c>
      <c r="Z17" t="str">
        <f t="shared" si="1"/>
        <v>GI</v>
      </c>
      <c r="AA17" t="str">
        <f t="shared" si="2"/>
        <v>1579390595000000045316</v>
      </c>
      <c r="AB17" t="e">
        <f>VLOOKUP(AA17,Feuil2!AA:AA,1,FALSE)</f>
        <v>#N/A</v>
      </c>
    </row>
    <row r="18" spans="2:28" x14ac:dyDescent="0.25">
      <c r="B18">
        <v>15793905</v>
      </c>
      <c r="C18" t="s">
        <v>1003</v>
      </c>
      <c r="I18" s="21">
        <v>45408</v>
      </c>
      <c r="J18" t="s">
        <v>39</v>
      </c>
      <c r="K18" t="s">
        <v>40</v>
      </c>
      <c r="L18">
        <f t="shared" si="0"/>
        <v>4</v>
      </c>
      <c r="M18" s="13">
        <v>900000000</v>
      </c>
      <c r="R18" s="21">
        <v>45535</v>
      </c>
      <c r="U18" t="s">
        <v>41</v>
      </c>
      <c r="V18" cm="1">
        <f t="array" ref="V18">CalculerCommissionSemestrielle(M18,I18,L18,1.7%)</f>
        <v>7650000.0000000009</v>
      </c>
      <c r="W18" cm="1">
        <f t="array" ref="W18">CalculerCommissionAnnuelle(M18,I18,L18,1.7%,2023)</f>
        <v>0</v>
      </c>
      <c r="X18" cm="1">
        <f t="array" ref="X18">CalculerCommissionAnnuelle(M18,I18,L18,1.7%,2022)</f>
        <v>0</v>
      </c>
      <c r="Y18" cm="1">
        <f t="array" ref="Y18">CalculerCommissionAnnuelle(M18,I18,L18,1.7%,2021)</f>
        <v>0</v>
      </c>
      <c r="Z18" t="str">
        <f t="shared" si="1"/>
        <v>GI</v>
      </c>
      <c r="AA18" t="str">
        <f t="shared" si="2"/>
        <v>1579390590000000045408</v>
      </c>
      <c r="AB18" t="e">
        <f>VLOOKUP(AA18,Feuil2!AA:AA,1,FALSE)</f>
        <v>#N/A</v>
      </c>
    </row>
    <row r="19" spans="2:28" x14ac:dyDescent="0.25">
      <c r="B19">
        <v>15483105</v>
      </c>
      <c r="C19" t="s">
        <v>1004</v>
      </c>
      <c r="I19" s="21">
        <v>44103</v>
      </c>
      <c r="J19" t="s">
        <v>29</v>
      </c>
      <c r="K19" t="s">
        <v>30</v>
      </c>
      <c r="L19">
        <f t="shared" si="0"/>
        <v>60</v>
      </c>
      <c r="M19" s="13">
        <v>867000000</v>
      </c>
      <c r="R19" s="21">
        <v>45929</v>
      </c>
      <c r="U19" t="s">
        <v>77</v>
      </c>
      <c r="V19" cm="1">
        <f t="array" ref="V19">CalculerCommissionSemestrielle(M19,I19,L19,1.7%)</f>
        <v>5895600</v>
      </c>
      <c r="W19" cm="1">
        <f t="array" ref="W19">CalculerCommissionAnnuelle(M19,I19,L19,1.7%,2023)</f>
        <v>11791200</v>
      </c>
      <c r="X19" cm="1">
        <f t="array" ref="X19">CalculerCommissionAnnuelle(M19,I19,L19,1.7%,2022)</f>
        <v>17686800</v>
      </c>
      <c r="Y19" cm="1">
        <f t="array" ref="Y19">CalculerCommissionAnnuelle(M19,I19,L19,1.7%,2021)</f>
        <v>23582400</v>
      </c>
      <c r="Z19" t="str">
        <f t="shared" si="1"/>
        <v>GI</v>
      </c>
      <c r="AA19" t="str">
        <f t="shared" si="2"/>
        <v>1548310586700000044103</v>
      </c>
      <c r="AB19" t="e">
        <f>VLOOKUP(AA19,Feuil2!AA:AA,1,FALSE)</f>
        <v>#N/A</v>
      </c>
    </row>
    <row r="20" spans="2:28" x14ac:dyDescent="0.25">
      <c r="B20">
        <v>25993936</v>
      </c>
      <c r="C20" t="s">
        <v>1005</v>
      </c>
      <c r="I20" s="21">
        <v>43668</v>
      </c>
      <c r="J20" t="s">
        <v>50</v>
      </c>
      <c r="K20" t="s">
        <v>51</v>
      </c>
      <c r="L20">
        <f t="shared" si="0"/>
        <v>60</v>
      </c>
      <c r="M20" s="13">
        <v>736666668</v>
      </c>
      <c r="R20" s="21">
        <v>45495</v>
      </c>
      <c r="U20" t="s">
        <v>47</v>
      </c>
      <c r="V20" cm="1">
        <f t="array" ref="V20">CalculerCommissionSemestrielle(M20,I20,L20,1.7%)</f>
        <v>208722.22260000004</v>
      </c>
      <c r="W20" cm="1">
        <f t="array" ref="W20">CalculerCommissionAnnuelle(M20,I20,L20,1.7%,2023)</f>
        <v>4174444.4520000005</v>
      </c>
      <c r="X20" cm="1">
        <f t="array" ref="X20">CalculerCommissionAnnuelle(M20,I20,L20,1.7%,2022)</f>
        <v>9183777.7944000009</v>
      </c>
      <c r="Y20" cm="1">
        <f t="array" ref="Y20">CalculerCommissionAnnuelle(M20,I20,L20,1.7%,2021)</f>
        <v>14193111.136800002</v>
      </c>
      <c r="Z20" t="str">
        <f t="shared" si="1"/>
        <v>GI</v>
      </c>
      <c r="AA20" t="str">
        <f t="shared" si="2"/>
        <v>2599393673666666843668</v>
      </c>
      <c r="AB20" t="e">
        <f>VLOOKUP(AA20,Feuil2!AA:AA,1,FALSE)</f>
        <v>#N/A</v>
      </c>
    </row>
    <row r="21" spans="2:28" hidden="1" x14ac:dyDescent="0.25">
      <c r="B21">
        <v>8126815</v>
      </c>
      <c r="C21" t="s">
        <v>991</v>
      </c>
      <c r="I21" s="21">
        <v>44323</v>
      </c>
      <c r="J21" t="s">
        <v>29</v>
      </c>
      <c r="K21" t="s">
        <v>30</v>
      </c>
      <c r="L21">
        <f t="shared" si="0"/>
        <v>60</v>
      </c>
      <c r="M21" s="13">
        <v>600000000</v>
      </c>
      <c r="R21" s="21">
        <v>46149</v>
      </c>
      <c r="U21" t="s">
        <v>72</v>
      </c>
      <c r="V21" cm="1">
        <f t="array" ref="V21">CalculerCommissionSemestrielle(M21,I21,L21,1.7%)</f>
        <v>6800000.0000000009</v>
      </c>
      <c r="W21" cm="1">
        <f t="array" ref="W21">CalculerCommissionAnnuelle(M21,I21,L21,1.7%,2023)</f>
        <v>10880000</v>
      </c>
      <c r="X21" cm="1">
        <f t="array" ref="X21">CalculerCommissionAnnuelle(M21,I21,L21,1.7%,2022)</f>
        <v>14960000.000000002</v>
      </c>
      <c r="Y21" cm="1">
        <f t="array" ref="Y21">CalculerCommissionAnnuelle(M21,I21,L21,1.7%,2021)</f>
        <v>19040000</v>
      </c>
      <c r="Z21" t="str">
        <f t="shared" si="1"/>
        <v>GI</v>
      </c>
      <c r="AA21" t="str">
        <f t="shared" si="2"/>
        <v>812681560000000044323</v>
      </c>
      <c r="AB21" t="str">
        <f>VLOOKUP(AA21,Feuil2!AA:AA,1,FALSE)</f>
        <v>812681560000000044323</v>
      </c>
    </row>
    <row r="22" spans="2:28" x14ac:dyDescent="0.25">
      <c r="B22">
        <v>8151615</v>
      </c>
      <c r="C22" t="s">
        <v>1006</v>
      </c>
      <c r="I22" s="21">
        <v>45419</v>
      </c>
      <c r="J22" t="s">
        <v>39</v>
      </c>
      <c r="K22" t="s">
        <v>40</v>
      </c>
      <c r="L22">
        <f t="shared" si="0"/>
        <v>0</v>
      </c>
      <c r="M22" s="13">
        <v>600000000</v>
      </c>
      <c r="R22" s="21">
        <v>45442</v>
      </c>
      <c r="U22" t="s">
        <v>47</v>
      </c>
      <c r="V22" cm="1">
        <f t="array" ref="V22">CalculerCommissionSemestrielle(M22,I22,L22,1.7%)</f>
        <v>0</v>
      </c>
      <c r="W22" cm="1">
        <f t="array" ref="W22">CalculerCommissionAnnuelle(M22,I22,L22,1.7%,2023)</f>
        <v>0</v>
      </c>
      <c r="X22" cm="1">
        <f t="array" ref="X22">CalculerCommissionAnnuelle(M22,I22,L22,1.7%,2022)</f>
        <v>0</v>
      </c>
      <c r="Y22" cm="1">
        <f t="array" ref="Y22">CalculerCommissionAnnuelle(M22,I22,L22,1.7%,2021)</f>
        <v>0</v>
      </c>
      <c r="Z22" t="str">
        <f t="shared" si="1"/>
        <v>GI</v>
      </c>
      <c r="AA22" t="str">
        <f t="shared" si="2"/>
        <v>815161560000000045419</v>
      </c>
      <c r="AB22" t="e">
        <f>VLOOKUP(AA22,Feuil2!AA:AA,1,FALSE)</f>
        <v>#N/A</v>
      </c>
    </row>
    <row r="23" spans="2:28" x14ac:dyDescent="0.25">
      <c r="B23">
        <v>25969709</v>
      </c>
      <c r="C23" t="s">
        <v>995</v>
      </c>
      <c r="I23" s="21">
        <v>44145</v>
      </c>
      <c r="J23" t="s">
        <v>29</v>
      </c>
      <c r="K23" t="s">
        <v>30</v>
      </c>
      <c r="L23">
        <f t="shared" si="0"/>
        <v>57</v>
      </c>
      <c r="M23" s="13">
        <v>600000000</v>
      </c>
      <c r="R23" s="21">
        <v>45902</v>
      </c>
      <c r="U23" t="s">
        <v>47</v>
      </c>
      <c r="V23" s="13" cm="1">
        <f t="array" ref="V23">CalculerCommissionSemestrielle(M23,I23,L23,1.7%)</f>
        <v>3936842.1052631582</v>
      </c>
      <c r="W23" s="13" cm="1">
        <f t="array" ref="W23">CalculerCommissionAnnuelle(M23,I23,L23,1.7%,2023)</f>
        <v>8231578.9473684216</v>
      </c>
      <c r="X23" s="13" cm="1">
        <f t="array" ref="X23">CalculerCommissionAnnuelle(M23,I23,L23,1.7%,2022)</f>
        <v>12526315.789473685</v>
      </c>
      <c r="Y23" s="13" cm="1">
        <f t="array" ref="Y23">CalculerCommissionAnnuelle(M23,I23,L23,1.7%,2021)</f>
        <v>16821052.631578948</v>
      </c>
      <c r="Z23" t="str">
        <f t="shared" si="1"/>
        <v>GI</v>
      </c>
      <c r="AA23" t="str">
        <f t="shared" si="2"/>
        <v>2596970960000000044145</v>
      </c>
      <c r="AB23" t="e">
        <f>VLOOKUP(AA23,Feuil2!AA:AA,1,FALSE)</f>
        <v>#N/A</v>
      </c>
    </row>
    <row r="24" spans="2:28" x14ac:dyDescent="0.25">
      <c r="B24">
        <v>25969709</v>
      </c>
      <c r="C24" t="s">
        <v>995</v>
      </c>
      <c r="I24" s="21">
        <v>44187</v>
      </c>
      <c r="J24" t="s">
        <v>29</v>
      </c>
      <c r="K24" t="s">
        <v>30</v>
      </c>
      <c r="L24">
        <f t="shared" si="0"/>
        <v>56</v>
      </c>
      <c r="M24" s="13">
        <v>600000000</v>
      </c>
      <c r="R24" s="21">
        <v>45902</v>
      </c>
      <c r="U24" t="s">
        <v>47</v>
      </c>
      <c r="V24" s="13" cm="1">
        <f t="array" ref="V24">CalculerCommissionSemestrielle(M24,I24,L24,1.7%)</f>
        <v>4007142.8571428573</v>
      </c>
      <c r="W24" s="13" cm="1">
        <f t="array" ref="W24">CalculerCommissionAnnuelle(M24,I24,L24,1.7%,2023)</f>
        <v>8378571.42857143</v>
      </c>
      <c r="X24" s="13" cm="1">
        <f t="array" ref="X24">CalculerCommissionAnnuelle(M24,I24,L24,1.7%,2022)</f>
        <v>12750000</v>
      </c>
      <c r="Y24" s="13" cm="1">
        <f t="array" ref="Y24">CalculerCommissionAnnuelle(M24,I24,L24,1.7%,2021)</f>
        <v>17121428.571428571</v>
      </c>
      <c r="Z24" t="str">
        <f t="shared" si="1"/>
        <v>GI</v>
      </c>
      <c r="AA24" t="str">
        <f t="shared" si="2"/>
        <v>2596970960000000044187</v>
      </c>
      <c r="AB24" t="e">
        <f>VLOOKUP(AA24,Feuil2!AA:AA,1,FALSE)</f>
        <v>#N/A</v>
      </c>
    </row>
    <row r="25" spans="2:28" x14ac:dyDescent="0.25">
      <c r="B25">
        <v>26032670</v>
      </c>
      <c r="C25" t="s">
        <v>1000</v>
      </c>
      <c r="I25" s="21">
        <v>45355</v>
      </c>
      <c r="J25" t="s">
        <v>39</v>
      </c>
      <c r="K25" t="s">
        <v>40</v>
      </c>
      <c r="L25">
        <f t="shared" si="0"/>
        <v>9</v>
      </c>
      <c r="M25" s="13">
        <v>500000000</v>
      </c>
      <c r="R25" s="21">
        <v>45657</v>
      </c>
      <c r="U25" t="s">
        <v>141</v>
      </c>
      <c r="V25" cm="1">
        <f t="array" ref="V25">CalculerCommissionSemestrielle(M25,I25,L25,1.7%)</f>
        <v>5666666.666666667</v>
      </c>
      <c r="W25" cm="1">
        <f t="array" ref="W25">CalculerCommissionAnnuelle(M25,I25,L25,1.7%,2023)</f>
        <v>0</v>
      </c>
      <c r="X25" cm="1">
        <f t="array" ref="X25">CalculerCommissionAnnuelle(M25,I25,L25,1.7%,2022)</f>
        <v>0</v>
      </c>
      <c r="Y25" cm="1">
        <f t="array" ref="Y25">CalculerCommissionAnnuelle(M25,I25,L25,1.7%,2021)</f>
        <v>0</v>
      </c>
      <c r="Z25" t="str">
        <f t="shared" si="1"/>
        <v>GI</v>
      </c>
      <c r="AA25" t="str">
        <f t="shared" si="2"/>
        <v>2603267050000000045355</v>
      </c>
      <c r="AB25" t="e">
        <f>VLOOKUP(AA25,Feuil2!AA:AA,1,FALSE)</f>
        <v>#N/A</v>
      </c>
    </row>
    <row r="26" spans="2:28" x14ac:dyDescent="0.25">
      <c r="B26">
        <v>15689405</v>
      </c>
      <c r="C26" t="s">
        <v>1002</v>
      </c>
      <c r="I26" s="21">
        <v>45299</v>
      </c>
      <c r="J26" t="s">
        <v>29</v>
      </c>
      <c r="K26" t="s">
        <v>30</v>
      </c>
      <c r="L26">
        <f t="shared" si="0"/>
        <v>6</v>
      </c>
      <c r="M26" s="13">
        <v>500000000</v>
      </c>
      <c r="R26" s="21">
        <v>45503</v>
      </c>
      <c r="U26" t="s">
        <v>41</v>
      </c>
      <c r="V26" cm="1">
        <f t="array" ref="V26">CalculerCommissionSemestrielle(M26,I26,L26,1.7%)</f>
        <v>1416666.6666666667</v>
      </c>
      <c r="W26" cm="1">
        <f t="array" ref="W26">CalculerCommissionAnnuelle(M26,I26,L26,1.7%,2023)</f>
        <v>0</v>
      </c>
      <c r="X26" cm="1">
        <f t="array" ref="X26">CalculerCommissionAnnuelle(M26,I26,L26,1.7%,2022)</f>
        <v>0</v>
      </c>
      <c r="Y26" cm="1">
        <f t="array" ref="Y26">CalculerCommissionAnnuelle(M26,I26,L26,1.7%,2021)</f>
        <v>0</v>
      </c>
      <c r="Z26" t="str">
        <f t="shared" si="1"/>
        <v>GI</v>
      </c>
      <c r="AA26" t="str">
        <f t="shared" si="2"/>
        <v>1568940550000000045299</v>
      </c>
      <c r="AB26" t="e">
        <f>VLOOKUP(AA26,Feuil2!AA:AA,1,FALSE)</f>
        <v>#N/A</v>
      </c>
    </row>
    <row r="27" spans="2:28" hidden="1" x14ac:dyDescent="0.25">
      <c r="B27">
        <v>8151615</v>
      </c>
      <c r="C27" t="s">
        <v>1006</v>
      </c>
      <c r="I27" s="21">
        <v>44553</v>
      </c>
      <c r="J27" t="s">
        <v>29</v>
      </c>
      <c r="K27" t="s">
        <v>30</v>
      </c>
      <c r="L27">
        <f t="shared" si="0"/>
        <v>60</v>
      </c>
      <c r="M27" s="13">
        <v>500000000</v>
      </c>
      <c r="R27" s="21">
        <v>46379</v>
      </c>
      <c r="U27" t="s">
        <v>47</v>
      </c>
      <c r="V27" s="13" cm="1">
        <f t="array" ref="V27">CalculerCommissionSemestrielle(M27,I27,L27,1.7%)</f>
        <v>7650000.0000000009</v>
      </c>
      <c r="W27" s="13" cm="1">
        <f t="array" ref="W27">CalculerCommissionAnnuelle(M27,I27,L27,1.7%,2023)</f>
        <v>11050000</v>
      </c>
      <c r="X27" s="13" cm="1">
        <f t="array" ref="X27">CalculerCommissionAnnuelle(M27,I27,L27,1.7%,2022)</f>
        <v>14450000.000000002</v>
      </c>
      <c r="Y27" s="13" cm="1">
        <f t="array" ref="Y27">CalculerCommissionAnnuelle(M27,I27,L27,1.7%,2021)</f>
        <v>8500000</v>
      </c>
      <c r="Z27" t="str">
        <f t="shared" si="1"/>
        <v>GI</v>
      </c>
      <c r="AA27" t="str">
        <f t="shared" si="2"/>
        <v>815161550000000044553</v>
      </c>
      <c r="AB27" t="str">
        <f>VLOOKUP(AA27,Feuil2!AA:AA,1,FALSE)</f>
        <v>815161550000000044553</v>
      </c>
    </row>
    <row r="28" spans="2:28" hidden="1" x14ac:dyDescent="0.25">
      <c r="B28">
        <v>8151615</v>
      </c>
      <c r="C28" t="s">
        <v>1006</v>
      </c>
      <c r="I28" s="21">
        <v>44834</v>
      </c>
      <c r="J28" t="s">
        <v>29</v>
      </c>
      <c r="K28" t="s">
        <v>30</v>
      </c>
      <c r="L28">
        <f t="shared" si="0"/>
        <v>60</v>
      </c>
      <c r="M28" s="13">
        <v>500000000</v>
      </c>
      <c r="R28" s="21">
        <v>46660</v>
      </c>
      <c r="U28" t="s">
        <v>47</v>
      </c>
      <c r="V28" s="13" cm="1">
        <f t="array" ref="V28">CalculerCommissionSemestrielle(M28,I28,L28,1.7%)</f>
        <v>10200000</v>
      </c>
      <c r="W28" s="13" cm="1">
        <f t="array" ref="W28">CalculerCommissionAnnuelle(M28,I28,L28,1.7%,2023)</f>
        <v>13600000.000000002</v>
      </c>
      <c r="X28" s="13" cm="1">
        <f t="array" ref="X28">CalculerCommissionAnnuelle(M28,I28,L28,1.7%,2022)</f>
        <v>8075000.0000000009</v>
      </c>
      <c r="Y28" s="13" cm="1">
        <f t="array" ref="Y28">CalculerCommissionAnnuelle(M28,I28,L28,1.7%,2021)</f>
        <v>0</v>
      </c>
      <c r="Z28" t="str">
        <f t="shared" si="1"/>
        <v>GI</v>
      </c>
      <c r="AA28" t="str">
        <f t="shared" si="2"/>
        <v>815161550000000044834</v>
      </c>
      <c r="AB28" t="str">
        <f>VLOOKUP(AA28,Feuil2!AA:AA,1,FALSE)</f>
        <v>815161550000000044834</v>
      </c>
    </row>
    <row r="29" spans="2:28" hidden="1" x14ac:dyDescent="0.25">
      <c r="B29">
        <v>25949442</v>
      </c>
      <c r="C29" t="s">
        <v>1008</v>
      </c>
      <c r="I29" s="21">
        <v>44456</v>
      </c>
      <c r="J29" t="s">
        <v>29</v>
      </c>
      <c r="K29" t="s">
        <v>30</v>
      </c>
      <c r="L29">
        <f t="shared" si="0"/>
        <v>63</v>
      </c>
      <c r="M29" s="13">
        <v>475000000</v>
      </c>
      <c r="R29" s="21">
        <v>46373</v>
      </c>
      <c r="U29" t="s">
        <v>141</v>
      </c>
      <c r="V29" cm="1">
        <f t="array" ref="V29">CalculerCommissionSemestrielle(M29,I29,L29,1.7%)</f>
        <v>6921428.5714285718</v>
      </c>
      <c r="W29" cm="1">
        <f t="array" ref="W29">CalculerCommissionAnnuelle(M29,I29,L29,1.7%,2023)</f>
        <v>9997619.0476190485</v>
      </c>
      <c r="X29" cm="1">
        <f t="array" ref="X29">CalculerCommissionAnnuelle(M29,I29,L29,1.7%,2022)</f>
        <v>13073809.523809524</v>
      </c>
      <c r="Y29" cm="1">
        <f t="array" ref="Y29">CalculerCommissionAnnuelle(M29,I29,L29,1.7%,2021)</f>
        <v>7690476.1904761903</v>
      </c>
      <c r="Z29" t="str">
        <f t="shared" si="1"/>
        <v>GI</v>
      </c>
      <c r="AA29" t="str">
        <f t="shared" si="2"/>
        <v>2594944247500000044456</v>
      </c>
      <c r="AB29" t="str">
        <f>VLOOKUP(AA29,Feuil2!AA:AA,1,FALSE)</f>
        <v>2594944247500000044456</v>
      </c>
    </row>
    <row r="30" spans="2:28" hidden="1" x14ac:dyDescent="0.25">
      <c r="B30">
        <v>26057767</v>
      </c>
      <c r="C30" t="s">
        <v>1009</v>
      </c>
      <c r="I30" s="21">
        <v>44316</v>
      </c>
      <c r="J30" t="s">
        <v>29</v>
      </c>
      <c r="K30" t="s">
        <v>30</v>
      </c>
      <c r="L30">
        <f t="shared" si="0"/>
        <v>60</v>
      </c>
      <c r="M30" s="13">
        <v>465000000</v>
      </c>
      <c r="R30" s="21">
        <v>46142</v>
      </c>
      <c r="U30" t="s">
        <v>141</v>
      </c>
      <c r="V30" cm="1">
        <f t="array" ref="V30">CalculerCommissionSemestrielle(M30,I30,L30,1.7%)</f>
        <v>5006500</v>
      </c>
      <c r="W30" cm="1">
        <f t="array" ref="W30">CalculerCommissionAnnuelle(M30,I30,L30,1.7%,2023)</f>
        <v>8168500.0000000009</v>
      </c>
      <c r="X30" cm="1">
        <f t="array" ref="X30">CalculerCommissionAnnuelle(M30,I30,L30,1.7%,2022)</f>
        <v>11330500</v>
      </c>
      <c r="Y30" cm="1">
        <f t="array" ref="Y30">CalculerCommissionAnnuelle(M30,I30,L30,1.7%,2021)</f>
        <v>14492500.000000002</v>
      </c>
      <c r="Z30" t="str">
        <f t="shared" si="1"/>
        <v>GI</v>
      </c>
      <c r="AA30" t="str">
        <f t="shared" si="2"/>
        <v>2605776746500000044316</v>
      </c>
      <c r="AB30" t="str">
        <f>VLOOKUP(AA30,Feuil2!AA:AA,1,FALSE)</f>
        <v>2605776746500000044316</v>
      </c>
    </row>
    <row r="31" spans="2:28" x14ac:dyDescent="0.25">
      <c r="B31">
        <v>15517505</v>
      </c>
      <c r="C31" t="s">
        <v>1010</v>
      </c>
      <c r="I31" s="21">
        <v>43126</v>
      </c>
      <c r="J31" t="s">
        <v>50</v>
      </c>
      <c r="K31" t="s">
        <v>51</v>
      </c>
      <c r="L31">
        <f t="shared" si="0"/>
        <v>84</v>
      </c>
      <c r="M31" s="13">
        <v>451402617</v>
      </c>
      <c r="R31" s="21">
        <v>45683</v>
      </c>
      <c r="U31" t="s">
        <v>106</v>
      </c>
      <c r="V31" cm="1">
        <f t="array" ref="V31">CalculerCommissionSemestrielle(M31,I31,L31,1.7%)</f>
        <v>730842.33228571434</v>
      </c>
      <c r="W31" cm="1">
        <f t="array" ref="W31">CalculerCommissionAnnuelle(M31,I31,L31,1.7%,2023)</f>
        <v>2923369.3291428573</v>
      </c>
      <c r="X31" cm="1">
        <f t="array" ref="X31">CalculerCommissionAnnuelle(M31,I31,L31,1.7%,2022)</f>
        <v>5115896.3260000004</v>
      </c>
      <c r="Y31" cm="1">
        <f t="array" ref="Y31">CalculerCommissionAnnuelle(M31,I31,L31,1.7%,2021)</f>
        <v>7308423.3228571434</v>
      </c>
      <c r="Z31" t="str">
        <f t="shared" si="1"/>
        <v>GI</v>
      </c>
      <c r="AA31" t="str">
        <f t="shared" si="2"/>
        <v>1551750545140261743126</v>
      </c>
      <c r="AB31" t="e">
        <f>VLOOKUP(AA31,Feuil2!AA:AA,1,FALSE)</f>
        <v>#N/A</v>
      </c>
    </row>
    <row r="32" spans="2:28" x14ac:dyDescent="0.25">
      <c r="B32">
        <v>8176615</v>
      </c>
      <c r="C32" t="s">
        <v>1012</v>
      </c>
      <c r="I32" s="21">
        <v>45237</v>
      </c>
      <c r="J32" t="s">
        <v>39</v>
      </c>
      <c r="K32" t="s">
        <v>40</v>
      </c>
      <c r="L32">
        <f t="shared" si="0"/>
        <v>11</v>
      </c>
      <c r="M32" s="13">
        <v>450000000</v>
      </c>
      <c r="R32" s="21">
        <v>45596</v>
      </c>
      <c r="U32" t="s">
        <v>141</v>
      </c>
      <c r="V32" cm="1">
        <f t="array" ref="V32">CalculerCommissionSemestrielle(M32,I32,L32,1.7%)</f>
        <v>2781818.1818181816</v>
      </c>
      <c r="W32" cm="1">
        <f t="array" ref="W32">CalculerCommissionAnnuelle(M32,I32,L32,1.7%,2023)</f>
        <v>6954545.4545454541</v>
      </c>
      <c r="X32" cm="1">
        <f t="array" ref="X32">CalculerCommissionAnnuelle(M32,I32,L32,1.7%,2022)</f>
        <v>0</v>
      </c>
      <c r="Y32" cm="1">
        <f t="array" ref="Y32">CalculerCommissionAnnuelle(M32,I32,L32,1.7%,2021)</f>
        <v>0</v>
      </c>
      <c r="Z32" t="str">
        <f t="shared" si="1"/>
        <v>GI</v>
      </c>
      <c r="AA32" t="str">
        <f t="shared" si="2"/>
        <v>817661545000000045237</v>
      </c>
      <c r="AB32" t="e">
        <f>VLOOKUP(AA32,Feuil2!AA:AA,1,FALSE)</f>
        <v>#N/A</v>
      </c>
    </row>
    <row r="33" spans="2:28" x14ac:dyDescent="0.25">
      <c r="B33">
        <v>25958783</v>
      </c>
      <c r="C33" t="s">
        <v>1013</v>
      </c>
      <c r="I33" s="21">
        <v>43188</v>
      </c>
      <c r="J33" t="s">
        <v>29</v>
      </c>
      <c r="K33" t="s">
        <v>30</v>
      </c>
      <c r="L33">
        <f t="shared" si="0"/>
        <v>94</v>
      </c>
      <c r="M33" s="13">
        <v>421578644</v>
      </c>
      <c r="R33" s="21">
        <v>46081</v>
      </c>
      <c r="U33" t="s">
        <v>1038</v>
      </c>
      <c r="V33" cm="1">
        <f t="array" ref="V33">CalculerCommissionSemestrielle(M33,I33,L33,1.7%)</f>
        <v>2439774.280170213</v>
      </c>
      <c r="W33" cm="1">
        <f t="array" ref="W33">CalculerCommissionAnnuelle(M33,I33,L33,1.7%,2023)</f>
        <v>4269604.9902978726</v>
      </c>
      <c r="X33" cm="1">
        <f t="array" ref="X33">CalculerCommissionAnnuelle(M33,I33,L33,1.7%,2022)</f>
        <v>6099435.7004255326</v>
      </c>
      <c r="Y33" cm="1">
        <f t="array" ref="Y33">CalculerCommissionAnnuelle(M33,I33,L33,1.7%,2021)</f>
        <v>7929266.4105531918</v>
      </c>
      <c r="Z33" t="str">
        <f t="shared" si="1"/>
        <v>GI</v>
      </c>
      <c r="AA33" t="str">
        <f t="shared" si="2"/>
        <v>2595878342157864443188</v>
      </c>
      <c r="AB33" t="e">
        <f>VLOOKUP(AA33,Feuil2!AA:AA,1,FALSE)</f>
        <v>#N/A</v>
      </c>
    </row>
    <row r="34" spans="2:28" hidden="1" x14ac:dyDescent="0.25">
      <c r="B34">
        <v>26024232</v>
      </c>
      <c r="C34" t="s">
        <v>994</v>
      </c>
      <c r="I34" s="21">
        <v>44925</v>
      </c>
      <c r="J34" t="s">
        <v>29</v>
      </c>
      <c r="K34" t="s">
        <v>30</v>
      </c>
      <c r="L34">
        <f t="shared" si="0"/>
        <v>48</v>
      </c>
      <c r="M34" s="13">
        <v>400000000</v>
      </c>
      <c r="R34" s="21">
        <v>46386</v>
      </c>
      <c r="U34" t="s">
        <v>72</v>
      </c>
      <c r="V34" cm="1">
        <f t="array" ref="V34">CalculerCommissionSemestrielle(M34,I34,L34,1.7%)</f>
        <v>7650000.0000000009</v>
      </c>
      <c r="W34" cm="1">
        <f t="array" ref="W34">CalculerCommissionAnnuelle(M34,I34,L34,1.7%,2023)</f>
        <v>11050000</v>
      </c>
      <c r="X34" cm="1">
        <f t="array" ref="X34">CalculerCommissionAnnuelle(M34,I34,L34,1.7%,2022)</f>
        <v>6800000.0000000009</v>
      </c>
      <c r="Y34" cm="1">
        <f t="array" ref="Y34">CalculerCommissionAnnuelle(M34,I34,L34,1.7%,2021)</f>
        <v>0</v>
      </c>
      <c r="Z34" t="str">
        <f t="shared" si="1"/>
        <v>GI</v>
      </c>
      <c r="AA34" t="str">
        <f t="shared" si="2"/>
        <v>2602423240000000044925</v>
      </c>
      <c r="AB34" t="str">
        <f>VLOOKUP(AA34,Feuil2!AA:AA,1,FALSE)</f>
        <v>2602423240000000044925</v>
      </c>
    </row>
    <row r="35" spans="2:28" hidden="1" x14ac:dyDescent="0.25">
      <c r="B35">
        <v>26015351</v>
      </c>
      <c r="C35" t="s">
        <v>993</v>
      </c>
      <c r="I35" s="21">
        <v>45071</v>
      </c>
      <c r="J35" t="s">
        <v>39</v>
      </c>
      <c r="K35" t="s">
        <v>40</v>
      </c>
      <c r="L35">
        <f t="shared" si="0"/>
        <v>24</v>
      </c>
      <c r="M35" s="13">
        <v>350000000</v>
      </c>
      <c r="R35" s="21">
        <v>45802</v>
      </c>
      <c r="U35" t="s">
        <v>141</v>
      </c>
      <c r="V35" cm="1">
        <f t="array" ref="V35">CalculerCommissionSemestrielle(M35,I35,L35,1.7%)</f>
        <v>3966666.666666667</v>
      </c>
      <c r="W35" cm="1">
        <f t="array" ref="W35">CalculerCommissionAnnuelle(M35,I35,L35,1.7%,2023)</f>
        <v>9916666.6666666679</v>
      </c>
      <c r="X35" cm="1">
        <f t="array" ref="X35">CalculerCommissionAnnuelle(M35,I35,L35,1.7%,2022)</f>
        <v>0</v>
      </c>
      <c r="Y35" cm="1">
        <f t="array" ref="Y35">CalculerCommissionAnnuelle(M35,I35,L35,1.7%,2021)</f>
        <v>0</v>
      </c>
      <c r="Z35" t="str">
        <f t="shared" si="1"/>
        <v>GI</v>
      </c>
      <c r="AA35" t="str">
        <f t="shared" si="2"/>
        <v>2601535135000000045071</v>
      </c>
      <c r="AB35" t="str">
        <f>VLOOKUP(AA35,Feuil2!AA:AA,1,FALSE)</f>
        <v>2601535135000000045071</v>
      </c>
    </row>
    <row r="36" spans="2:28" x14ac:dyDescent="0.25">
      <c r="B36">
        <v>25958783</v>
      </c>
      <c r="C36" t="s">
        <v>1013</v>
      </c>
      <c r="I36" s="21">
        <v>43188</v>
      </c>
      <c r="J36" t="s">
        <v>29</v>
      </c>
      <c r="K36" t="s">
        <v>30</v>
      </c>
      <c r="L36">
        <f t="shared" si="0"/>
        <v>94</v>
      </c>
      <c r="M36" s="13">
        <v>349114707</v>
      </c>
      <c r="R36" s="21">
        <v>46081</v>
      </c>
      <c r="U36" t="s">
        <v>1038</v>
      </c>
      <c r="V36" cm="1">
        <f t="array" ref="V36">CalculerCommissionSemestrielle(M36,I36,L36,1.7%)</f>
        <v>2020408.5171063831</v>
      </c>
      <c r="W36" cm="1">
        <f t="array" ref="W36">CalculerCommissionAnnuelle(M36,I36,L36,1.7%,2023)</f>
        <v>3535714.9049361707</v>
      </c>
      <c r="X36" cm="1">
        <f t="array" ref="X36">CalculerCommissionAnnuelle(M36,I36,L36,1.7%,2022)</f>
        <v>5051021.2927659573</v>
      </c>
      <c r="Y36" cm="1">
        <f t="array" ref="Y36">CalculerCommissionAnnuelle(M36,I36,L36,1.7%,2021)</f>
        <v>6566327.6805957453</v>
      </c>
      <c r="Z36" t="str">
        <f t="shared" si="1"/>
        <v>GI</v>
      </c>
      <c r="AA36" t="str">
        <f t="shared" si="2"/>
        <v>2595878334911470743188</v>
      </c>
      <c r="AB36" t="e">
        <f>VLOOKUP(AA36,Feuil2!AA:AA,1,FALSE)</f>
        <v>#N/A</v>
      </c>
    </row>
    <row r="37" spans="2:28" x14ac:dyDescent="0.25">
      <c r="B37">
        <v>15689405</v>
      </c>
      <c r="C37" t="s">
        <v>1002</v>
      </c>
      <c r="I37" s="21">
        <v>45299</v>
      </c>
      <c r="J37" t="s">
        <v>29</v>
      </c>
      <c r="K37" t="s">
        <v>30</v>
      </c>
      <c r="L37">
        <f t="shared" si="0"/>
        <v>6</v>
      </c>
      <c r="M37" s="13">
        <v>300000000</v>
      </c>
      <c r="R37" s="21">
        <v>45503</v>
      </c>
      <c r="U37" t="s">
        <v>41</v>
      </c>
      <c r="V37" cm="1">
        <f t="array" ref="V37">CalculerCommissionSemestrielle(M37,I37,L37,1.7%)</f>
        <v>850000.00000000012</v>
      </c>
      <c r="W37" cm="1">
        <f t="array" ref="W37">CalculerCommissionAnnuelle(M37,I37,L37,1.7%,2023)</f>
        <v>0</v>
      </c>
      <c r="X37" cm="1">
        <f t="array" ref="X37">CalculerCommissionAnnuelle(M37,I37,L37,1.7%,2022)</f>
        <v>0</v>
      </c>
      <c r="Y37" cm="1">
        <f t="array" ref="Y37">CalculerCommissionAnnuelle(M37,I37,L37,1.7%,2021)</f>
        <v>0</v>
      </c>
      <c r="Z37" t="str">
        <f t="shared" si="1"/>
        <v>GI</v>
      </c>
      <c r="AA37" t="str">
        <f t="shared" si="2"/>
        <v>1568940530000000045299</v>
      </c>
      <c r="AB37" t="e">
        <f>VLOOKUP(AA37,Feuil2!AA:AA,1,FALSE)</f>
        <v>#N/A</v>
      </c>
    </row>
    <row r="38" spans="2:28" hidden="1" x14ac:dyDescent="0.25">
      <c r="B38">
        <v>9512140</v>
      </c>
      <c r="C38" t="s">
        <v>998</v>
      </c>
      <c r="I38" s="21">
        <v>44978</v>
      </c>
      <c r="J38" t="s">
        <v>29</v>
      </c>
      <c r="K38" t="s">
        <v>30</v>
      </c>
      <c r="L38">
        <f t="shared" si="0"/>
        <v>48</v>
      </c>
      <c r="M38" s="13">
        <v>300000000</v>
      </c>
      <c r="R38" s="21">
        <v>46439</v>
      </c>
      <c r="U38" t="s">
        <v>1038</v>
      </c>
      <c r="V38" cm="1">
        <f t="array" ref="V38">CalculerCommissionSemestrielle(M38,I38,L38,1.7%)</f>
        <v>6162500</v>
      </c>
      <c r="W38" cm="1">
        <f t="array" ref="W38">CalculerCommissionAnnuelle(M38,I38,L38,1.7%,2023)</f>
        <v>8712500</v>
      </c>
      <c r="X38" cm="1">
        <f t="array" ref="X38">CalculerCommissionAnnuelle(M38,I38,L38,1.7%,2022)</f>
        <v>0</v>
      </c>
      <c r="Y38" cm="1">
        <f t="array" ref="Y38">CalculerCommissionAnnuelle(M38,I38,L38,1.7%,2021)</f>
        <v>0</v>
      </c>
      <c r="Z38" t="str">
        <f t="shared" si="1"/>
        <v>GI</v>
      </c>
      <c r="AA38" t="str">
        <f t="shared" si="2"/>
        <v>951214030000000044978</v>
      </c>
      <c r="AB38" t="str">
        <f>VLOOKUP(AA38,Feuil2!AA:AA,1,FALSE)</f>
        <v>951214030000000044978</v>
      </c>
    </row>
    <row r="39" spans="2:28" hidden="1" x14ac:dyDescent="0.25">
      <c r="B39">
        <v>8122915</v>
      </c>
      <c r="C39" t="s">
        <v>1011</v>
      </c>
      <c r="I39" s="21">
        <v>44328</v>
      </c>
      <c r="J39" t="s">
        <v>29</v>
      </c>
      <c r="K39" t="s">
        <v>30</v>
      </c>
      <c r="L39">
        <f t="shared" si="0"/>
        <v>84</v>
      </c>
      <c r="M39" s="13">
        <v>300000000</v>
      </c>
      <c r="R39" s="21">
        <v>46885</v>
      </c>
      <c r="U39" t="s">
        <v>47</v>
      </c>
      <c r="V39" cm="1">
        <f t="array" ref="V39">CalculerCommissionSemestrielle(M39,I39,L39,1.7%)</f>
        <v>5342857.1428571437</v>
      </c>
      <c r="W39" cm="1">
        <f t="array" ref="W39">CalculerCommissionAnnuelle(M39,I39,L39,1.7%,2023)</f>
        <v>6800000.0000000009</v>
      </c>
      <c r="X39" cm="1">
        <f t="array" ref="X39">CalculerCommissionAnnuelle(M39,I39,L39,1.7%,2022)</f>
        <v>8257142.8571428573</v>
      </c>
      <c r="Y39" cm="1">
        <f t="array" ref="Y39">CalculerCommissionAnnuelle(M39,I39,L39,1.7%,2021)</f>
        <v>9714285.7142857146</v>
      </c>
      <c r="Z39" t="str">
        <f t="shared" si="1"/>
        <v>GI</v>
      </c>
      <c r="AA39" t="str">
        <f t="shared" si="2"/>
        <v>812291530000000044328</v>
      </c>
      <c r="AB39" t="str">
        <f>VLOOKUP(AA39,Feuil2!AA:AA,1,FALSE)</f>
        <v>812291530000000044328</v>
      </c>
    </row>
    <row r="40" spans="2:28" x14ac:dyDescent="0.25">
      <c r="B40">
        <v>40762935</v>
      </c>
      <c r="C40" t="s">
        <v>1016</v>
      </c>
      <c r="I40" s="21">
        <v>45264</v>
      </c>
      <c r="J40" t="s">
        <v>39</v>
      </c>
      <c r="K40" t="s">
        <v>40</v>
      </c>
      <c r="L40">
        <f t="shared" si="0"/>
        <v>5</v>
      </c>
      <c r="M40" s="13">
        <v>280000000</v>
      </c>
      <c r="R40" s="21">
        <v>45443</v>
      </c>
      <c r="U40" t="s">
        <v>141</v>
      </c>
      <c r="V40" cm="1">
        <f t="array" ref="V40">CalculerCommissionSemestrielle(M40,I40,L40,1.7%)</f>
        <v>0</v>
      </c>
      <c r="W40" cm="1">
        <f t="array" ref="W40">CalculerCommissionAnnuelle(M40,I40,L40,1.7%,2023)</f>
        <v>4760000</v>
      </c>
      <c r="X40" cm="1">
        <f t="array" ref="X40">CalculerCommissionAnnuelle(M40,I40,L40,1.7%,2022)</f>
        <v>0</v>
      </c>
      <c r="Y40" cm="1">
        <f t="array" ref="Y40">CalculerCommissionAnnuelle(M40,I40,L40,1.7%,2021)</f>
        <v>0</v>
      </c>
      <c r="Z40" t="str">
        <f t="shared" si="1"/>
        <v>GI</v>
      </c>
      <c r="AA40" t="str">
        <f t="shared" si="2"/>
        <v>4076293528000000045264</v>
      </c>
      <c r="AB40" t="e">
        <f>VLOOKUP(AA40,Feuil2!AA:AA,1,FALSE)</f>
        <v>#N/A</v>
      </c>
    </row>
    <row r="41" spans="2:28" hidden="1" x14ac:dyDescent="0.25">
      <c r="B41">
        <v>8176615</v>
      </c>
      <c r="C41" t="s">
        <v>1012</v>
      </c>
      <c r="I41" s="21">
        <v>44300</v>
      </c>
      <c r="J41" t="s">
        <v>29</v>
      </c>
      <c r="K41" t="s">
        <v>30</v>
      </c>
      <c r="L41">
        <f t="shared" si="0"/>
        <v>60</v>
      </c>
      <c r="M41" s="13">
        <v>275000000</v>
      </c>
      <c r="R41" s="21">
        <v>46126</v>
      </c>
      <c r="U41" t="s">
        <v>141</v>
      </c>
      <c r="V41" cm="1">
        <f t="array" ref="V41">CalculerCommissionSemestrielle(M41,I41,L41,1.7%)</f>
        <v>2960833.3333333335</v>
      </c>
      <c r="W41" cm="1">
        <f t="array" ref="W41">CalculerCommissionAnnuelle(M41,I41,L41,1.7%,2023)</f>
        <v>4830833.333333334</v>
      </c>
      <c r="X41" cm="1">
        <f t="array" ref="X41">CalculerCommissionAnnuelle(M41,I41,L41,1.7%,2022)</f>
        <v>6700833.333333334</v>
      </c>
      <c r="Y41" cm="1">
        <f t="array" ref="Y41">CalculerCommissionAnnuelle(M41,I41,L41,1.7%,2021)</f>
        <v>8570833.333333334</v>
      </c>
      <c r="Z41" t="str">
        <f t="shared" si="1"/>
        <v>GI</v>
      </c>
      <c r="AA41" t="str">
        <f t="shared" si="2"/>
        <v>817661527500000044300</v>
      </c>
      <c r="AB41" t="str">
        <f>VLOOKUP(AA41,Feuil2!AA:AA,1,FALSE)</f>
        <v>817661527500000044300</v>
      </c>
    </row>
    <row r="42" spans="2:28" hidden="1" x14ac:dyDescent="0.25">
      <c r="B42">
        <v>52217061</v>
      </c>
      <c r="C42" t="s">
        <v>1014</v>
      </c>
      <c r="I42" s="21">
        <v>44544</v>
      </c>
      <c r="J42" t="s">
        <v>29</v>
      </c>
      <c r="K42" t="s">
        <v>30</v>
      </c>
      <c r="L42">
        <f t="shared" si="0"/>
        <v>36</v>
      </c>
      <c r="M42" s="13">
        <v>250000000</v>
      </c>
      <c r="R42" s="21">
        <v>45640</v>
      </c>
      <c r="U42" t="s">
        <v>83</v>
      </c>
      <c r="V42" cm="1">
        <f t="array" ref="V42">CalculerCommissionSemestrielle(M42,I42,L42,1.7%)</f>
        <v>708333.33333333337</v>
      </c>
      <c r="W42" cm="1">
        <f t="array" ref="W42">CalculerCommissionAnnuelle(M42,I42,L42,1.7%,2023)</f>
        <v>3541666.666666667</v>
      </c>
      <c r="X42" cm="1">
        <f t="array" ref="X42">CalculerCommissionAnnuelle(M42,I42,L42,1.7%,2022)</f>
        <v>6375000</v>
      </c>
      <c r="Y42" cm="1">
        <f t="array" ref="Y42">CalculerCommissionAnnuelle(M42,I42,L42,1.7%,2021)</f>
        <v>4250000</v>
      </c>
      <c r="Z42" t="str">
        <f t="shared" si="1"/>
        <v>GI</v>
      </c>
      <c r="AA42" t="str">
        <f t="shared" si="2"/>
        <v>5221706125000000044544</v>
      </c>
      <c r="AB42" t="str">
        <f>VLOOKUP(AA42,Feuil2!AA:AA,1,FALSE)</f>
        <v>5221706125000000044544</v>
      </c>
    </row>
    <row r="43" spans="2:28" hidden="1" x14ac:dyDescent="0.25">
      <c r="B43">
        <v>8126815</v>
      </c>
      <c r="C43" t="s">
        <v>991</v>
      </c>
      <c r="I43" s="21">
        <v>45069</v>
      </c>
      <c r="J43" t="s">
        <v>29</v>
      </c>
      <c r="K43" t="s">
        <v>30</v>
      </c>
      <c r="L43">
        <f t="shared" si="0"/>
        <v>60</v>
      </c>
      <c r="M43" s="13">
        <v>250000000</v>
      </c>
      <c r="R43" s="21">
        <v>46896</v>
      </c>
      <c r="U43" t="s">
        <v>72</v>
      </c>
      <c r="V43" cm="1">
        <f t="array" ref="V43">CalculerCommissionSemestrielle(M43,I43,L43,1.7%)</f>
        <v>6233333.333333334</v>
      </c>
      <c r="W43" cm="1">
        <f t="array" ref="W43">CalculerCommissionAnnuelle(M43,I43,L43,1.7%,2023)</f>
        <v>7933333.333333334</v>
      </c>
      <c r="X43" cm="1">
        <f t="array" ref="X43">CalculerCommissionAnnuelle(M43,I43,L43,1.7%,2022)</f>
        <v>0</v>
      </c>
      <c r="Y43" cm="1">
        <f t="array" ref="Y43">CalculerCommissionAnnuelle(M43,I43,L43,1.7%,2021)</f>
        <v>0</v>
      </c>
      <c r="Z43" t="str">
        <f t="shared" si="1"/>
        <v>GI</v>
      </c>
      <c r="AA43" t="str">
        <f t="shared" si="2"/>
        <v>812681525000000045069</v>
      </c>
      <c r="AB43" t="str">
        <f>VLOOKUP(AA43,Feuil2!AA:AA,1,FALSE)</f>
        <v>812681525000000045069</v>
      </c>
    </row>
    <row r="44" spans="2:28" hidden="1" x14ac:dyDescent="0.25">
      <c r="B44">
        <v>39003912</v>
      </c>
      <c r="C44" t="s">
        <v>1017</v>
      </c>
      <c r="I44" s="21">
        <v>44593</v>
      </c>
      <c r="J44" t="s">
        <v>29</v>
      </c>
      <c r="K44" t="s">
        <v>30</v>
      </c>
      <c r="L44">
        <f t="shared" si="0"/>
        <v>60</v>
      </c>
      <c r="M44" s="13">
        <v>245000000</v>
      </c>
      <c r="R44" s="21">
        <v>46419</v>
      </c>
      <c r="U44" t="s">
        <v>83</v>
      </c>
      <c r="V44" cm="1">
        <f t="array" ref="V44">CalculerCommissionSemestrielle(M44,I44,L44,1.7%)</f>
        <v>4026166.666666667</v>
      </c>
      <c r="W44" cm="1">
        <f t="array" ref="W44">CalculerCommissionAnnuelle(M44,I44,L44,1.7%,2023)</f>
        <v>5692166.666666667</v>
      </c>
      <c r="X44" cm="1">
        <f t="array" ref="X44">CalculerCommissionAnnuelle(M44,I44,L44,1.7%,2022)</f>
        <v>7358166.666666667</v>
      </c>
      <c r="Y44" cm="1">
        <f t="array" ref="Y44">CalculerCommissionAnnuelle(M44,I44,L44,1.7%,2021)</f>
        <v>0</v>
      </c>
      <c r="Z44" t="str">
        <f t="shared" si="1"/>
        <v>GI</v>
      </c>
      <c r="AA44" t="str">
        <f t="shared" si="2"/>
        <v>3900391224500000044593</v>
      </c>
      <c r="AB44" t="str">
        <f>VLOOKUP(AA44,Feuil2!AA:AA,1,FALSE)</f>
        <v>3900391224500000044593</v>
      </c>
    </row>
    <row r="45" spans="2:28" hidden="1" x14ac:dyDescent="0.25">
      <c r="B45">
        <v>8176615</v>
      </c>
      <c r="C45" t="s">
        <v>1012</v>
      </c>
      <c r="I45" s="21">
        <v>44433</v>
      </c>
      <c r="J45" t="s">
        <v>29</v>
      </c>
      <c r="K45" t="s">
        <v>30</v>
      </c>
      <c r="L45">
        <f t="shared" si="0"/>
        <v>36</v>
      </c>
      <c r="M45" s="13">
        <v>215000000</v>
      </c>
      <c r="R45" s="21">
        <v>45529</v>
      </c>
      <c r="U45" t="s">
        <v>141</v>
      </c>
      <c r="V45" cm="1">
        <f t="array" ref="V45">CalculerCommissionSemestrielle(M45,I45,L45,1.7%)</f>
        <v>203055.55555555556</v>
      </c>
      <c r="W45" cm="1">
        <f t="array" ref="W45">CalculerCommissionAnnuelle(M45,I45,L45,1.7%,2023)</f>
        <v>2233611.111111111</v>
      </c>
      <c r="X45" cm="1">
        <f t="array" ref="X45">CalculerCommissionAnnuelle(M45,I45,L45,1.7%,2022)</f>
        <v>4670277.777777778</v>
      </c>
      <c r="Y45" cm="1">
        <f t="array" ref="Y45">CalculerCommissionAnnuelle(M45,I45,L45,1.7%,2021)</f>
        <v>3248888.888888889</v>
      </c>
      <c r="Z45" t="str">
        <f t="shared" si="1"/>
        <v>GI</v>
      </c>
      <c r="AA45" t="str">
        <f t="shared" si="2"/>
        <v>817661521500000044433</v>
      </c>
      <c r="AB45" t="str">
        <f>VLOOKUP(AA45,Feuil2!AA:AA,1,FALSE)</f>
        <v>817661521500000044433</v>
      </c>
    </row>
    <row r="46" spans="2:28" hidden="1" x14ac:dyDescent="0.25">
      <c r="B46">
        <v>15474605</v>
      </c>
      <c r="C46" t="s">
        <v>1018</v>
      </c>
      <c r="I46" s="21">
        <v>44727</v>
      </c>
      <c r="J46" t="s">
        <v>29</v>
      </c>
      <c r="K46" t="s">
        <v>30</v>
      </c>
      <c r="L46">
        <f t="shared" si="0"/>
        <v>60</v>
      </c>
      <c r="M46" s="13">
        <v>207000000</v>
      </c>
      <c r="R46" s="21">
        <v>46553</v>
      </c>
      <c r="U46" t="s">
        <v>72</v>
      </c>
      <c r="V46" cm="1">
        <f t="array" ref="V46">CalculerCommissionSemestrielle(M46,I46,L46,1.7%)</f>
        <v>3870900.0000000005</v>
      </c>
      <c r="W46" cm="1">
        <f t="array" ref="W46">CalculerCommissionAnnuelle(M46,I46,L46,1.7%,2023)</f>
        <v>5278500</v>
      </c>
      <c r="X46" cm="1">
        <f t="array" ref="X46">CalculerCommissionAnnuelle(M46,I46,L46,1.7%,2022)</f>
        <v>6686100.0000000009</v>
      </c>
      <c r="Y46" cm="1">
        <f t="array" ref="Y46">CalculerCommissionAnnuelle(M46,I46,L46,1.7%,2021)</f>
        <v>0</v>
      </c>
      <c r="Z46" t="str">
        <f t="shared" si="1"/>
        <v>GI</v>
      </c>
      <c r="AA46" t="str">
        <f t="shared" si="2"/>
        <v>1547460520700000044727</v>
      </c>
      <c r="AB46" t="str">
        <f>VLOOKUP(AA46,Feuil2!AA:AA,1,FALSE)</f>
        <v>1547460520700000044727</v>
      </c>
    </row>
    <row r="47" spans="2:28" hidden="1" x14ac:dyDescent="0.25">
      <c r="B47">
        <v>15680105</v>
      </c>
      <c r="C47" t="s">
        <v>1019</v>
      </c>
      <c r="I47" s="21">
        <v>44258</v>
      </c>
      <c r="J47" t="s">
        <v>29</v>
      </c>
      <c r="K47" t="s">
        <v>30</v>
      </c>
      <c r="L47">
        <f t="shared" si="0"/>
        <v>60</v>
      </c>
      <c r="M47" s="13">
        <v>200000000</v>
      </c>
      <c r="R47" s="21">
        <v>46084</v>
      </c>
      <c r="U47" t="s">
        <v>106</v>
      </c>
      <c r="V47" cm="1">
        <f t="array" ref="V47">CalculerCommissionSemestrielle(M47,I47,L47,1.7%)</f>
        <v>2040000.0000000002</v>
      </c>
      <c r="W47" cm="1">
        <f t="array" ref="W47">CalculerCommissionAnnuelle(M47,I47,L47,1.7%,2023)</f>
        <v>3400000.0000000005</v>
      </c>
      <c r="X47" cm="1">
        <f t="array" ref="X47">CalculerCommissionAnnuelle(M47,I47,L47,1.7%,2022)</f>
        <v>4760000</v>
      </c>
      <c r="Y47" cm="1">
        <f t="array" ref="Y47">CalculerCommissionAnnuelle(M47,I47,L47,1.7%,2021)</f>
        <v>6120000</v>
      </c>
      <c r="Z47" t="str">
        <f t="shared" si="1"/>
        <v>GP</v>
      </c>
      <c r="AA47" t="str">
        <f t="shared" si="2"/>
        <v>1568010520000000044258</v>
      </c>
      <c r="AB47" t="str">
        <f>VLOOKUP(AA47,Feuil2!AA:AA,1,FALSE)</f>
        <v>1568010520000000044258</v>
      </c>
    </row>
    <row r="48" spans="2:28" x14ac:dyDescent="0.25">
      <c r="B48">
        <v>15187000</v>
      </c>
      <c r="C48" t="s">
        <v>1021</v>
      </c>
      <c r="I48" s="21">
        <v>44027</v>
      </c>
      <c r="J48" t="s">
        <v>29</v>
      </c>
      <c r="K48" t="s">
        <v>30</v>
      </c>
      <c r="L48">
        <f t="shared" si="0"/>
        <v>48</v>
      </c>
      <c r="M48" s="13">
        <v>200000000</v>
      </c>
      <c r="R48" s="21">
        <v>45488</v>
      </c>
      <c r="U48" t="s">
        <v>47</v>
      </c>
      <c r="V48" cm="1">
        <f t="array" ref="V48">CalculerCommissionSemestrielle(M48,I48,L48,1.7%)</f>
        <v>70833.333333333343</v>
      </c>
      <c r="W48" cm="1">
        <f t="array" ref="W48">CalculerCommissionAnnuelle(M48,I48,L48,1.7%,2023)</f>
        <v>1416666.6666666667</v>
      </c>
      <c r="X48" cm="1">
        <f t="array" ref="X48">CalculerCommissionAnnuelle(M48,I48,L48,1.7%,2022)</f>
        <v>3116666.666666667</v>
      </c>
      <c r="Y48" cm="1">
        <f t="array" ref="Y48">CalculerCommissionAnnuelle(M48,I48,L48,1.7%,2021)</f>
        <v>4816666.666666667</v>
      </c>
      <c r="Z48" t="str">
        <f t="shared" si="1"/>
        <v>GP</v>
      </c>
      <c r="AA48" t="str">
        <f t="shared" si="2"/>
        <v>1518700020000000044027</v>
      </c>
      <c r="AB48" t="e">
        <f>VLOOKUP(AA48,Feuil2!AA:AA,1,FALSE)</f>
        <v>#N/A</v>
      </c>
    </row>
    <row r="49" spans="2:28" hidden="1" x14ac:dyDescent="0.25">
      <c r="B49">
        <v>8141415</v>
      </c>
      <c r="C49" t="s">
        <v>1022</v>
      </c>
      <c r="I49" s="21">
        <v>44774</v>
      </c>
      <c r="J49" t="s">
        <v>29</v>
      </c>
      <c r="K49" t="s">
        <v>30</v>
      </c>
      <c r="L49">
        <f t="shared" si="0"/>
        <v>36</v>
      </c>
      <c r="M49" s="13">
        <v>200000000</v>
      </c>
      <c r="R49" s="21">
        <v>45870</v>
      </c>
      <c r="U49" t="s">
        <v>77</v>
      </c>
      <c r="V49" cm="1">
        <f t="array" ref="V49">CalculerCommissionSemestrielle(M49,I49,L49,1.7%)</f>
        <v>2077777.777777778</v>
      </c>
      <c r="W49" cm="1">
        <f t="array" ref="W49">CalculerCommissionAnnuelle(M49,I49,L49,1.7%,2023)</f>
        <v>4344444.444444445</v>
      </c>
      <c r="X49" cm="1">
        <f t="array" ref="X49">CalculerCommissionAnnuelle(M49,I49,L49,1.7%,2022)</f>
        <v>3022222.2222222225</v>
      </c>
      <c r="Y49" cm="1">
        <f t="array" ref="Y49">CalculerCommissionAnnuelle(M49,I49,L49,1.7%,2021)</f>
        <v>0</v>
      </c>
      <c r="Z49" t="str">
        <f t="shared" si="1"/>
        <v>GP</v>
      </c>
      <c r="AA49" t="str">
        <f t="shared" si="2"/>
        <v>814141520000000044774</v>
      </c>
      <c r="AB49" t="str">
        <f>VLOOKUP(AA49,Feuil2!AA:AA,1,FALSE)</f>
        <v>814141520000000044774</v>
      </c>
    </row>
    <row r="50" spans="2:28" x14ac:dyDescent="0.25">
      <c r="B50">
        <v>8087900</v>
      </c>
      <c r="C50" t="s">
        <v>1007</v>
      </c>
      <c r="I50" s="21">
        <v>45149</v>
      </c>
      <c r="J50" t="s">
        <v>39</v>
      </c>
      <c r="K50" t="s">
        <v>40</v>
      </c>
      <c r="L50">
        <f t="shared" si="0"/>
        <v>11</v>
      </c>
      <c r="M50" s="13">
        <v>200000000</v>
      </c>
      <c r="R50" s="21">
        <v>45504</v>
      </c>
      <c r="U50" t="s">
        <v>141</v>
      </c>
      <c r="V50" cm="1">
        <f t="array" ref="V50">CalculerCommissionSemestrielle(M50,I50,L50,1.7%)</f>
        <v>309090.90909090912</v>
      </c>
      <c r="W50" cm="1">
        <f t="array" ref="W50">CalculerCommissionAnnuelle(M50,I50,L50,1.7%,2023)</f>
        <v>2163636.3636363638</v>
      </c>
      <c r="X50" cm="1">
        <f t="array" ref="X50">CalculerCommissionAnnuelle(M50,I50,L50,1.7%,2022)</f>
        <v>0</v>
      </c>
      <c r="Y50" cm="1">
        <f t="array" ref="Y50">CalculerCommissionAnnuelle(M50,I50,L50,1.7%,2021)</f>
        <v>0</v>
      </c>
      <c r="Z50" t="str">
        <f t="shared" si="1"/>
        <v>GP</v>
      </c>
      <c r="AA50" t="str">
        <f t="shared" si="2"/>
        <v>808790020000000045149</v>
      </c>
      <c r="AB50" t="e">
        <f>VLOOKUP(AA50,Feuil2!AA:AA,1,FALSE)</f>
        <v>#N/A</v>
      </c>
    </row>
    <row r="51" spans="2:28" x14ac:dyDescent="0.25">
      <c r="B51">
        <v>15638305</v>
      </c>
      <c r="C51" t="s">
        <v>1024</v>
      </c>
      <c r="I51" s="21">
        <v>45415</v>
      </c>
      <c r="J51" t="s">
        <v>39</v>
      </c>
      <c r="K51" t="s">
        <v>40</v>
      </c>
      <c r="L51">
        <f t="shared" si="0"/>
        <v>11</v>
      </c>
      <c r="M51" s="13">
        <v>200000000</v>
      </c>
      <c r="R51" s="21">
        <v>45777</v>
      </c>
      <c r="U51" t="s">
        <v>47</v>
      </c>
      <c r="V51" cm="1">
        <f t="array" ref="V51">CalculerCommissionSemestrielle(M51,I51,L51,1.7%)</f>
        <v>4327272.7272727275</v>
      </c>
      <c r="W51" cm="1">
        <f t="array" ref="W51">CalculerCommissionAnnuelle(M51,I51,L51,1.7%,2023)</f>
        <v>0</v>
      </c>
      <c r="X51" cm="1">
        <f t="array" ref="X51">CalculerCommissionAnnuelle(M51,I51,L51,1.7%,2022)</f>
        <v>0</v>
      </c>
      <c r="Y51" cm="1">
        <f t="array" ref="Y51">CalculerCommissionAnnuelle(M51,I51,L51,1.7%,2021)</f>
        <v>0</v>
      </c>
      <c r="Z51" t="str">
        <f t="shared" si="1"/>
        <v>GP</v>
      </c>
      <c r="AA51" t="str">
        <f t="shared" si="2"/>
        <v>1563830520000000045415</v>
      </c>
      <c r="AB51" t="e">
        <f>VLOOKUP(AA51,Feuil2!AA:AA,1,FALSE)</f>
        <v>#N/A</v>
      </c>
    </row>
    <row r="52" spans="2:28" hidden="1" x14ac:dyDescent="0.25">
      <c r="B52">
        <v>8151615</v>
      </c>
      <c r="C52" t="s">
        <v>1006</v>
      </c>
      <c r="I52" s="21">
        <v>45041</v>
      </c>
      <c r="J52" t="s">
        <v>29</v>
      </c>
      <c r="K52" t="s">
        <v>30</v>
      </c>
      <c r="L52">
        <f t="shared" si="0"/>
        <v>48</v>
      </c>
      <c r="M52" s="13">
        <v>200000000</v>
      </c>
      <c r="R52" s="21">
        <v>46502</v>
      </c>
      <c r="U52" t="s">
        <v>47</v>
      </c>
      <c r="V52" cm="1">
        <f t="array" ref="V52">CalculerCommissionSemestrielle(M52,I52,L52,1.7%)</f>
        <v>4391666.666666667</v>
      </c>
      <c r="W52" cm="1">
        <f t="array" ref="W52">CalculerCommissionAnnuelle(M52,I52,L52,1.7%,2023)</f>
        <v>6091666.666666667</v>
      </c>
      <c r="X52" cm="1">
        <f t="array" ref="X52">CalculerCommissionAnnuelle(M52,I52,L52,1.7%,2022)</f>
        <v>0</v>
      </c>
      <c r="Y52" cm="1">
        <f t="array" ref="Y52">CalculerCommissionAnnuelle(M52,I52,L52,1.7%,2021)</f>
        <v>0</v>
      </c>
      <c r="Z52" t="str">
        <f t="shared" si="1"/>
        <v>GP</v>
      </c>
      <c r="AA52" t="str">
        <f t="shared" si="2"/>
        <v>815161520000000045041</v>
      </c>
      <c r="AB52" t="str">
        <f>VLOOKUP(AA52,Feuil2!AA:AA,1,FALSE)</f>
        <v>815161520000000045041</v>
      </c>
    </row>
    <row r="53" spans="2:28" x14ac:dyDescent="0.25">
      <c r="B53">
        <v>99900</v>
      </c>
      <c r="C53" t="s">
        <v>1023</v>
      </c>
      <c r="I53" s="21">
        <v>45092</v>
      </c>
      <c r="J53" t="s">
        <v>29</v>
      </c>
      <c r="K53" t="s">
        <v>1037</v>
      </c>
      <c r="L53">
        <f t="shared" si="0"/>
        <v>11</v>
      </c>
      <c r="M53" s="13">
        <v>196700000</v>
      </c>
      <c r="R53" s="21">
        <v>45443</v>
      </c>
      <c r="U53" t="s">
        <v>141</v>
      </c>
      <c r="V53" cm="1">
        <f t="array" ref="V53">CalculerCommissionSemestrielle(M53,I53,L53,1.7%)</f>
        <v>0</v>
      </c>
      <c r="W53" cm="1">
        <f t="array" ref="W53">CalculerCommissionAnnuelle(M53,I53,L53,1.7%,2023)</f>
        <v>4863854.5454545459</v>
      </c>
      <c r="X53" cm="1">
        <f t="array" ref="X53">CalculerCommissionAnnuelle(M53,I53,L53,1.7%,2022)</f>
        <v>0</v>
      </c>
      <c r="Y53" cm="1">
        <f t="array" ref="Y53">CalculerCommissionAnnuelle(M53,I53,L53,1.7%,2021)</f>
        <v>0</v>
      </c>
      <c r="Z53" t="str">
        <f t="shared" si="1"/>
        <v>GP</v>
      </c>
      <c r="AA53" t="str">
        <f t="shared" si="2"/>
        <v>9990019670000045092</v>
      </c>
      <c r="AB53" t="e">
        <f>VLOOKUP(AA53,Feuil2!AA:AA,1,FALSE)</f>
        <v>#N/A</v>
      </c>
    </row>
    <row r="54" spans="2:28" x14ac:dyDescent="0.25">
      <c r="B54">
        <v>15625005</v>
      </c>
      <c r="C54" t="s">
        <v>1020</v>
      </c>
      <c r="I54" s="21">
        <v>44903</v>
      </c>
      <c r="J54" t="s">
        <v>50</v>
      </c>
      <c r="K54" t="s">
        <v>51</v>
      </c>
      <c r="L54">
        <f t="shared" si="0"/>
        <v>36</v>
      </c>
      <c r="M54" s="13">
        <v>191861359</v>
      </c>
      <c r="R54" s="21">
        <v>46006</v>
      </c>
      <c r="U54" t="s">
        <v>83</v>
      </c>
      <c r="V54" cm="1">
        <f t="array" ref="V54">CalculerCommissionSemestrielle(M54,I54,L54,1.7%)</f>
        <v>2718035.9191666669</v>
      </c>
      <c r="W54" cm="1">
        <f t="array" ref="W54">CalculerCommissionAnnuelle(M54,I54,L54,1.7%,2023)</f>
        <v>4892464.6545000002</v>
      </c>
      <c r="X54" cm="1">
        <f t="array" ref="X54">CalculerCommissionAnnuelle(M54,I54,L54,1.7%,2022)</f>
        <v>3261643.1030000001</v>
      </c>
      <c r="Y54" cm="1">
        <f t="array" ref="Y54">CalculerCommissionAnnuelle(M54,I54,L54,1.7%,2021)</f>
        <v>0</v>
      </c>
      <c r="Z54" t="str">
        <f t="shared" si="1"/>
        <v>GP</v>
      </c>
      <c r="AA54" t="str">
        <f t="shared" si="2"/>
        <v>1562500519186135944903</v>
      </c>
      <c r="AB54" t="e">
        <f>VLOOKUP(AA54,Feuil2!AA:AA,1,FALSE)</f>
        <v>#N/A</v>
      </c>
    </row>
    <row r="55" spans="2:28" hidden="1" x14ac:dyDescent="0.25">
      <c r="B55">
        <v>15510605</v>
      </c>
      <c r="C55" t="s">
        <v>1025</v>
      </c>
      <c r="I55" s="21">
        <v>44546</v>
      </c>
      <c r="J55" t="s">
        <v>50</v>
      </c>
      <c r="K55" t="s">
        <v>51</v>
      </c>
      <c r="L55">
        <f t="shared" si="0"/>
        <v>36</v>
      </c>
      <c r="M55" s="13">
        <v>180000000</v>
      </c>
      <c r="R55" s="21">
        <v>45642</v>
      </c>
      <c r="U55" t="s">
        <v>77</v>
      </c>
      <c r="V55" cm="1">
        <f t="array" ref="V55">CalculerCommissionSemestrielle(M55,I55,L55,1.7%)</f>
        <v>510000.00000000006</v>
      </c>
      <c r="W55" cm="1">
        <f t="array" ref="W55">CalculerCommissionAnnuelle(M55,I55,L55,1.7%,2023)</f>
        <v>2550000</v>
      </c>
      <c r="X55" cm="1">
        <f t="array" ref="X55">CalculerCommissionAnnuelle(M55,I55,L55,1.7%,2022)</f>
        <v>4590000</v>
      </c>
      <c r="Y55" cm="1">
        <f t="array" ref="Y55">CalculerCommissionAnnuelle(M55,I55,L55,1.7%,2021)</f>
        <v>3060000</v>
      </c>
      <c r="Z55" t="str">
        <f t="shared" si="1"/>
        <v>GP</v>
      </c>
      <c r="AA55" t="str">
        <f t="shared" si="2"/>
        <v>1551060518000000044546</v>
      </c>
      <c r="AB55" t="str">
        <f>VLOOKUP(AA55,Feuil2!AA:AA,1,FALSE)</f>
        <v>1551060518000000044546</v>
      </c>
    </row>
    <row r="56" spans="2:28" hidden="1" x14ac:dyDescent="0.25">
      <c r="B56">
        <v>15652405</v>
      </c>
      <c r="C56" t="s">
        <v>1026</v>
      </c>
      <c r="I56" s="21">
        <v>44412</v>
      </c>
      <c r="J56" t="s">
        <v>50</v>
      </c>
      <c r="K56" t="s">
        <v>51</v>
      </c>
      <c r="L56">
        <f t="shared" si="0"/>
        <v>60</v>
      </c>
      <c r="M56" s="13">
        <v>150000000</v>
      </c>
      <c r="R56" s="21">
        <v>46238</v>
      </c>
      <c r="U56" t="s">
        <v>96</v>
      </c>
      <c r="V56" cm="1">
        <f t="array" ref="V56">CalculerCommissionSemestrielle(M56,I56,L56,1.7%)</f>
        <v>1955000.0000000002</v>
      </c>
      <c r="W56" cm="1">
        <f t="array" ref="W56">CalculerCommissionAnnuelle(M56,I56,L56,1.7%,2023)</f>
        <v>2975000</v>
      </c>
      <c r="X56" cm="1">
        <f t="array" ref="X56">CalculerCommissionAnnuelle(M56,I56,L56,1.7%,2022)</f>
        <v>3995000.0000000005</v>
      </c>
      <c r="Y56" cm="1">
        <f t="array" ref="Y56">CalculerCommissionAnnuelle(M56,I56,L56,1.7%,2021)</f>
        <v>2380000</v>
      </c>
      <c r="Z56" t="str">
        <f t="shared" si="1"/>
        <v>GP</v>
      </c>
      <c r="AA56" t="str">
        <f t="shared" si="2"/>
        <v>1565240515000000044412</v>
      </c>
      <c r="AB56" t="str">
        <f>VLOOKUP(AA56,Feuil2!AA:AA,1,FALSE)</f>
        <v>1565240515000000044412</v>
      </c>
    </row>
    <row r="57" spans="2:28" hidden="1" x14ac:dyDescent="0.25">
      <c r="B57">
        <v>15668005</v>
      </c>
      <c r="C57" t="s">
        <v>1027</v>
      </c>
      <c r="I57" s="21">
        <v>44785</v>
      </c>
      <c r="J57" t="s">
        <v>39</v>
      </c>
      <c r="K57" t="s">
        <v>40</v>
      </c>
      <c r="L57">
        <f t="shared" si="0"/>
        <v>24</v>
      </c>
      <c r="M57" s="13">
        <v>150000000</v>
      </c>
      <c r="R57" s="21">
        <v>45516</v>
      </c>
      <c r="U57" t="s">
        <v>41</v>
      </c>
      <c r="V57" cm="1">
        <f t="array" ref="V57">CalculerCommissionSemestrielle(M57,I57,L57,1.7%)</f>
        <v>212500.00000000003</v>
      </c>
      <c r="W57" cm="1">
        <f t="array" ref="W57">CalculerCommissionAnnuelle(M57,I57,L57,1.7%,2023)</f>
        <v>2337500</v>
      </c>
      <c r="X57" cm="1">
        <f t="array" ref="X57">CalculerCommissionAnnuelle(M57,I57,L57,1.7%,2022)</f>
        <v>2125000</v>
      </c>
      <c r="Y57" cm="1">
        <f t="array" ref="Y57">CalculerCommissionAnnuelle(M57,I57,L57,1.7%,2021)</f>
        <v>0</v>
      </c>
      <c r="Z57" t="str">
        <f t="shared" si="1"/>
        <v>GP</v>
      </c>
      <c r="AA57" t="str">
        <f t="shared" si="2"/>
        <v>1566800515000000044785</v>
      </c>
      <c r="AB57" t="str">
        <f>VLOOKUP(AA57,Feuil2!AA:AA,1,FALSE)</f>
        <v>1566800515000000044785</v>
      </c>
    </row>
    <row r="58" spans="2:28" x14ac:dyDescent="0.25">
      <c r="B58">
        <v>15687905</v>
      </c>
      <c r="C58" t="s">
        <v>1028</v>
      </c>
      <c r="I58" s="21">
        <v>43903</v>
      </c>
      <c r="J58" t="s">
        <v>29</v>
      </c>
      <c r="K58" t="s">
        <v>30</v>
      </c>
      <c r="L58">
        <f t="shared" si="0"/>
        <v>72</v>
      </c>
      <c r="M58" s="13">
        <v>150000000</v>
      </c>
      <c r="R58" s="21">
        <v>46094</v>
      </c>
      <c r="U58" t="s">
        <v>72</v>
      </c>
      <c r="V58" cm="1">
        <f t="array" ref="V58">CalculerCommissionSemestrielle(M58,I58,L58,1.7%)</f>
        <v>1275000</v>
      </c>
      <c r="W58" cm="1">
        <f t="array" ref="W58">CalculerCommissionAnnuelle(M58,I58,L58,1.7%,2023)</f>
        <v>2125000</v>
      </c>
      <c r="X58" cm="1">
        <f t="array" ref="X58">CalculerCommissionAnnuelle(M58,I58,L58,1.7%,2022)</f>
        <v>2975000</v>
      </c>
      <c r="Y58" cm="1">
        <f t="array" ref="Y58">CalculerCommissionAnnuelle(M58,I58,L58,1.7%,2021)</f>
        <v>3825000.0000000005</v>
      </c>
      <c r="Z58" t="str">
        <f t="shared" si="1"/>
        <v>GP</v>
      </c>
      <c r="AA58" t="str">
        <f t="shared" si="2"/>
        <v>1568790515000000043903</v>
      </c>
      <c r="AB58" t="e">
        <f>VLOOKUP(AA58,Feuil2!AA:AA,1,FALSE)</f>
        <v>#N/A</v>
      </c>
    </row>
    <row r="59" spans="2:28" x14ac:dyDescent="0.25">
      <c r="B59">
        <v>26101422</v>
      </c>
      <c r="C59" t="s">
        <v>1029</v>
      </c>
      <c r="I59" s="21">
        <v>45028</v>
      </c>
      <c r="J59" t="s">
        <v>29</v>
      </c>
      <c r="K59" t="s">
        <v>30</v>
      </c>
      <c r="L59">
        <f t="shared" si="0"/>
        <v>60</v>
      </c>
      <c r="M59" s="13">
        <v>150000000</v>
      </c>
      <c r="R59" s="21">
        <v>46855</v>
      </c>
      <c r="U59" t="s">
        <v>41</v>
      </c>
      <c r="V59" cm="1">
        <f t="array" ref="V59">CalculerCommissionSemestrielle(M59,I59,L59,1.7%)</f>
        <v>3655000.0000000005</v>
      </c>
      <c r="W59" cm="1">
        <f t="array" ref="W59">CalculerCommissionAnnuelle(M59,I59,L59,1.7%,2023)</f>
        <v>4675000</v>
      </c>
      <c r="X59" cm="1">
        <f t="array" ref="X59">CalculerCommissionAnnuelle(M59,I59,L59,1.7%,2022)</f>
        <v>0</v>
      </c>
      <c r="Y59" cm="1">
        <f t="array" ref="Y59">CalculerCommissionAnnuelle(M59,I59,L59,1.7%,2021)</f>
        <v>0</v>
      </c>
      <c r="Z59" t="str">
        <f t="shared" si="1"/>
        <v>GP</v>
      </c>
      <c r="AA59" t="str">
        <f t="shared" si="2"/>
        <v>2610142215000000045028</v>
      </c>
      <c r="AB59" t="e">
        <f>VLOOKUP(AA59,Feuil2!AA:AA,1,FALSE)</f>
        <v>#N/A</v>
      </c>
    </row>
    <row r="60" spans="2:28" hidden="1" x14ac:dyDescent="0.25">
      <c r="B60">
        <v>26068228</v>
      </c>
      <c r="C60" t="s">
        <v>1030</v>
      </c>
      <c r="I60" s="21">
        <v>45056</v>
      </c>
      <c r="J60" t="s">
        <v>39</v>
      </c>
      <c r="K60" t="s">
        <v>40</v>
      </c>
      <c r="L60">
        <f t="shared" si="0"/>
        <v>24</v>
      </c>
      <c r="M60" s="13">
        <v>150000000</v>
      </c>
      <c r="R60" s="21">
        <v>45787</v>
      </c>
      <c r="U60" t="s">
        <v>41</v>
      </c>
      <c r="V60" cm="1">
        <f t="array" ref="V60">CalculerCommissionSemestrielle(M60,I60,L60,1.7%)</f>
        <v>1700000.0000000002</v>
      </c>
      <c r="W60" cm="1">
        <f t="array" ref="W60">CalculerCommissionAnnuelle(M60,I60,L60,1.7%,2023)</f>
        <v>4250000</v>
      </c>
      <c r="X60" cm="1">
        <f t="array" ref="X60">CalculerCommissionAnnuelle(M60,I60,L60,1.7%,2022)</f>
        <v>0</v>
      </c>
      <c r="Y60" cm="1">
        <f t="array" ref="Y60">CalculerCommissionAnnuelle(M60,I60,L60,1.7%,2021)</f>
        <v>0</v>
      </c>
      <c r="Z60" t="str">
        <f t="shared" si="1"/>
        <v>GP</v>
      </c>
      <c r="AA60" t="str">
        <f t="shared" si="2"/>
        <v>2606822815000000045056</v>
      </c>
      <c r="AB60" t="str">
        <f>VLOOKUP(AA60,Feuil2!AA:AA,1,FALSE)</f>
        <v>2606822815000000045056</v>
      </c>
    </row>
    <row r="61" spans="2:28" hidden="1" x14ac:dyDescent="0.25">
      <c r="B61">
        <v>26032670</v>
      </c>
      <c r="C61" t="s">
        <v>1000</v>
      </c>
      <c r="I61" s="21">
        <v>44266</v>
      </c>
      <c r="J61" t="s">
        <v>29</v>
      </c>
      <c r="K61" t="s">
        <v>30</v>
      </c>
      <c r="L61">
        <f t="shared" si="0"/>
        <v>60</v>
      </c>
      <c r="M61" s="13">
        <v>127000000</v>
      </c>
      <c r="R61" s="21">
        <v>46092</v>
      </c>
      <c r="U61" t="s">
        <v>141</v>
      </c>
      <c r="V61" cm="1">
        <f t="array" ref="V61">CalculerCommissionSemestrielle(M61,I61,L61,1.7%)</f>
        <v>1295400</v>
      </c>
      <c r="W61" cm="1">
        <f t="array" ref="W61">CalculerCommissionAnnuelle(M61,I61,L61,1.7%,2023)</f>
        <v>2159000</v>
      </c>
      <c r="X61" cm="1">
        <f t="array" ref="X61">CalculerCommissionAnnuelle(M61,I61,L61,1.7%,2022)</f>
        <v>3022600</v>
      </c>
      <c r="Y61" cm="1">
        <f t="array" ref="Y61">CalculerCommissionAnnuelle(M61,I61,L61,1.7%,2021)</f>
        <v>3886200.0000000005</v>
      </c>
      <c r="Z61" t="str">
        <f t="shared" si="1"/>
        <v>GP</v>
      </c>
      <c r="AA61" t="str">
        <f t="shared" si="2"/>
        <v>2603267012700000044266</v>
      </c>
      <c r="AB61" t="str">
        <f>VLOOKUP(AA61,Feuil2!AA:AA,1,FALSE)</f>
        <v>2603267012700000044266</v>
      </c>
    </row>
    <row r="62" spans="2:28" hidden="1" x14ac:dyDescent="0.25">
      <c r="B62">
        <v>15625005</v>
      </c>
      <c r="C62" t="s">
        <v>1020</v>
      </c>
      <c r="I62" s="21">
        <v>44908</v>
      </c>
      <c r="J62" t="s">
        <v>39</v>
      </c>
      <c r="K62" t="s">
        <v>40</v>
      </c>
      <c r="L62">
        <f t="shared" si="0"/>
        <v>24</v>
      </c>
      <c r="M62" s="13">
        <v>100000000</v>
      </c>
      <c r="R62" s="21">
        <v>45639</v>
      </c>
      <c r="U62" t="s">
        <v>83</v>
      </c>
      <c r="V62" cm="1">
        <f t="array" ref="V62">CalculerCommissionSemestrielle(M62,I62,L62,1.7%)</f>
        <v>425000.00000000006</v>
      </c>
      <c r="W62" cm="1">
        <f t="array" ref="W62">CalculerCommissionAnnuelle(M62,I62,L62,1.7%,2023)</f>
        <v>2125000</v>
      </c>
      <c r="X62" cm="1">
        <f t="array" ref="X62">CalculerCommissionAnnuelle(M62,I62,L62,1.7%,2022)</f>
        <v>1700000.0000000002</v>
      </c>
      <c r="Y62" cm="1">
        <f t="array" ref="Y62">CalculerCommissionAnnuelle(M62,I62,L62,1.7%,2021)</f>
        <v>0</v>
      </c>
      <c r="Z62" t="str">
        <f t="shared" si="1"/>
        <v>GP</v>
      </c>
      <c r="AA62" t="str">
        <f t="shared" si="2"/>
        <v>1562500510000000044908</v>
      </c>
      <c r="AB62" t="str">
        <f>VLOOKUP(AA62,Feuil2!AA:AA,1,FALSE)</f>
        <v>1562500510000000044908</v>
      </c>
    </row>
    <row r="63" spans="2:28" hidden="1" x14ac:dyDescent="0.25">
      <c r="B63">
        <v>33096020</v>
      </c>
      <c r="C63" t="s">
        <v>1031</v>
      </c>
      <c r="I63" s="21">
        <v>44468</v>
      </c>
      <c r="J63" t="s">
        <v>29</v>
      </c>
      <c r="K63" t="s">
        <v>30</v>
      </c>
      <c r="L63">
        <f t="shared" si="0"/>
        <v>48</v>
      </c>
      <c r="M63" s="13">
        <v>100000000</v>
      </c>
      <c r="R63" s="21">
        <v>45929</v>
      </c>
      <c r="U63" t="s">
        <v>141</v>
      </c>
      <c r="V63" cm="1">
        <f t="array" ref="V63">CalculerCommissionSemestrielle(M63,I63,L63,1.7%)</f>
        <v>850000.00000000012</v>
      </c>
      <c r="W63" cm="1">
        <f t="array" ref="W63">CalculerCommissionAnnuelle(M63,I63,L63,1.7%,2023)</f>
        <v>1700000.0000000002</v>
      </c>
      <c r="X63" cm="1">
        <f t="array" ref="X63">CalculerCommissionAnnuelle(M63,I63,L63,1.7%,2022)</f>
        <v>2550000</v>
      </c>
      <c r="Y63" cm="1">
        <f t="array" ref="Y63">CalculerCommissionAnnuelle(M63,I63,L63,1.7%,2021)</f>
        <v>1593750</v>
      </c>
      <c r="Z63" t="str">
        <f t="shared" si="1"/>
        <v>GP</v>
      </c>
      <c r="AA63" t="str">
        <f t="shared" si="2"/>
        <v>3309602010000000044468</v>
      </c>
      <c r="AB63" t="str">
        <f>VLOOKUP(AA63,Feuil2!AA:AA,1,FALSE)</f>
        <v>3309602010000000044468</v>
      </c>
    </row>
    <row r="64" spans="2:28" x14ac:dyDescent="0.25">
      <c r="B64">
        <v>8021300</v>
      </c>
      <c r="C64" t="s">
        <v>1032</v>
      </c>
      <c r="I64" s="21">
        <v>45167</v>
      </c>
      <c r="J64" t="s">
        <v>39</v>
      </c>
      <c r="K64" t="s">
        <v>40</v>
      </c>
      <c r="L64">
        <f t="shared" si="0"/>
        <v>11</v>
      </c>
      <c r="M64" s="13">
        <v>100000000</v>
      </c>
      <c r="R64" s="21">
        <v>45504</v>
      </c>
      <c r="U64" t="s">
        <v>141</v>
      </c>
      <c r="V64" cm="1">
        <f t="array" ref="V64">CalculerCommissionSemestrielle(M64,I64,L64,1.7%)</f>
        <v>154545.45454545456</v>
      </c>
      <c r="W64" cm="1">
        <f t="array" ref="W64">CalculerCommissionAnnuelle(M64,I64,L64,1.7%,2023)</f>
        <v>1081818.1818181819</v>
      </c>
      <c r="X64" cm="1">
        <f t="array" ref="X64">CalculerCommissionAnnuelle(M64,I64,L64,1.7%,2022)</f>
        <v>0</v>
      </c>
      <c r="Y64" cm="1">
        <f t="array" ref="Y64">CalculerCommissionAnnuelle(M64,I64,L64,1.7%,2021)</f>
        <v>0</v>
      </c>
      <c r="Z64" t="str">
        <f t="shared" si="1"/>
        <v>GP</v>
      </c>
      <c r="AA64" t="str">
        <f t="shared" si="2"/>
        <v>802130010000000045167</v>
      </c>
      <c r="AB64" t="e">
        <f>VLOOKUP(AA64,Feuil2!AA:AA,1,FALSE)</f>
        <v>#N/A</v>
      </c>
    </row>
    <row r="65" spans="2:28" x14ac:dyDescent="0.25">
      <c r="B65">
        <v>15717705</v>
      </c>
      <c r="C65" t="s">
        <v>1015</v>
      </c>
      <c r="I65" s="21">
        <v>45211</v>
      </c>
      <c r="J65" t="s">
        <v>29</v>
      </c>
      <c r="K65" t="s">
        <v>1037</v>
      </c>
      <c r="L65">
        <f t="shared" si="0"/>
        <v>8</v>
      </c>
      <c r="M65" s="13">
        <v>100000000</v>
      </c>
      <c r="R65" s="21">
        <v>45473</v>
      </c>
      <c r="U65" t="s">
        <v>77</v>
      </c>
      <c r="V65" cm="1">
        <f t="array" ref="V65">CalculerCommissionSemestrielle(M65,I65,L65,1.7%)</f>
        <v>0</v>
      </c>
      <c r="W65" cm="1">
        <f t="array" ref="W65">CalculerCommissionAnnuelle(M65,I65,L65,1.7%,2023)</f>
        <v>1275000</v>
      </c>
      <c r="X65" cm="1">
        <f t="array" ref="X65">CalculerCommissionAnnuelle(M65,I65,L65,1.7%,2022)</f>
        <v>0</v>
      </c>
      <c r="Y65" cm="1">
        <f t="array" ref="Y65">CalculerCommissionAnnuelle(M65,I65,L65,1.7%,2021)</f>
        <v>0</v>
      </c>
      <c r="Z65" t="str">
        <f t="shared" si="1"/>
        <v>GP</v>
      </c>
      <c r="AA65" t="str">
        <f t="shared" si="2"/>
        <v>1571770510000000045211</v>
      </c>
      <c r="AB65" t="e">
        <f>VLOOKUP(AA65,Feuil2!AA:AA,1,FALSE)</f>
        <v>#N/A</v>
      </c>
    </row>
    <row r="66" spans="2:28" hidden="1" x14ac:dyDescent="0.25">
      <c r="B66">
        <v>768312</v>
      </c>
      <c r="C66" t="s">
        <v>409</v>
      </c>
      <c r="I66" s="21">
        <v>44462</v>
      </c>
      <c r="J66" t="s">
        <v>29</v>
      </c>
      <c r="K66" t="s">
        <v>30</v>
      </c>
      <c r="L66">
        <f t="shared" si="0"/>
        <v>60</v>
      </c>
      <c r="M66" s="13">
        <v>97000000</v>
      </c>
      <c r="R66" s="21">
        <v>46288</v>
      </c>
      <c r="U66" t="s">
        <v>1038</v>
      </c>
      <c r="V66" cm="1">
        <f t="array" ref="V66">CalculerCommissionSemestrielle(M66,I66,L66,1.7%)</f>
        <v>1319200</v>
      </c>
      <c r="W66" cm="1">
        <f t="array" ref="W66">CalculerCommissionAnnuelle(M66,I66,L66,1.7%,2023)</f>
        <v>1978800.0000000002</v>
      </c>
      <c r="X66" cm="1">
        <f t="array" ref="X66">CalculerCommissionAnnuelle(M66,I66,L66,1.7%,2022)</f>
        <v>2638400</v>
      </c>
      <c r="Y66" cm="1">
        <f t="array" ref="Y66">CalculerCommissionAnnuelle(M66,I66,L66,1.7%,2021)</f>
        <v>1566550</v>
      </c>
      <c r="Z66" t="str">
        <f t="shared" si="1"/>
        <v>GP</v>
      </c>
      <c r="AA66" t="str">
        <f t="shared" si="2"/>
        <v>7683129700000044462</v>
      </c>
      <c r="AB66" t="str">
        <f>VLOOKUP(AA66,Feuil2!AA:AA,1,FALSE)</f>
        <v>7683129700000044462</v>
      </c>
    </row>
    <row r="67" spans="2:28" hidden="1" x14ac:dyDescent="0.25">
      <c r="B67">
        <v>27515460</v>
      </c>
      <c r="C67" t="s">
        <v>1033</v>
      </c>
      <c r="I67" s="21">
        <v>44529</v>
      </c>
      <c r="J67" t="s">
        <v>29</v>
      </c>
      <c r="K67" t="s">
        <v>30</v>
      </c>
      <c r="L67">
        <f t="shared" ref="L67:L73" si="3">DATEDIF(I67,R67,"m")</f>
        <v>36</v>
      </c>
      <c r="M67" s="13">
        <v>88000000</v>
      </c>
      <c r="R67" s="21">
        <v>45625</v>
      </c>
      <c r="U67" t="s">
        <v>83</v>
      </c>
      <c r="V67" cm="1">
        <f t="array" ref="V67">CalculerCommissionSemestrielle(M67,I67,L67,1.7%)</f>
        <v>207777.77777777778</v>
      </c>
      <c r="W67" cm="1">
        <f t="array" ref="W67">CalculerCommissionAnnuelle(M67,I67,L67,1.7%,2023)</f>
        <v>1163555.5555555555</v>
      </c>
      <c r="X67" cm="1">
        <f t="array" ref="X67">CalculerCommissionAnnuelle(M67,I67,L67,1.7%,2022)</f>
        <v>2160888.888888889</v>
      </c>
      <c r="Y67" cm="1">
        <f t="array" ref="Y67">CalculerCommissionAnnuelle(M67,I67,L67,1.7%,2021)</f>
        <v>1454444.4444444445</v>
      </c>
      <c r="Z67" t="str">
        <f t="shared" ref="Z67:Z73" si="4">IF(M67&lt;=200000000,"GP","GI")</f>
        <v>GP</v>
      </c>
      <c r="AA67" t="str">
        <f t="shared" ref="AA67:AA73" si="5">_xlfn.CONCAT(B67,M67,I67)</f>
        <v>275154608800000044529</v>
      </c>
      <c r="AB67" t="str">
        <f>VLOOKUP(AA67,Feuil2!AA:AA,1,FALSE)</f>
        <v>275154608800000044529</v>
      </c>
    </row>
    <row r="68" spans="2:28" x14ac:dyDescent="0.25">
      <c r="B68">
        <v>40762935</v>
      </c>
      <c r="C68" t="s">
        <v>1016</v>
      </c>
      <c r="I68" s="21">
        <v>45196</v>
      </c>
      <c r="J68" t="s">
        <v>39</v>
      </c>
      <c r="K68" t="s">
        <v>40</v>
      </c>
      <c r="L68">
        <f t="shared" si="3"/>
        <v>8</v>
      </c>
      <c r="M68" s="13">
        <v>80000000</v>
      </c>
      <c r="R68" s="21">
        <v>45443</v>
      </c>
      <c r="U68" t="s">
        <v>141</v>
      </c>
      <c r="V68" cm="1">
        <f t="array" ref="V68">CalculerCommissionSemestrielle(M68,I68,L68,1.7%)</f>
        <v>0</v>
      </c>
      <c r="W68" cm="1">
        <f t="array" ref="W68">CalculerCommissionAnnuelle(M68,I68,L68,1.7%,2023)</f>
        <v>850000.00000000012</v>
      </c>
      <c r="X68" cm="1">
        <f t="array" ref="X68">CalculerCommissionAnnuelle(M68,I68,L68,1.7%,2022)</f>
        <v>0</v>
      </c>
      <c r="Y68" cm="1">
        <f t="array" ref="Y68">CalculerCommissionAnnuelle(M68,I68,L68,1.7%,2021)</f>
        <v>0</v>
      </c>
      <c r="Z68" t="str">
        <f t="shared" si="4"/>
        <v>GP</v>
      </c>
      <c r="AA68" t="str">
        <f t="shared" si="5"/>
        <v>407629358000000045196</v>
      </c>
      <c r="AB68" t="e">
        <f>VLOOKUP(AA68,Feuil2!AA:AA,1,FALSE)</f>
        <v>#N/A</v>
      </c>
    </row>
    <row r="69" spans="2:28" x14ac:dyDescent="0.25">
      <c r="B69">
        <v>33096020</v>
      </c>
      <c r="C69" t="s">
        <v>1031</v>
      </c>
      <c r="I69" s="21">
        <v>45337</v>
      </c>
      <c r="J69" t="s">
        <v>29</v>
      </c>
      <c r="K69" t="s">
        <v>30</v>
      </c>
      <c r="L69">
        <f t="shared" si="3"/>
        <v>11</v>
      </c>
      <c r="M69" s="13">
        <v>80000000</v>
      </c>
      <c r="R69" s="21">
        <v>45688</v>
      </c>
      <c r="U69" t="s">
        <v>141</v>
      </c>
      <c r="V69" cm="1">
        <f t="array" ref="V69">CalculerCommissionSemestrielle(M69,I69,L69,1.7%)</f>
        <v>989090.90909090906</v>
      </c>
      <c r="W69" cm="1">
        <f t="array" ref="W69">CalculerCommissionAnnuelle(M69,I69,L69,1.7%,2023)</f>
        <v>0</v>
      </c>
      <c r="X69" cm="1">
        <f t="array" ref="X69">CalculerCommissionAnnuelle(M69,I69,L69,1.7%,2022)</f>
        <v>0</v>
      </c>
      <c r="Y69" cm="1">
        <f t="array" ref="Y69">CalculerCommissionAnnuelle(M69,I69,L69,1.7%,2021)</f>
        <v>0</v>
      </c>
      <c r="Z69" t="str">
        <f t="shared" si="4"/>
        <v>GP</v>
      </c>
      <c r="AA69" t="str">
        <f t="shared" si="5"/>
        <v>330960208000000045337</v>
      </c>
      <c r="AB69" t="e">
        <f>VLOOKUP(AA69,Feuil2!AA:AA,1,FALSE)</f>
        <v>#N/A</v>
      </c>
    </row>
    <row r="70" spans="2:28" x14ac:dyDescent="0.25">
      <c r="B70">
        <v>15767405</v>
      </c>
      <c r="C70" t="s">
        <v>1034</v>
      </c>
      <c r="I70" s="21">
        <v>45391</v>
      </c>
      <c r="J70" t="s">
        <v>39</v>
      </c>
      <c r="K70" t="s">
        <v>40</v>
      </c>
      <c r="L70">
        <f t="shared" si="3"/>
        <v>10</v>
      </c>
      <c r="M70" s="13">
        <v>50000000</v>
      </c>
      <c r="R70" s="21">
        <v>45716</v>
      </c>
      <c r="U70" t="s">
        <v>41</v>
      </c>
      <c r="V70" cm="1">
        <f t="array" ref="V70">CalculerCommissionSemestrielle(M70,I70,L70,1.7%)</f>
        <v>850000.00000000012</v>
      </c>
      <c r="W70" cm="1">
        <f t="array" ref="W70">CalculerCommissionAnnuelle(M70,I70,L70,1.7%,2023)</f>
        <v>0</v>
      </c>
      <c r="X70" cm="1">
        <f t="array" ref="X70">CalculerCommissionAnnuelle(M70,I70,L70,1.7%,2022)</f>
        <v>0</v>
      </c>
      <c r="Y70" cm="1">
        <f t="array" ref="Y70">CalculerCommissionAnnuelle(M70,I70,L70,1.7%,2021)</f>
        <v>0</v>
      </c>
      <c r="Z70" t="str">
        <f t="shared" si="4"/>
        <v>GP</v>
      </c>
      <c r="AA70" t="str">
        <f t="shared" si="5"/>
        <v>157674055000000045391</v>
      </c>
      <c r="AB70" t="e">
        <f>VLOOKUP(AA70,Feuil2!AA:AA,1,FALSE)</f>
        <v>#N/A</v>
      </c>
    </row>
    <row r="71" spans="2:28" x14ac:dyDescent="0.25">
      <c r="B71">
        <v>26101422</v>
      </c>
      <c r="C71" t="s">
        <v>1029</v>
      </c>
      <c r="I71" s="21">
        <v>45028</v>
      </c>
      <c r="J71" t="s">
        <v>39</v>
      </c>
      <c r="K71" t="s">
        <v>40</v>
      </c>
      <c r="L71">
        <f t="shared" si="3"/>
        <v>24</v>
      </c>
      <c r="M71" s="13">
        <v>46500000</v>
      </c>
      <c r="R71" s="21">
        <v>45759</v>
      </c>
      <c r="U71" t="s">
        <v>41</v>
      </c>
      <c r="V71" cm="1">
        <f t="array" ref="V71">CalculerCommissionSemestrielle(M71,I71,L71,1.7%)</f>
        <v>461125.00000000006</v>
      </c>
      <c r="W71" cm="1">
        <f t="array" ref="W71">CalculerCommissionAnnuelle(M71,I71,L71,1.7%,2023)</f>
        <v>1251625</v>
      </c>
      <c r="X71" cm="1">
        <f t="array" ref="X71">CalculerCommissionAnnuelle(M71,I71,L71,1.7%,2022)</f>
        <v>0</v>
      </c>
      <c r="Y71" cm="1">
        <f t="array" ref="Y71">CalculerCommissionAnnuelle(M71,I71,L71,1.7%,2021)</f>
        <v>0</v>
      </c>
      <c r="Z71" t="str">
        <f t="shared" si="4"/>
        <v>GP</v>
      </c>
      <c r="AA71" t="str">
        <f t="shared" si="5"/>
        <v>261014224650000045028</v>
      </c>
      <c r="AB71" t="e">
        <f>VLOOKUP(AA71,Feuil2!AA:AA,1,FALSE)</f>
        <v>#N/A</v>
      </c>
    </row>
    <row r="72" spans="2:28" x14ac:dyDescent="0.25">
      <c r="B72">
        <v>15053900</v>
      </c>
      <c r="C72" t="s">
        <v>1035</v>
      </c>
      <c r="I72" s="21">
        <v>45244</v>
      </c>
      <c r="J72" t="s">
        <v>29</v>
      </c>
      <c r="K72" t="s">
        <v>1037</v>
      </c>
      <c r="L72">
        <f t="shared" si="3"/>
        <v>6</v>
      </c>
      <c r="M72" s="13">
        <v>40000000</v>
      </c>
      <c r="R72" s="21">
        <v>45443</v>
      </c>
      <c r="U72" t="s">
        <v>41</v>
      </c>
      <c r="V72" cm="1">
        <f t="array" ref="V72">CalculerCommissionSemestrielle(M72,I72,L72,1.7%)</f>
        <v>0</v>
      </c>
      <c r="W72" cm="1">
        <f t="array" ref="W72">CalculerCommissionAnnuelle(M72,I72,L72,1.7%,2023)</f>
        <v>566666.66666666674</v>
      </c>
      <c r="X72" cm="1">
        <f t="array" ref="X72">CalculerCommissionAnnuelle(M72,I72,L72,1.7%,2022)</f>
        <v>0</v>
      </c>
      <c r="Y72" cm="1">
        <f t="array" ref="Y72">CalculerCommissionAnnuelle(M72,I72,L72,1.7%,2021)</f>
        <v>0</v>
      </c>
      <c r="Z72" t="str">
        <f t="shared" si="4"/>
        <v>GP</v>
      </c>
      <c r="AA72" t="str">
        <f t="shared" si="5"/>
        <v>150539004000000045244</v>
      </c>
      <c r="AB72" t="e">
        <f>VLOOKUP(AA72,Feuil2!AA:AA,1,FALSE)</f>
        <v>#N/A</v>
      </c>
    </row>
    <row r="73" spans="2:28" x14ac:dyDescent="0.25">
      <c r="B73">
        <v>8087400</v>
      </c>
      <c r="C73" t="s">
        <v>1036</v>
      </c>
      <c r="I73" s="21">
        <v>42711</v>
      </c>
      <c r="J73" t="s">
        <v>29</v>
      </c>
      <c r="K73" t="s">
        <v>30</v>
      </c>
      <c r="L73">
        <f t="shared" si="3"/>
        <v>996</v>
      </c>
      <c r="M73" s="13">
        <v>1</v>
      </c>
      <c r="R73" s="21">
        <v>73050</v>
      </c>
      <c r="U73" t="s">
        <v>141</v>
      </c>
      <c r="V73" cm="1">
        <f t="array" ref="V73">CalculerCommissionSemestrielle(M73,I73,L73,1.7%)</f>
        <v>3.0825301204819279E-2</v>
      </c>
      <c r="W73" cm="1">
        <f t="array" ref="W73">CalculerCommissionAnnuelle(M73,I73,L73,1.7%,2023)</f>
        <v>3.1234939759036146E-2</v>
      </c>
      <c r="X73" cm="1">
        <f t="array" ref="X73">CalculerCommissionAnnuelle(M73,I73,L73,1.7%,2022)</f>
        <v>3.1644578313253013E-2</v>
      </c>
      <c r="Y73" cm="1">
        <f t="array" ref="Y73">CalculerCommissionAnnuelle(M73,I73,L73,1.7%,2021)</f>
        <v>3.2054216867469884E-2</v>
      </c>
      <c r="Z73" t="str">
        <f t="shared" si="4"/>
        <v>GP</v>
      </c>
      <c r="AA73" t="str">
        <f t="shared" si="5"/>
        <v>8087400142711</v>
      </c>
      <c r="AB73" t="e">
        <f>VLOOKUP(AA73,Feuil2!AA:AA,1,FALSE)</f>
        <v>#N/A</v>
      </c>
    </row>
  </sheetData>
  <autoFilter ref="A1:AB73" xr:uid="{E50055A5-9F9A-4329-A56D-C6C7F03490D4}">
    <filterColumn colId="27">
      <filters>
        <filter val="#N/A"/>
      </filters>
    </filterColumn>
  </autoFilter>
  <conditionalFormatting sqref="AA1:A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Feuil5</vt:lpstr>
      <vt:lpstr>Clt Embarques</vt:lpstr>
      <vt:lpstr>Clt Non Embarques</vt:lpstr>
      <vt:lpstr>RECAP</vt:lpstr>
      <vt:lpstr>Balance</vt:lpstr>
      <vt:lpstr>Feuil2</vt:lpstr>
      <vt:lpstr>Balance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komla CHOKKI</cp:lastModifiedBy>
  <dcterms:created xsi:type="dcterms:W3CDTF">2024-03-25T16:12:30Z</dcterms:created>
  <dcterms:modified xsi:type="dcterms:W3CDTF">2024-06-10T18:20:23Z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992a7d-542b-44f7-8b4e-4a8cd39e7288_Enabled">
    <vt:lpwstr>true</vt:lpwstr>
  </property>
  <property fmtid="{D5CDD505-2E9C-101B-9397-08002B2CF9AE}" pid="3" name="MSIP_Label_eb992a7d-542b-44f7-8b4e-4a8cd39e7288_SetDate">
    <vt:lpwstr>2024-03-25T17:05:51Z</vt:lpwstr>
  </property>
  <property fmtid="{D5CDD505-2E9C-101B-9397-08002B2CF9AE}" pid="4" name="MSIP_Label_eb992a7d-542b-44f7-8b4e-4a8cd39e7288_Method">
    <vt:lpwstr>Privileged</vt:lpwstr>
  </property>
  <property fmtid="{D5CDD505-2E9C-101B-9397-08002B2CF9AE}" pid="5" name="MSIP_Label_eb992a7d-542b-44f7-8b4e-4a8cd39e7288_Name">
    <vt:lpwstr>eb992a7d-542b-44f7-8b4e-4a8cd39e7288</vt:lpwstr>
  </property>
  <property fmtid="{D5CDD505-2E9C-101B-9397-08002B2CF9AE}" pid="6" name="MSIP_Label_eb992a7d-542b-44f7-8b4e-4a8cd39e7288_SiteId">
    <vt:lpwstr>a491f8c5-c721-4e53-b604-6f27e7e4565d</vt:lpwstr>
  </property>
  <property fmtid="{D5CDD505-2E9C-101B-9397-08002B2CF9AE}" pid="7" name="MSIP_Label_eb992a7d-542b-44f7-8b4e-4a8cd39e7288_ActionId">
    <vt:lpwstr>0765491f-36e5-4cc4-bae5-fdfe853d1a38</vt:lpwstr>
  </property>
  <property fmtid="{D5CDD505-2E9C-101B-9397-08002B2CF9AE}" pid="8" name="MSIP_Label_eb992a7d-542b-44f7-8b4e-4a8cd39e7288_ContentBits">
    <vt:lpwstr>0</vt:lpwstr>
  </property>
</Properties>
</file>